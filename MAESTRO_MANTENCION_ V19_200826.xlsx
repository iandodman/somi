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Unidades compartidas\Operación y Prevención\MAESTRO 2026\"/>
    </mc:Choice>
  </mc:AlternateContent>
  <xr:revisionPtr revIDLastSave="0" documentId="8_{F9344E3E-7814-0B49-9AAD-2E0657A01BF2}" xr6:coauthVersionLast="47" xr6:coauthVersionMax="47" xr10:uidLastSave="{00000000-0000-0000-0000-000000000000}"/>
  <bookViews>
    <workbookView xWindow="-110" yWindow="-110" windowWidth="19420" windowHeight="10300" tabRatio="654" activeTab="2" xr2:uid="{00000000-000D-0000-FFFF-FFFF00000000}"/>
  </bookViews>
  <sheets>
    <sheet name="Panel de Cumplimiento" sheetId="9" r:id="rId1"/>
    <sheet name="Maestro infraestructura" sheetId="7" r:id="rId2"/>
    <sheet name="Gantt 2026-2027" sheetId="5" r:id="rId3"/>
    <sheet name="Descripción" sheetId="4" r:id="rId4"/>
    <sheet name="M2" sheetId="6" r:id="rId5"/>
    <sheet name="Pendientes" sheetId="10" r:id="rId6"/>
  </sheets>
  <definedNames>
    <definedName name="_xlnm._FilterDatabase" localSheetId="2" hidden="1">'Gantt 2026-2027'!$A$2:$AW$1052</definedName>
    <definedName name="_xlnm._FilterDatabase" localSheetId="1" hidden="1">'Maestro infraestructura'!$A$1:$Z$1058</definedName>
    <definedName name="_xlnm._FilterDatabase" localSheetId="0" hidden="1">'Panel de Cumplimiento'!$A$3:$N$3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ZaxnQxczgD3x+QKbraFwlNAEgASu9rjvPTPnUWlbR+E="/>
    </ext>
  </extLst>
</workbook>
</file>

<file path=xl/calcChain.xml><?xml version="1.0" encoding="utf-8"?>
<calcChain xmlns="http://schemas.openxmlformats.org/spreadsheetml/2006/main">
  <c r="T791" i="7" l="1"/>
  <c r="I791" i="7"/>
  <c r="K791" i="7"/>
  <c r="E1001" i="5"/>
  <c r="I9" i="5"/>
  <c r="K1030" i="7"/>
  <c r="E1031" i="5"/>
  <c r="K999" i="7"/>
  <c r="E1000" i="5"/>
  <c r="K993" i="7"/>
  <c r="E994" i="5"/>
  <c r="K986" i="7"/>
  <c r="E987" i="5"/>
  <c r="E792" i="5"/>
  <c r="U803" i="7"/>
  <c r="V803" i="7"/>
  <c r="K803" i="7"/>
  <c r="E804" i="5"/>
  <c r="I803" i="7"/>
  <c r="U802" i="7"/>
  <c r="V802" i="7"/>
  <c r="K802" i="7"/>
  <c r="E803" i="5"/>
  <c r="I802" i="7"/>
  <c r="U791" i="7"/>
  <c r="V791" i="7"/>
  <c r="J5" i="9"/>
  <c r="J6" i="9"/>
  <c r="J7" i="9"/>
  <c r="J8" i="9"/>
  <c r="J9" i="9"/>
  <c r="J10" i="9"/>
  <c r="J11" i="9"/>
  <c r="J12" i="9"/>
  <c r="J13" i="9"/>
  <c r="J4" i="9"/>
  <c r="K9" i="7"/>
  <c r="E10" i="5"/>
  <c r="K10" i="7"/>
  <c r="E11" i="5"/>
  <c r="K11" i="7"/>
  <c r="E12" i="5"/>
  <c r="K12" i="7"/>
  <c r="E13" i="5"/>
  <c r="K13" i="7"/>
  <c r="E14" i="5"/>
  <c r="K14" i="7"/>
  <c r="E15" i="5"/>
  <c r="K15" i="7"/>
  <c r="E16" i="5"/>
  <c r="K16" i="7"/>
  <c r="E17" i="5"/>
  <c r="K17" i="7"/>
  <c r="E18" i="5"/>
  <c r="K18" i="7"/>
  <c r="E19" i="5"/>
  <c r="K19" i="7"/>
  <c r="E20" i="5"/>
  <c r="K20" i="7"/>
  <c r="E21" i="5"/>
  <c r="K21" i="7"/>
  <c r="E22" i="5"/>
  <c r="K22" i="7"/>
  <c r="E23" i="5"/>
  <c r="K23" i="7"/>
  <c r="E24" i="5"/>
  <c r="K24" i="7"/>
  <c r="E25" i="5"/>
  <c r="K25" i="7"/>
  <c r="E26" i="5"/>
  <c r="K26" i="7"/>
  <c r="E27" i="5"/>
  <c r="K27" i="7"/>
  <c r="E28" i="5"/>
  <c r="K28" i="7"/>
  <c r="E29" i="5"/>
  <c r="K29" i="7"/>
  <c r="E30" i="5"/>
  <c r="K30" i="7"/>
  <c r="E31" i="5"/>
  <c r="K31" i="7"/>
  <c r="E32" i="5"/>
  <c r="K32" i="7"/>
  <c r="E33" i="5"/>
  <c r="K33" i="7"/>
  <c r="E34" i="5"/>
  <c r="K34" i="7"/>
  <c r="E35" i="5"/>
  <c r="K35" i="7"/>
  <c r="E36" i="5"/>
  <c r="K36" i="7"/>
  <c r="E37" i="5"/>
  <c r="K37" i="7"/>
  <c r="E38" i="5"/>
  <c r="K38" i="7"/>
  <c r="E39" i="5"/>
  <c r="K39" i="7"/>
  <c r="E40" i="5"/>
  <c r="K40" i="7"/>
  <c r="E41" i="5"/>
  <c r="K41" i="7"/>
  <c r="E42" i="5"/>
  <c r="K42" i="7"/>
  <c r="E43" i="5"/>
  <c r="K43" i="7"/>
  <c r="E44" i="5"/>
  <c r="K44" i="7"/>
  <c r="E45" i="5"/>
  <c r="K45" i="7"/>
  <c r="E46" i="5"/>
  <c r="K46" i="7"/>
  <c r="E47" i="5"/>
  <c r="K47" i="7"/>
  <c r="E48" i="5"/>
  <c r="K48" i="7"/>
  <c r="E49" i="5"/>
  <c r="K49" i="7"/>
  <c r="E50" i="5"/>
  <c r="K50" i="7"/>
  <c r="E51" i="5"/>
  <c r="K51" i="7"/>
  <c r="E52" i="5"/>
  <c r="K52" i="7"/>
  <c r="E53" i="5"/>
  <c r="K53" i="7"/>
  <c r="E54" i="5"/>
  <c r="K54" i="7"/>
  <c r="E55" i="5"/>
  <c r="K55" i="7"/>
  <c r="E56" i="5"/>
  <c r="K56" i="7"/>
  <c r="E57" i="5"/>
  <c r="K57" i="7"/>
  <c r="E58" i="5"/>
  <c r="K58" i="7"/>
  <c r="E59" i="5"/>
  <c r="K59" i="7"/>
  <c r="E60" i="5"/>
  <c r="K60" i="7"/>
  <c r="E61" i="5"/>
  <c r="K61" i="7"/>
  <c r="E62" i="5"/>
  <c r="K62" i="7"/>
  <c r="E63" i="5"/>
  <c r="K63" i="7"/>
  <c r="E64" i="5"/>
  <c r="K64" i="7"/>
  <c r="E65" i="5"/>
  <c r="K65" i="7"/>
  <c r="E66" i="5"/>
  <c r="K66" i="7"/>
  <c r="E67" i="5"/>
  <c r="K67" i="7"/>
  <c r="E68" i="5"/>
  <c r="K68" i="7"/>
  <c r="E69" i="5"/>
  <c r="K69" i="7"/>
  <c r="E70" i="5"/>
  <c r="K70" i="7"/>
  <c r="E71" i="5"/>
  <c r="K71" i="7"/>
  <c r="E72" i="5"/>
  <c r="K72" i="7"/>
  <c r="E73" i="5"/>
  <c r="K73" i="7"/>
  <c r="E74" i="5"/>
  <c r="K74" i="7"/>
  <c r="E75" i="5"/>
  <c r="K75" i="7"/>
  <c r="E76" i="5"/>
  <c r="K76" i="7"/>
  <c r="E77" i="5"/>
  <c r="K77" i="7"/>
  <c r="E78" i="5"/>
  <c r="K78" i="7"/>
  <c r="E79" i="5"/>
  <c r="K79" i="7"/>
  <c r="E80" i="5"/>
  <c r="K80" i="7"/>
  <c r="E81" i="5"/>
  <c r="K81" i="7"/>
  <c r="E82" i="5"/>
  <c r="K82" i="7"/>
  <c r="E83" i="5"/>
  <c r="K83" i="7"/>
  <c r="E84" i="5"/>
  <c r="K84" i="7"/>
  <c r="E85" i="5"/>
  <c r="K85" i="7"/>
  <c r="E86" i="5"/>
  <c r="K86" i="7"/>
  <c r="E87" i="5"/>
  <c r="K87" i="7"/>
  <c r="E88" i="5"/>
  <c r="K88" i="7"/>
  <c r="E89" i="5"/>
  <c r="K89" i="7"/>
  <c r="E90" i="5"/>
  <c r="K90" i="7"/>
  <c r="E91" i="5"/>
  <c r="K91" i="7"/>
  <c r="E92" i="5"/>
  <c r="K92" i="7"/>
  <c r="E93" i="5"/>
  <c r="K93" i="7"/>
  <c r="E94" i="5"/>
  <c r="K94" i="7"/>
  <c r="E95" i="5"/>
  <c r="K95" i="7"/>
  <c r="E96" i="5"/>
  <c r="K96" i="7"/>
  <c r="E97" i="5"/>
  <c r="K97" i="7"/>
  <c r="E98" i="5"/>
  <c r="K98" i="7"/>
  <c r="E99" i="5"/>
  <c r="K99" i="7"/>
  <c r="E100" i="5"/>
  <c r="K100" i="7"/>
  <c r="E101" i="5"/>
  <c r="K101" i="7"/>
  <c r="E102" i="5"/>
  <c r="K102" i="7"/>
  <c r="E103" i="5"/>
  <c r="K103" i="7"/>
  <c r="E104" i="5"/>
  <c r="K104" i="7"/>
  <c r="E105" i="5"/>
  <c r="K105" i="7"/>
  <c r="E106" i="5"/>
  <c r="K106" i="7"/>
  <c r="E107" i="5"/>
  <c r="K107" i="7"/>
  <c r="E108" i="5"/>
  <c r="K108" i="7"/>
  <c r="E109" i="5"/>
  <c r="K109" i="7"/>
  <c r="E110" i="5"/>
  <c r="K110" i="7"/>
  <c r="E111" i="5"/>
  <c r="K111" i="7"/>
  <c r="E112" i="5"/>
  <c r="K112" i="7"/>
  <c r="E113" i="5"/>
  <c r="K113" i="7"/>
  <c r="E114" i="5"/>
  <c r="K114" i="7"/>
  <c r="E115" i="5"/>
  <c r="K115" i="7"/>
  <c r="E116" i="5"/>
  <c r="K116" i="7"/>
  <c r="E117" i="5"/>
  <c r="K117" i="7"/>
  <c r="E118" i="5"/>
  <c r="K118" i="7"/>
  <c r="E119" i="5"/>
  <c r="K119" i="7"/>
  <c r="E120" i="5"/>
  <c r="K120" i="7"/>
  <c r="E121" i="5"/>
  <c r="K121" i="7"/>
  <c r="E122" i="5"/>
  <c r="K122" i="7"/>
  <c r="E123" i="5"/>
  <c r="K123" i="7"/>
  <c r="E124" i="5"/>
  <c r="K124" i="7"/>
  <c r="E125" i="5"/>
  <c r="K125" i="7"/>
  <c r="E126" i="5"/>
  <c r="K126" i="7"/>
  <c r="E127" i="5"/>
  <c r="K127" i="7"/>
  <c r="E128" i="5"/>
  <c r="K128" i="7"/>
  <c r="E129" i="5"/>
  <c r="K129" i="7"/>
  <c r="E130" i="5"/>
  <c r="K130" i="7"/>
  <c r="E131" i="5"/>
  <c r="K131" i="7"/>
  <c r="E132" i="5"/>
  <c r="K132" i="7"/>
  <c r="E133" i="5"/>
  <c r="K133" i="7"/>
  <c r="E134" i="5"/>
  <c r="K134" i="7"/>
  <c r="E135" i="5"/>
  <c r="K135" i="7"/>
  <c r="E136" i="5"/>
  <c r="K136" i="7"/>
  <c r="E137" i="5"/>
  <c r="K137" i="7"/>
  <c r="E138" i="5"/>
  <c r="K138" i="7"/>
  <c r="E139" i="5"/>
  <c r="K139" i="7"/>
  <c r="E140" i="5"/>
  <c r="K140" i="7"/>
  <c r="E141" i="5"/>
  <c r="K141" i="7"/>
  <c r="E142" i="5"/>
  <c r="K142" i="7"/>
  <c r="E143" i="5"/>
  <c r="K143" i="7"/>
  <c r="E144" i="5"/>
  <c r="K144" i="7"/>
  <c r="E145" i="5"/>
  <c r="K145" i="7"/>
  <c r="E146" i="5"/>
  <c r="K146" i="7"/>
  <c r="E147" i="5"/>
  <c r="K147" i="7"/>
  <c r="E148" i="5"/>
  <c r="K148" i="7"/>
  <c r="E149" i="5"/>
  <c r="K149" i="7"/>
  <c r="E150" i="5"/>
  <c r="K150" i="7"/>
  <c r="E151" i="5"/>
  <c r="K151" i="7"/>
  <c r="E152" i="5"/>
  <c r="K152" i="7"/>
  <c r="E153" i="5"/>
  <c r="K153" i="7"/>
  <c r="E154" i="5"/>
  <c r="K154" i="7"/>
  <c r="E155" i="5"/>
  <c r="K155" i="7"/>
  <c r="E156" i="5"/>
  <c r="K156" i="7"/>
  <c r="E157" i="5"/>
  <c r="K157" i="7"/>
  <c r="E158" i="5"/>
  <c r="K158" i="7"/>
  <c r="E159" i="5"/>
  <c r="K159" i="7"/>
  <c r="E160" i="5"/>
  <c r="K160" i="7"/>
  <c r="E161" i="5"/>
  <c r="K161" i="7"/>
  <c r="E162" i="5"/>
  <c r="K162" i="7"/>
  <c r="E163" i="5"/>
  <c r="K163" i="7"/>
  <c r="E164" i="5"/>
  <c r="K164" i="7"/>
  <c r="E165" i="5"/>
  <c r="K165" i="7"/>
  <c r="E166" i="5"/>
  <c r="K166" i="7"/>
  <c r="E167" i="5"/>
  <c r="K167" i="7"/>
  <c r="E168" i="5"/>
  <c r="K168" i="7"/>
  <c r="E169" i="5"/>
  <c r="K169" i="7"/>
  <c r="E170" i="5"/>
  <c r="K170" i="7"/>
  <c r="E171" i="5"/>
  <c r="K171" i="7"/>
  <c r="E172" i="5"/>
  <c r="K172" i="7"/>
  <c r="E173" i="5"/>
  <c r="K173" i="7"/>
  <c r="E174" i="5"/>
  <c r="K174" i="7"/>
  <c r="E175" i="5"/>
  <c r="K175" i="7"/>
  <c r="E176" i="5"/>
  <c r="K176" i="7"/>
  <c r="E177" i="5"/>
  <c r="K177" i="7"/>
  <c r="E178" i="5"/>
  <c r="K178" i="7"/>
  <c r="E179" i="5"/>
  <c r="K179" i="7"/>
  <c r="E180" i="5"/>
  <c r="K180" i="7"/>
  <c r="E181" i="5"/>
  <c r="K181" i="7"/>
  <c r="E182" i="5"/>
  <c r="K182" i="7"/>
  <c r="E183" i="5"/>
  <c r="K183" i="7"/>
  <c r="E184" i="5"/>
  <c r="K184" i="7"/>
  <c r="E185" i="5"/>
  <c r="K185" i="7"/>
  <c r="E186" i="5"/>
  <c r="K186" i="7"/>
  <c r="E187" i="5"/>
  <c r="K187" i="7"/>
  <c r="E188" i="5"/>
  <c r="K188" i="7"/>
  <c r="E189" i="5"/>
  <c r="K189" i="7"/>
  <c r="E190" i="5"/>
  <c r="K190" i="7"/>
  <c r="E191" i="5"/>
  <c r="K191" i="7"/>
  <c r="E192" i="5"/>
  <c r="K192" i="7"/>
  <c r="E193" i="5"/>
  <c r="K193" i="7"/>
  <c r="E194" i="5"/>
  <c r="K194" i="7"/>
  <c r="E195" i="5"/>
  <c r="K195" i="7"/>
  <c r="E196" i="5"/>
  <c r="K196" i="7"/>
  <c r="E197" i="5"/>
  <c r="K197" i="7"/>
  <c r="E198" i="5"/>
  <c r="K198" i="7"/>
  <c r="E199" i="5"/>
  <c r="K199" i="7"/>
  <c r="E200" i="5"/>
  <c r="K200" i="7"/>
  <c r="E201" i="5"/>
  <c r="K201" i="7"/>
  <c r="E202" i="5"/>
  <c r="K202" i="7"/>
  <c r="E203" i="5"/>
  <c r="K203" i="7"/>
  <c r="E204" i="5"/>
  <c r="K204" i="7"/>
  <c r="E205" i="5"/>
  <c r="K205" i="7"/>
  <c r="E206" i="5"/>
  <c r="K206" i="7"/>
  <c r="E207" i="5"/>
  <c r="K207" i="7"/>
  <c r="E208" i="5"/>
  <c r="K208" i="7"/>
  <c r="E209" i="5"/>
  <c r="K209" i="7"/>
  <c r="E210" i="5"/>
  <c r="K210" i="7"/>
  <c r="E211" i="5"/>
  <c r="K211" i="7"/>
  <c r="E212" i="5"/>
  <c r="K212" i="7"/>
  <c r="E213" i="5"/>
  <c r="K213" i="7"/>
  <c r="E214" i="5"/>
  <c r="K214" i="7"/>
  <c r="E215" i="5"/>
  <c r="K215" i="7"/>
  <c r="E216" i="5"/>
  <c r="K216" i="7"/>
  <c r="E217" i="5"/>
  <c r="K217" i="7"/>
  <c r="E218" i="5"/>
  <c r="K218" i="7"/>
  <c r="E219" i="5"/>
  <c r="K219" i="7"/>
  <c r="E220" i="5"/>
  <c r="K220" i="7"/>
  <c r="E221" i="5"/>
  <c r="K221" i="7"/>
  <c r="E222" i="5"/>
  <c r="K222" i="7"/>
  <c r="E223" i="5"/>
  <c r="K223" i="7"/>
  <c r="E224" i="5"/>
  <c r="K224" i="7"/>
  <c r="E225" i="5"/>
  <c r="K225" i="7"/>
  <c r="E226" i="5"/>
  <c r="K226" i="7"/>
  <c r="E227" i="5"/>
  <c r="K227" i="7"/>
  <c r="E228" i="5"/>
  <c r="K228" i="7"/>
  <c r="E229" i="5"/>
  <c r="K229" i="7"/>
  <c r="E230" i="5"/>
  <c r="K230" i="7"/>
  <c r="E231" i="5"/>
  <c r="K231" i="7"/>
  <c r="E232" i="5"/>
  <c r="K232" i="7"/>
  <c r="E233" i="5"/>
  <c r="K233" i="7"/>
  <c r="E234" i="5"/>
  <c r="K234" i="7"/>
  <c r="E235" i="5"/>
  <c r="K235" i="7"/>
  <c r="E236" i="5"/>
  <c r="K236" i="7"/>
  <c r="E237" i="5"/>
  <c r="K237" i="7"/>
  <c r="E238" i="5"/>
  <c r="K238" i="7"/>
  <c r="E239" i="5"/>
  <c r="K239" i="7"/>
  <c r="E240" i="5"/>
  <c r="K240" i="7"/>
  <c r="E241" i="5"/>
  <c r="K241" i="7"/>
  <c r="E242" i="5"/>
  <c r="K242" i="7"/>
  <c r="E243" i="5"/>
  <c r="K243" i="7"/>
  <c r="E244" i="5"/>
  <c r="K244" i="7"/>
  <c r="E245" i="5"/>
  <c r="K245" i="7"/>
  <c r="E246" i="5"/>
  <c r="K246" i="7"/>
  <c r="E247" i="5"/>
  <c r="K247" i="7"/>
  <c r="E248" i="5"/>
  <c r="K248" i="7"/>
  <c r="E249" i="5"/>
  <c r="K249" i="7"/>
  <c r="E250" i="5"/>
  <c r="K250" i="7"/>
  <c r="E251" i="5"/>
  <c r="K251" i="7"/>
  <c r="E252" i="5"/>
  <c r="K252" i="7"/>
  <c r="E253" i="5"/>
  <c r="K253" i="7"/>
  <c r="E254" i="5"/>
  <c r="K254" i="7"/>
  <c r="E255" i="5"/>
  <c r="K255" i="7"/>
  <c r="E256" i="5"/>
  <c r="K256" i="7"/>
  <c r="E257" i="5"/>
  <c r="K257" i="7"/>
  <c r="E258" i="5"/>
  <c r="K258" i="7"/>
  <c r="E259" i="5"/>
  <c r="K259" i="7"/>
  <c r="E260" i="5"/>
  <c r="K260" i="7"/>
  <c r="E261" i="5"/>
  <c r="K261" i="7"/>
  <c r="E262" i="5"/>
  <c r="K262" i="7"/>
  <c r="E263" i="5"/>
  <c r="K263" i="7"/>
  <c r="E264" i="5"/>
  <c r="K264" i="7"/>
  <c r="E265" i="5"/>
  <c r="K265" i="7"/>
  <c r="E266" i="5"/>
  <c r="K266" i="7"/>
  <c r="E267" i="5"/>
  <c r="K267" i="7"/>
  <c r="E268" i="5"/>
  <c r="K268" i="7"/>
  <c r="E269" i="5"/>
  <c r="K269" i="7"/>
  <c r="E270" i="5"/>
  <c r="K270" i="7"/>
  <c r="E271" i="5"/>
  <c r="K271" i="7"/>
  <c r="E272" i="5"/>
  <c r="K272" i="7"/>
  <c r="E273" i="5"/>
  <c r="K273" i="7"/>
  <c r="E274" i="5"/>
  <c r="K274" i="7"/>
  <c r="E275" i="5"/>
  <c r="K275" i="7"/>
  <c r="E276" i="5"/>
  <c r="K276" i="7"/>
  <c r="E277" i="5"/>
  <c r="K277" i="7"/>
  <c r="E278" i="5"/>
  <c r="K278" i="7"/>
  <c r="E279" i="5"/>
  <c r="K279" i="7"/>
  <c r="E280" i="5"/>
  <c r="K280" i="7"/>
  <c r="E281" i="5"/>
  <c r="K281" i="7"/>
  <c r="E282" i="5"/>
  <c r="K282" i="7"/>
  <c r="E283" i="5"/>
  <c r="K283" i="7"/>
  <c r="E284" i="5"/>
  <c r="K284" i="7"/>
  <c r="E285" i="5"/>
  <c r="K285" i="7"/>
  <c r="E286" i="5"/>
  <c r="K286" i="7"/>
  <c r="E287" i="5"/>
  <c r="K287" i="7"/>
  <c r="E288" i="5"/>
  <c r="K288" i="7"/>
  <c r="E289" i="5"/>
  <c r="K289" i="7"/>
  <c r="E290" i="5"/>
  <c r="K290" i="7"/>
  <c r="E291" i="5"/>
  <c r="K291" i="7"/>
  <c r="E292" i="5"/>
  <c r="K292" i="7"/>
  <c r="E293" i="5"/>
  <c r="K293" i="7"/>
  <c r="E294" i="5"/>
  <c r="K294" i="7"/>
  <c r="E295" i="5"/>
  <c r="K295" i="7"/>
  <c r="E296" i="5"/>
  <c r="K296" i="7"/>
  <c r="E297" i="5"/>
  <c r="K297" i="7"/>
  <c r="E298" i="5"/>
  <c r="K298" i="7"/>
  <c r="E299" i="5"/>
  <c r="K299" i="7"/>
  <c r="E300" i="5"/>
  <c r="K300" i="7"/>
  <c r="E301" i="5"/>
  <c r="K301" i="7"/>
  <c r="E302" i="5"/>
  <c r="K302" i="7"/>
  <c r="E303" i="5"/>
  <c r="K303" i="7"/>
  <c r="E304" i="5"/>
  <c r="K304" i="7"/>
  <c r="E305" i="5"/>
  <c r="K305" i="7"/>
  <c r="E306" i="5"/>
  <c r="K306" i="7"/>
  <c r="E307" i="5"/>
  <c r="K307" i="7"/>
  <c r="E308" i="5"/>
  <c r="K308" i="7"/>
  <c r="E309" i="5"/>
  <c r="K309" i="7"/>
  <c r="E310" i="5"/>
  <c r="K310" i="7"/>
  <c r="E311" i="5"/>
  <c r="K311" i="7"/>
  <c r="E312" i="5"/>
  <c r="K312" i="7"/>
  <c r="E313" i="5"/>
  <c r="K313" i="7"/>
  <c r="E314" i="5"/>
  <c r="K314" i="7"/>
  <c r="E315" i="5"/>
  <c r="K315" i="7"/>
  <c r="E316" i="5"/>
  <c r="K316" i="7"/>
  <c r="E317" i="5"/>
  <c r="K317" i="7"/>
  <c r="E318" i="5"/>
  <c r="K318" i="7"/>
  <c r="E319" i="5"/>
  <c r="K319" i="7"/>
  <c r="E320" i="5"/>
  <c r="K320" i="7"/>
  <c r="E321" i="5"/>
  <c r="K321" i="7"/>
  <c r="E322" i="5"/>
  <c r="K322" i="7"/>
  <c r="E323" i="5"/>
  <c r="K323" i="7"/>
  <c r="E324" i="5"/>
  <c r="K324" i="7"/>
  <c r="E325" i="5"/>
  <c r="K325" i="7"/>
  <c r="E326" i="5"/>
  <c r="K326" i="7"/>
  <c r="E327" i="5"/>
  <c r="K327" i="7"/>
  <c r="E328" i="5"/>
  <c r="K328" i="7"/>
  <c r="E329" i="5"/>
  <c r="K329" i="7"/>
  <c r="E330" i="5"/>
  <c r="K330" i="7"/>
  <c r="E331" i="5"/>
  <c r="K331" i="7"/>
  <c r="E332" i="5"/>
  <c r="K332" i="7"/>
  <c r="E333" i="5"/>
  <c r="K333" i="7"/>
  <c r="E334" i="5"/>
  <c r="K334" i="7"/>
  <c r="E335" i="5"/>
  <c r="K335" i="7"/>
  <c r="E336" i="5"/>
  <c r="K336" i="7"/>
  <c r="E337" i="5"/>
  <c r="K337" i="7"/>
  <c r="E338" i="5"/>
  <c r="K338" i="7"/>
  <c r="E339" i="5"/>
  <c r="K339" i="7"/>
  <c r="E340" i="5"/>
  <c r="K340" i="7"/>
  <c r="E341" i="5"/>
  <c r="K341" i="7"/>
  <c r="E342" i="5"/>
  <c r="K342" i="7"/>
  <c r="E343" i="5"/>
  <c r="K343" i="7"/>
  <c r="E344" i="5"/>
  <c r="K344" i="7"/>
  <c r="E345" i="5"/>
  <c r="K345" i="7"/>
  <c r="E346" i="5"/>
  <c r="K346" i="7"/>
  <c r="E347" i="5"/>
  <c r="K347" i="7"/>
  <c r="E348" i="5"/>
  <c r="K348" i="7"/>
  <c r="E349" i="5"/>
  <c r="K349" i="7"/>
  <c r="E350" i="5"/>
  <c r="K350" i="7"/>
  <c r="E351" i="5"/>
  <c r="K351" i="7"/>
  <c r="E352" i="5"/>
  <c r="K352" i="7"/>
  <c r="E353" i="5"/>
  <c r="K353" i="7"/>
  <c r="E354" i="5"/>
  <c r="K354" i="7"/>
  <c r="E355" i="5"/>
  <c r="K355" i="7"/>
  <c r="E356" i="5"/>
  <c r="K356" i="7"/>
  <c r="E357" i="5"/>
  <c r="K357" i="7"/>
  <c r="E358" i="5"/>
  <c r="K358" i="7"/>
  <c r="E359" i="5"/>
  <c r="K359" i="7"/>
  <c r="E360" i="5"/>
  <c r="K360" i="7"/>
  <c r="E361" i="5"/>
  <c r="K361" i="7"/>
  <c r="E362" i="5"/>
  <c r="K362" i="7"/>
  <c r="E363" i="5"/>
  <c r="K363" i="7"/>
  <c r="E364" i="5"/>
  <c r="K364" i="7"/>
  <c r="E365" i="5"/>
  <c r="K365" i="7"/>
  <c r="E366" i="5"/>
  <c r="K366" i="7"/>
  <c r="E367" i="5"/>
  <c r="K367" i="7"/>
  <c r="E368" i="5"/>
  <c r="K368" i="7"/>
  <c r="E369" i="5"/>
  <c r="K369" i="7"/>
  <c r="E370" i="5"/>
  <c r="K370" i="7"/>
  <c r="E371" i="5"/>
  <c r="K371" i="7"/>
  <c r="E372" i="5"/>
  <c r="K372" i="7"/>
  <c r="E373" i="5"/>
  <c r="K373" i="7"/>
  <c r="E374" i="5"/>
  <c r="K374" i="7"/>
  <c r="E375" i="5"/>
  <c r="K375" i="7"/>
  <c r="E376" i="5"/>
  <c r="K376" i="7"/>
  <c r="E377" i="5"/>
  <c r="K377" i="7"/>
  <c r="E378" i="5"/>
  <c r="K378" i="7"/>
  <c r="E379" i="5"/>
  <c r="K379" i="7"/>
  <c r="E380" i="5"/>
  <c r="K380" i="7"/>
  <c r="E381" i="5"/>
  <c r="K381" i="7"/>
  <c r="E382" i="5"/>
  <c r="K382" i="7"/>
  <c r="E383" i="5"/>
  <c r="K383" i="7"/>
  <c r="E384" i="5"/>
  <c r="K384" i="7"/>
  <c r="E385" i="5"/>
  <c r="K385" i="7"/>
  <c r="E386" i="5"/>
  <c r="K386" i="7"/>
  <c r="E387" i="5"/>
  <c r="K387" i="7"/>
  <c r="E388" i="5"/>
  <c r="K388" i="7"/>
  <c r="E389" i="5"/>
  <c r="K389" i="7"/>
  <c r="E390" i="5"/>
  <c r="K390" i="7"/>
  <c r="E391" i="5"/>
  <c r="K391" i="7"/>
  <c r="E392" i="5"/>
  <c r="K392" i="7"/>
  <c r="E393" i="5"/>
  <c r="K393" i="7"/>
  <c r="E394" i="5"/>
  <c r="K394" i="7"/>
  <c r="E395" i="5"/>
  <c r="K395" i="7"/>
  <c r="E396" i="5"/>
  <c r="K396" i="7"/>
  <c r="E397" i="5"/>
  <c r="K397" i="7"/>
  <c r="E398" i="5"/>
  <c r="K398" i="7"/>
  <c r="E399" i="5"/>
  <c r="K399" i="7"/>
  <c r="E400" i="5"/>
  <c r="K400" i="7"/>
  <c r="E401" i="5"/>
  <c r="K401" i="7"/>
  <c r="E402" i="5"/>
  <c r="K402" i="7"/>
  <c r="E403" i="5"/>
  <c r="K403" i="7"/>
  <c r="E404" i="5"/>
  <c r="K404" i="7"/>
  <c r="E405" i="5"/>
  <c r="K405" i="7"/>
  <c r="E406" i="5"/>
  <c r="K406" i="7"/>
  <c r="E407" i="5"/>
  <c r="K407" i="7"/>
  <c r="E408" i="5"/>
  <c r="K408" i="7"/>
  <c r="E409" i="5"/>
  <c r="K409" i="7"/>
  <c r="E410" i="5"/>
  <c r="K410" i="7"/>
  <c r="E411" i="5"/>
  <c r="K411" i="7"/>
  <c r="E412" i="5"/>
  <c r="K412" i="7"/>
  <c r="E413" i="5"/>
  <c r="K413" i="7"/>
  <c r="E414" i="5"/>
  <c r="K414" i="7"/>
  <c r="E415" i="5"/>
  <c r="K415" i="7"/>
  <c r="E416" i="5"/>
  <c r="K416" i="7"/>
  <c r="E417" i="5"/>
  <c r="K417" i="7"/>
  <c r="E418" i="5"/>
  <c r="K418" i="7"/>
  <c r="E419" i="5"/>
  <c r="K419" i="7"/>
  <c r="E420" i="5"/>
  <c r="K420" i="7"/>
  <c r="E421" i="5"/>
  <c r="K421" i="7"/>
  <c r="E422" i="5"/>
  <c r="K422" i="7"/>
  <c r="E423" i="5"/>
  <c r="K423" i="7"/>
  <c r="E424" i="5"/>
  <c r="K424" i="7"/>
  <c r="E425" i="5"/>
  <c r="K425" i="7"/>
  <c r="E426" i="5"/>
  <c r="K426" i="7"/>
  <c r="E427" i="5"/>
  <c r="K427" i="7"/>
  <c r="E428" i="5"/>
  <c r="K428" i="7"/>
  <c r="E429" i="5"/>
  <c r="K429" i="7"/>
  <c r="E430" i="5"/>
  <c r="K430" i="7"/>
  <c r="E431" i="5"/>
  <c r="K431" i="7"/>
  <c r="E432" i="5"/>
  <c r="K432" i="7"/>
  <c r="E433" i="5"/>
  <c r="K433" i="7"/>
  <c r="E434" i="5"/>
  <c r="K434" i="7"/>
  <c r="E435" i="5"/>
  <c r="K435" i="7"/>
  <c r="E436" i="5"/>
  <c r="K436" i="7"/>
  <c r="E437" i="5"/>
  <c r="K437" i="7"/>
  <c r="E438" i="5"/>
  <c r="K438" i="7"/>
  <c r="E439" i="5"/>
  <c r="K439" i="7"/>
  <c r="E440" i="5"/>
  <c r="K440" i="7"/>
  <c r="E441" i="5"/>
  <c r="K441" i="7"/>
  <c r="E442" i="5"/>
  <c r="K442" i="7"/>
  <c r="E443" i="5"/>
  <c r="K443" i="7"/>
  <c r="E444" i="5"/>
  <c r="K444" i="7"/>
  <c r="E445" i="5"/>
  <c r="K445" i="7"/>
  <c r="E446" i="5"/>
  <c r="K446" i="7"/>
  <c r="E447" i="5"/>
  <c r="K447" i="7"/>
  <c r="E448" i="5"/>
  <c r="K448" i="7"/>
  <c r="E449" i="5"/>
  <c r="K449" i="7"/>
  <c r="E450" i="5"/>
  <c r="K450" i="7"/>
  <c r="E451" i="5"/>
  <c r="K451" i="7"/>
  <c r="E452" i="5"/>
  <c r="K452" i="7"/>
  <c r="E453" i="5"/>
  <c r="K453" i="7"/>
  <c r="E454" i="5"/>
  <c r="K454" i="7"/>
  <c r="E455" i="5"/>
  <c r="K455" i="7"/>
  <c r="E456" i="5"/>
  <c r="K456" i="7"/>
  <c r="E457" i="5"/>
  <c r="K457" i="7"/>
  <c r="E458" i="5"/>
  <c r="K458" i="7"/>
  <c r="E459" i="5"/>
  <c r="K459" i="7"/>
  <c r="E460" i="5"/>
  <c r="K460" i="7"/>
  <c r="E461" i="5"/>
  <c r="K461" i="7"/>
  <c r="E462" i="5"/>
  <c r="K462" i="7"/>
  <c r="E463" i="5"/>
  <c r="K463" i="7"/>
  <c r="E464" i="5"/>
  <c r="K464" i="7"/>
  <c r="E465" i="5"/>
  <c r="K465" i="7"/>
  <c r="E466" i="5"/>
  <c r="K466" i="7"/>
  <c r="E467" i="5"/>
  <c r="K467" i="7"/>
  <c r="E468" i="5"/>
  <c r="K468" i="7"/>
  <c r="E469" i="5"/>
  <c r="K469" i="7"/>
  <c r="E470" i="5"/>
  <c r="K470" i="7"/>
  <c r="E471" i="5"/>
  <c r="K471" i="7"/>
  <c r="E472" i="5"/>
  <c r="K472" i="7"/>
  <c r="E473" i="5"/>
  <c r="K473" i="7"/>
  <c r="E474" i="5"/>
  <c r="K474" i="7"/>
  <c r="E475" i="5"/>
  <c r="K475" i="7"/>
  <c r="E476" i="5"/>
  <c r="K476" i="7"/>
  <c r="E477" i="5"/>
  <c r="K477" i="7"/>
  <c r="E478" i="5"/>
  <c r="K478" i="7"/>
  <c r="E479" i="5"/>
  <c r="K479" i="7"/>
  <c r="E480" i="5"/>
  <c r="K480" i="7"/>
  <c r="E481" i="5"/>
  <c r="K481" i="7"/>
  <c r="E482" i="5"/>
  <c r="K482" i="7"/>
  <c r="E483" i="5"/>
  <c r="K483" i="7"/>
  <c r="E484" i="5"/>
  <c r="K484" i="7"/>
  <c r="E485" i="5"/>
  <c r="K485" i="7"/>
  <c r="E486" i="5"/>
  <c r="K486" i="7"/>
  <c r="E487" i="5"/>
  <c r="K487" i="7"/>
  <c r="E488" i="5"/>
  <c r="K488" i="7"/>
  <c r="E489" i="5"/>
  <c r="K489" i="7"/>
  <c r="E490" i="5"/>
  <c r="K490" i="7"/>
  <c r="E491" i="5"/>
  <c r="K491" i="7"/>
  <c r="E492" i="5"/>
  <c r="K492" i="7"/>
  <c r="E493" i="5"/>
  <c r="K493" i="7"/>
  <c r="E494" i="5"/>
  <c r="K494" i="7"/>
  <c r="E495" i="5"/>
  <c r="K495" i="7"/>
  <c r="E496" i="5"/>
  <c r="K496" i="7"/>
  <c r="E497" i="5"/>
  <c r="K497" i="7"/>
  <c r="E498" i="5"/>
  <c r="K498" i="7"/>
  <c r="E499" i="5"/>
  <c r="K499" i="7"/>
  <c r="E500" i="5"/>
  <c r="K500" i="7"/>
  <c r="E501" i="5"/>
  <c r="K501" i="7"/>
  <c r="E502" i="5"/>
  <c r="K502" i="7"/>
  <c r="E503" i="5"/>
  <c r="K503" i="7"/>
  <c r="E504" i="5"/>
  <c r="K504" i="7"/>
  <c r="E505" i="5"/>
  <c r="K505" i="7"/>
  <c r="E506" i="5"/>
  <c r="K506" i="7"/>
  <c r="E507" i="5"/>
  <c r="K507" i="7"/>
  <c r="E508" i="5"/>
  <c r="K508" i="7"/>
  <c r="E509" i="5"/>
  <c r="K509" i="7"/>
  <c r="E510" i="5"/>
  <c r="K510" i="7"/>
  <c r="E511" i="5"/>
  <c r="K511" i="7"/>
  <c r="E512" i="5"/>
  <c r="K512" i="7"/>
  <c r="E513" i="5"/>
  <c r="K513" i="7"/>
  <c r="E514" i="5"/>
  <c r="K514" i="7"/>
  <c r="E515" i="5"/>
  <c r="K515" i="7"/>
  <c r="E516" i="5"/>
  <c r="K516" i="7"/>
  <c r="E517" i="5"/>
  <c r="K517" i="7"/>
  <c r="E518" i="5"/>
  <c r="K518" i="7"/>
  <c r="E519" i="5"/>
  <c r="K519" i="7"/>
  <c r="E520" i="5"/>
  <c r="K520" i="7"/>
  <c r="E521" i="5"/>
  <c r="K521" i="7"/>
  <c r="E522" i="5"/>
  <c r="K522" i="7"/>
  <c r="E523" i="5"/>
  <c r="K523" i="7"/>
  <c r="E524" i="5"/>
  <c r="K524" i="7"/>
  <c r="E525" i="5"/>
  <c r="K525" i="7"/>
  <c r="E526" i="5"/>
  <c r="K526" i="7"/>
  <c r="E527" i="5"/>
  <c r="K527" i="7"/>
  <c r="E528" i="5"/>
  <c r="K528" i="7"/>
  <c r="E529" i="5"/>
  <c r="K529" i="7"/>
  <c r="E530" i="5"/>
  <c r="K530" i="7"/>
  <c r="E531" i="5"/>
  <c r="K531" i="7"/>
  <c r="E532" i="5"/>
  <c r="K532" i="7"/>
  <c r="E533" i="5"/>
  <c r="K533" i="7"/>
  <c r="E534" i="5"/>
  <c r="K534" i="7"/>
  <c r="E535" i="5"/>
  <c r="K535" i="7"/>
  <c r="E536" i="5"/>
  <c r="K536" i="7"/>
  <c r="E537" i="5"/>
  <c r="K537" i="7"/>
  <c r="E538" i="5"/>
  <c r="K538" i="7"/>
  <c r="E539" i="5"/>
  <c r="K539" i="7"/>
  <c r="E540" i="5"/>
  <c r="K540" i="7"/>
  <c r="E541" i="5"/>
  <c r="K541" i="7"/>
  <c r="E542" i="5"/>
  <c r="K542" i="7"/>
  <c r="E543" i="5"/>
  <c r="K543" i="7"/>
  <c r="E544" i="5"/>
  <c r="K544" i="7"/>
  <c r="E545" i="5"/>
  <c r="K545" i="7"/>
  <c r="E546" i="5"/>
  <c r="K546" i="7"/>
  <c r="E547" i="5"/>
  <c r="K547" i="7"/>
  <c r="E548" i="5"/>
  <c r="K548" i="7"/>
  <c r="E549" i="5"/>
  <c r="K549" i="7"/>
  <c r="E550" i="5"/>
  <c r="K550" i="7"/>
  <c r="E551" i="5"/>
  <c r="K551" i="7"/>
  <c r="E552" i="5"/>
  <c r="K552" i="7"/>
  <c r="E553" i="5"/>
  <c r="K553" i="7"/>
  <c r="E554" i="5"/>
  <c r="K554" i="7"/>
  <c r="E555" i="5"/>
  <c r="K555" i="7"/>
  <c r="E556" i="5"/>
  <c r="K556" i="7"/>
  <c r="E557" i="5"/>
  <c r="K557" i="7"/>
  <c r="E558" i="5"/>
  <c r="K558" i="7"/>
  <c r="E559" i="5"/>
  <c r="K559" i="7"/>
  <c r="E560" i="5"/>
  <c r="K560" i="7"/>
  <c r="E561" i="5"/>
  <c r="K561" i="7"/>
  <c r="E562" i="5"/>
  <c r="K562" i="7"/>
  <c r="E563" i="5"/>
  <c r="K563" i="7"/>
  <c r="E564" i="5"/>
  <c r="K564" i="7"/>
  <c r="E565" i="5"/>
  <c r="K565" i="7"/>
  <c r="E566" i="5"/>
  <c r="K566" i="7"/>
  <c r="E567" i="5"/>
  <c r="K567" i="7"/>
  <c r="E568" i="5"/>
  <c r="K568" i="7"/>
  <c r="E569" i="5"/>
  <c r="K569" i="7"/>
  <c r="E570" i="5"/>
  <c r="K570" i="7"/>
  <c r="E571" i="5"/>
  <c r="K571" i="7"/>
  <c r="E572" i="5"/>
  <c r="K572" i="7"/>
  <c r="E573" i="5"/>
  <c r="K573" i="7"/>
  <c r="E574" i="5"/>
  <c r="K574" i="7"/>
  <c r="E575" i="5"/>
  <c r="K575" i="7"/>
  <c r="E576" i="5"/>
  <c r="K576" i="7"/>
  <c r="E577" i="5"/>
  <c r="K577" i="7"/>
  <c r="E578" i="5"/>
  <c r="K578" i="7"/>
  <c r="E579" i="5"/>
  <c r="K579" i="7"/>
  <c r="E580" i="5"/>
  <c r="K580" i="7"/>
  <c r="E581" i="5"/>
  <c r="K581" i="7"/>
  <c r="E582" i="5"/>
  <c r="K582" i="7"/>
  <c r="E583" i="5"/>
  <c r="K583" i="7"/>
  <c r="E584" i="5"/>
  <c r="K584" i="7"/>
  <c r="E585" i="5"/>
  <c r="K585" i="7"/>
  <c r="E586" i="5"/>
  <c r="K586" i="7"/>
  <c r="E587" i="5"/>
  <c r="K587" i="7"/>
  <c r="E588" i="5"/>
  <c r="K588" i="7"/>
  <c r="E589" i="5"/>
  <c r="K589" i="7"/>
  <c r="E590" i="5"/>
  <c r="K590" i="7"/>
  <c r="E591" i="5"/>
  <c r="K591" i="7"/>
  <c r="E592" i="5"/>
  <c r="K592" i="7"/>
  <c r="E593" i="5"/>
  <c r="K593" i="7"/>
  <c r="E594" i="5"/>
  <c r="K594" i="7"/>
  <c r="E595" i="5"/>
  <c r="K595" i="7"/>
  <c r="E596" i="5"/>
  <c r="K596" i="7"/>
  <c r="E597" i="5"/>
  <c r="K597" i="7"/>
  <c r="E598" i="5"/>
  <c r="K598" i="7"/>
  <c r="E599" i="5"/>
  <c r="K599" i="7"/>
  <c r="E600" i="5"/>
  <c r="K600" i="7"/>
  <c r="E601" i="5"/>
  <c r="K601" i="7"/>
  <c r="E602" i="5"/>
  <c r="K602" i="7"/>
  <c r="E603" i="5"/>
  <c r="K603" i="7"/>
  <c r="E604" i="5"/>
  <c r="K604" i="7"/>
  <c r="E605" i="5"/>
  <c r="K605" i="7"/>
  <c r="E606" i="5"/>
  <c r="K606" i="7"/>
  <c r="E607" i="5"/>
  <c r="K607" i="7"/>
  <c r="E608" i="5"/>
  <c r="K608" i="7"/>
  <c r="E609" i="5"/>
  <c r="K609" i="7"/>
  <c r="E610" i="5"/>
  <c r="K610" i="7"/>
  <c r="E611" i="5"/>
  <c r="K611" i="7"/>
  <c r="E612" i="5"/>
  <c r="K612" i="7"/>
  <c r="E613" i="5"/>
  <c r="K613" i="7"/>
  <c r="E614" i="5"/>
  <c r="K614" i="7"/>
  <c r="E615" i="5"/>
  <c r="K615" i="7"/>
  <c r="E616" i="5"/>
  <c r="K616" i="7"/>
  <c r="E617" i="5"/>
  <c r="K617" i="7"/>
  <c r="E618" i="5"/>
  <c r="K618" i="7"/>
  <c r="E619" i="5"/>
  <c r="K619" i="7"/>
  <c r="E620" i="5"/>
  <c r="K620" i="7"/>
  <c r="E621" i="5"/>
  <c r="K621" i="7"/>
  <c r="E622" i="5"/>
  <c r="K622" i="7"/>
  <c r="E623" i="5"/>
  <c r="K623" i="7"/>
  <c r="E624" i="5"/>
  <c r="K624" i="7"/>
  <c r="E625" i="5"/>
  <c r="K625" i="7"/>
  <c r="E626" i="5"/>
  <c r="K626" i="7"/>
  <c r="E627" i="5"/>
  <c r="K627" i="7"/>
  <c r="E628" i="5"/>
  <c r="K628" i="7"/>
  <c r="E629" i="5"/>
  <c r="K629" i="7"/>
  <c r="E630" i="5"/>
  <c r="K630" i="7"/>
  <c r="E631" i="5"/>
  <c r="K631" i="7"/>
  <c r="E632" i="5"/>
  <c r="K632" i="7"/>
  <c r="E633" i="5"/>
  <c r="K633" i="7"/>
  <c r="E634" i="5"/>
  <c r="K634" i="7"/>
  <c r="E635" i="5"/>
  <c r="K635" i="7"/>
  <c r="E636" i="5"/>
  <c r="K636" i="7"/>
  <c r="E637" i="5"/>
  <c r="K637" i="7"/>
  <c r="E638" i="5"/>
  <c r="K638" i="7"/>
  <c r="E639" i="5"/>
  <c r="K639" i="7"/>
  <c r="E640" i="5"/>
  <c r="K640" i="7"/>
  <c r="E641" i="5"/>
  <c r="K641" i="7"/>
  <c r="E642" i="5"/>
  <c r="K642" i="7"/>
  <c r="E643" i="5"/>
  <c r="K643" i="7"/>
  <c r="E644" i="5"/>
  <c r="K644" i="7"/>
  <c r="E645" i="5"/>
  <c r="K645" i="7"/>
  <c r="E646" i="5"/>
  <c r="K646" i="7"/>
  <c r="E647" i="5"/>
  <c r="K647" i="7"/>
  <c r="E648" i="5"/>
  <c r="K648" i="7"/>
  <c r="E649" i="5"/>
  <c r="K649" i="7"/>
  <c r="E650" i="5"/>
  <c r="K650" i="7"/>
  <c r="E651" i="5"/>
  <c r="K651" i="7"/>
  <c r="E652" i="5"/>
  <c r="K652" i="7"/>
  <c r="E653" i="5"/>
  <c r="K653" i="7"/>
  <c r="E654" i="5"/>
  <c r="K654" i="7"/>
  <c r="E655" i="5"/>
  <c r="K655" i="7"/>
  <c r="E656" i="5"/>
  <c r="K656" i="7"/>
  <c r="E657" i="5"/>
  <c r="K657" i="7"/>
  <c r="E658" i="5"/>
  <c r="K658" i="7"/>
  <c r="E659" i="5"/>
  <c r="K659" i="7"/>
  <c r="E660" i="5"/>
  <c r="K660" i="7"/>
  <c r="E661" i="5"/>
  <c r="K661" i="7"/>
  <c r="E662" i="5"/>
  <c r="K662" i="7"/>
  <c r="E663" i="5"/>
  <c r="K663" i="7"/>
  <c r="E664" i="5"/>
  <c r="K664" i="7"/>
  <c r="E665" i="5"/>
  <c r="K665" i="7"/>
  <c r="E666" i="5"/>
  <c r="K666" i="7"/>
  <c r="E667" i="5"/>
  <c r="K667" i="7"/>
  <c r="E668" i="5"/>
  <c r="K668" i="7"/>
  <c r="E669" i="5"/>
  <c r="K669" i="7"/>
  <c r="E670" i="5"/>
  <c r="K670" i="7"/>
  <c r="E671" i="5"/>
  <c r="K671" i="7"/>
  <c r="E672" i="5"/>
  <c r="K672" i="7"/>
  <c r="E673" i="5"/>
  <c r="K673" i="7"/>
  <c r="E674" i="5"/>
  <c r="K674" i="7"/>
  <c r="E675" i="5"/>
  <c r="K675" i="7"/>
  <c r="E676" i="5"/>
  <c r="K676" i="7"/>
  <c r="E677" i="5"/>
  <c r="K677" i="7"/>
  <c r="E678" i="5"/>
  <c r="K678" i="7"/>
  <c r="E679" i="5"/>
  <c r="K679" i="7"/>
  <c r="E680" i="5"/>
  <c r="K680" i="7"/>
  <c r="E681" i="5"/>
  <c r="K681" i="7"/>
  <c r="E682" i="5"/>
  <c r="K682" i="7"/>
  <c r="E683" i="5"/>
  <c r="K683" i="7"/>
  <c r="E684" i="5"/>
  <c r="K684" i="7"/>
  <c r="E685" i="5"/>
  <c r="K685" i="7"/>
  <c r="E686" i="5"/>
  <c r="K686" i="7"/>
  <c r="E687" i="5"/>
  <c r="K687" i="7"/>
  <c r="E688" i="5"/>
  <c r="K688" i="7"/>
  <c r="E689" i="5"/>
  <c r="K689" i="7"/>
  <c r="E690" i="5"/>
  <c r="K690" i="7"/>
  <c r="E691" i="5"/>
  <c r="K691" i="7"/>
  <c r="E692" i="5"/>
  <c r="K692" i="7"/>
  <c r="E693" i="5"/>
  <c r="K693" i="7"/>
  <c r="E694" i="5"/>
  <c r="K694" i="7"/>
  <c r="E695" i="5"/>
  <c r="K695" i="7"/>
  <c r="E696" i="5"/>
  <c r="K696" i="7"/>
  <c r="E697" i="5"/>
  <c r="K697" i="7"/>
  <c r="E698" i="5"/>
  <c r="K698" i="7"/>
  <c r="E699" i="5"/>
  <c r="K699" i="7"/>
  <c r="E700" i="5"/>
  <c r="K700" i="7"/>
  <c r="E701" i="5"/>
  <c r="K701" i="7"/>
  <c r="E702" i="5"/>
  <c r="K702" i="7"/>
  <c r="E703" i="5"/>
  <c r="K703" i="7"/>
  <c r="E704" i="5"/>
  <c r="K704" i="7"/>
  <c r="E705" i="5"/>
  <c r="K705" i="7"/>
  <c r="E706" i="5"/>
  <c r="K706" i="7"/>
  <c r="E707" i="5"/>
  <c r="K707" i="7"/>
  <c r="E708" i="5"/>
  <c r="K708" i="7"/>
  <c r="E709" i="5"/>
  <c r="K709" i="7"/>
  <c r="E710" i="5"/>
  <c r="K710" i="7"/>
  <c r="E711" i="5"/>
  <c r="K711" i="7"/>
  <c r="E712" i="5"/>
  <c r="K712" i="7"/>
  <c r="E713" i="5"/>
  <c r="K713" i="7"/>
  <c r="E714" i="5"/>
  <c r="K714" i="7"/>
  <c r="E715" i="5"/>
  <c r="K715" i="7"/>
  <c r="E716" i="5"/>
  <c r="K716" i="7"/>
  <c r="E717" i="5"/>
  <c r="K717" i="7"/>
  <c r="E718" i="5"/>
  <c r="K718" i="7"/>
  <c r="E719" i="5"/>
  <c r="K719" i="7"/>
  <c r="E720" i="5"/>
  <c r="K720" i="7"/>
  <c r="E721" i="5"/>
  <c r="K721" i="7"/>
  <c r="E722" i="5"/>
  <c r="K722" i="7"/>
  <c r="E723" i="5"/>
  <c r="K723" i="7"/>
  <c r="E724" i="5"/>
  <c r="K724" i="7"/>
  <c r="E725" i="5"/>
  <c r="K725" i="7"/>
  <c r="E726" i="5"/>
  <c r="K726" i="7"/>
  <c r="E727" i="5"/>
  <c r="K727" i="7"/>
  <c r="E728" i="5"/>
  <c r="K728" i="7"/>
  <c r="E729" i="5"/>
  <c r="K729" i="7"/>
  <c r="E730" i="5"/>
  <c r="K730" i="7"/>
  <c r="E731" i="5"/>
  <c r="K731" i="7"/>
  <c r="E732" i="5"/>
  <c r="K732" i="7"/>
  <c r="E733" i="5"/>
  <c r="K733" i="7"/>
  <c r="E734" i="5"/>
  <c r="K734" i="7"/>
  <c r="E735" i="5"/>
  <c r="K735" i="7"/>
  <c r="E736" i="5"/>
  <c r="K736" i="7"/>
  <c r="E737" i="5"/>
  <c r="K737" i="7"/>
  <c r="E738" i="5"/>
  <c r="K738" i="7"/>
  <c r="E739" i="5"/>
  <c r="K739" i="7"/>
  <c r="E740" i="5"/>
  <c r="K740" i="7"/>
  <c r="E741" i="5"/>
  <c r="K741" i="7"/>
  <c r="E742" i="5"/>
  <c r="K742" i="7"/>
  <c r="E743" i="5"/>
  <c r="K743" i="7"/>
  <c r="E744" i="5"/>
  <c r="K744" i="7"/>
  <c r="E745" i="5"/>
  <c r="K745" i="7"/>
  <c r="E746" i="5"/>
  <c r="K746" i="7"/>
  <c r="E747" i="5"/>
  <c r="K747" i="7"/>
  <c r="E748" i="5"/>
  <c r="K748" i="7"/>
  <c r="E749" i="5"/>
  <c r="K749" i="7"/>
  <c r="E750" i="5"/>
  <c r="K750" i="7"/>
  <c r="E751" i="5"/>
  <c r="K751" i="7"/>
  <c r="E752" i="5"/>
  <c r="K752" i="7"/>
  <c r="E753" i="5"/>
  <c r="K753" i="7"/>
  <c r="E754" i="5"/>
  <c r="K754" i="7"/>
  <c r="E755" i="5"/>
  <c r="K755" i="7"/>
  <c r="E756" i="5"/>
  <c r="K756" i="7"/>
  <c r="E757" i="5"/>
  <c r="K757" i="7"/>
  <c r="E758" i="5"/>
  <c r="K758" i="7"/>
  <c r="E759" i="5"/>
  <c r="K759" i="7"/>
  <c r="E760" i="5"/>
  <c r="K760" i="7"/>
  <c r="E761" i="5"/>
  <c r="K761" i="7"/>
  <c r="E762" i="5"/>
  <c r="K762" i="7"/>
  <c r="E763" i="5"/>
  <c r="K763" i="7"/>
  <c r="E764" i="5"/>
  <c r="K764" i="7"/>
  <c r="E765" i="5"/>
  <c r="K765" i="7"/>
  <c r="E766" i="5"/>
  <c r="K766" i="7"/>
  <c r="E767" i="5"/>
  <c r="K767" i="7"/>
  <c r="E768" i="5"/>
  <c r="K768" i="7"/>
  <c r="E769" i="5"/>
  <c r="K769" i="7"/>
  <c r="E770" i="5"/>
  <c r="K770" i="7"/>
  <c r="E771" i="5"/>
  <c r="K771" i="7"/>
  <c r="E772" i="5"/>
  <c r="K772" i="7"/>
  <c r="E773" i="5"/>
  <c r="K773" i="7"/>
  <c r="E774" i="5"/>
  <c r="K774" i="7"/>
  <c r="E775" i="5"/>
  <c r="K775" i="7"/>
  <c r="E776" i="5"/>
  <c r="K776" i="7"/>
  <c r="E777" i="5"/>
  <c r="K777" i="7"/>
  <c r="E778" i="5"/>
  <c r="K778" i="7"/>
  <c r="E779" i="5"/>
  <c r="K779" i="7"/>
  <c r="E780" i="5"/>
  <c r="K780" i="7"/>
  <c r="E781" i="5"/>
  <c r="K781" i="7"/>
  <c r="E782" i="5"/>
  <c r="K782" i="7"/>
  <c r="E783" i="5"/>
  <c r="K783" i="7"/>
  <c r="E784" i="5"/>
  <c r="K784" i="7"/>
  <c r="E785" i="5"/>
  <c r="K785" i="7"/>
  <c r="E786" i="5"/>
  <c r="K786" i="7"/>
  <c r="E787" i="5"/>
  <c r="K787" i="7"/>
  <c r="E788" i="5"/>
  <c r="K788" i="7"/>
  <c r="E789" i="5"/>
  <c r="K789" i="7"/>
  <c r="E790" i="5"/>
  <c r="K790" i="7"/>
  <c r="E791" i="5"/>
  <c r="K792" i="7"/>
  <c r="E793" i="5"/>
  <c r="K793" i="7"/>
  <c r="E794" i="5"/>
  <c r="K794" i="7"/>
  <c r="E795" i="5"/>
  <c r="K795" i="7"/>
  <c r="E796" i="5"/>
  <c r="K796" i="7"/>
  <c r="E797" i="5"/>
  <c r="K797" i="7"/>
  <c r="E798" i="5"/>
  <c r="K798" i="7"/>
  <c r="E799" i="5"/>
  <c r="K799" i="7"/>
  <c r="E800" i="5"/>
  <c r="K800" i="7"/>
  <c r="E801" i="5"/>
  <c r="K801" i="7"/>
  <c r="E802" i="5"/>
  <c r="K804" i="7"/>
  <c r="E805" i="5"/>
  <c r="K805" i="7"/>
  <c r="E806" i="5"/>
  <c r="K806" i="7"/>
  <c r="E807" i="5"/>
  <c r="K807" i="7"/>
  <c r="E808" i="5"/>
  <c r="K808" i="7"/>
  <c r="E809" i="5"/>
  <c r="K809" i="7"/>
  <c r="E810" i="5"/>
  <c r="K810" i="7"/>
  <c r="E811" i="5"/>
  <c r="K811" i="7"/>
  <c r="E812" i="5"/>
  <c r="K812" i="7"/>
  <c r="E813" i="5"/>
  <c r="K813" i="7"/>
  <c r="E814" i="5"/>
  <c r="K814" i="7"/>
  <c r="E815" i="5"/>
  <c r="K815" i="7"/>
  <c r="E816" i="5"/>
  <c r="K816" i="7"/>
  <c r="E817" i="5"/>
  <c r="K817" i="7"/>
  <c r="E818" i="5"/>
  <c r="K818" i="7"/>
  <c r="E819" i="5"/>
  <c r="K819" i="7"/>
  <c r="E820" i="5"/>
  <c r="K820" i="7"/>
  <c r="E821" i="5"/>
  <c r="K821" i="7"/>
  <c r="E822" i="5"/>
  <c r="K822" i="7"/>
  <c r="E823" i="5"/>
  <c r="K823" i="7"/>
  <c r="E824" i="5"/>
  <c r="K824" i="7"/>
  <c r="E825" i="5"/>
  <c r="K825" i="7"/>
  <c r="E826" i="5"/>
  <c r="K826" i="7"/>
  <c r="E827" i="5"/>
  <c r="K827" i="7"/>
  <c r="E828" i="5"/>
  <c r="K828" i="7"/>
  <c r="E829" i="5"/>
  <c r="K829" i="7"/>
  <c r="E830" i="5"/>
  <c r="K830" i="7"/>
  <c r="E831" i="5"/>
  <c r="K831" i="7"/>
  <c r="E832" i="5"/>
  <c r="K832" i="7"/>
  <c r="E833" i="5"/>
  <c r="K833" i="7"/>
  <c r="E834" i="5"/>
  <c r="K834" i="7"/>
  <c r="E835" i="5"/>
  <c r="K835" i="7"/>
  <c r="E836" i="5"/>
  <c r="K836" i="7"/>
  <c r="E837" i="5"/>
  <c r="K837" i="7"/>
  <c r="E838" i="5"/>
  <c r="K838" i="7"/>
  <c r="E839" i="5"/>
  <c r="K839" i="7"/>
  <c r="E840" i="5"/>
  <c r="K840" i="7"/>
  <c r="E841" i="5"/>
  <c r="K841" i="7"/>
  <c r="E842" i="5"/>
  <c r="K842" i="7"/>
  <c r="E843" i="5"/>
  <c r="K843" i="7"/>
  <c r="E844" i="5"/>
  <c r="K844" i="7"/>
  <c r="E845" i="5"/>
  <c r="K845" i="7"/>
  <c r="E846" i="5"/>
  <c r="K846" i="7"/>
  <c r="E847" i="5"/>
  <c r="K847" i="7"/>
  <c r="E848" i="5"/>
  <c r="K848" i="7"/>
  <c r="E849" i="5"/>
  <c r="K849" i="7"/>
  <c r="E850" i="5"/>
  <c r="K850" i="7"/>
  <c r="E851" i="5"/>
  <c r="K851" i="7"/>
  <c r="E852" i="5"/>
  <c r="K852" i="7"/>
  <c r="E853" i="5"/>
  <c r="K853" i="7"/>
  <c r="E854" i="5"/>
  <c r="K854" i="7"/>
  <c r="E855" i="5"/>
  <c r="K855" i="7"/>
  <c r="E856" i="5"/>
  <c r="K856" i="7"/>
  <c r="E857" i="5"/>
  <c r="K857" i="7"/>
  <c r="E858" i="5"/>
  <c r="K858" i="7"/>
  <c r="E859" i="5"/>
  <c r="K859" i="7"/>
  <c r="E860" i="5"/>
  <c r="K860" i="7"/>
  <c r="E861" i="5"/>
  <c r="K861" i="7"/>
  <c r="E862" i="5"/>
  <c r="K862" i="7"/>
  <c r="E863" i="5"/>
  <c r="K863" i="7"/>
  <c r="E864" i="5"/>
  <c r="K864" i="7"/>
  <c r="E865" i="5"/>
  <c r="K865" i="7"/>
  <c r="E866" i="5"/>
  <c r="K866" i="7"/>
  <c r="E867" i="5"/>
  <c r="K867" i="7"/>
  <c r="E868" i="5"/>
  <c r="K868" i="7"/>
  <c r="E869" i="5"/>
  <c r="K869" i="7"/>
  <c r="E870" i="5"/>
  <c r="K870" i="7"/>
  <c r="E871" i="5"/>
  <c r="K871" i="7"/>
  <c r="E872" i="5"/>
  <c r="K872" i="7"/>
  <c r="E873" i="5"/>
  <c r="K873" i="7"/>
  <c r="E874" i="5"/>
  <c r="K874" i="7"/>
  <c r="E875" i="5"/>
  <c r="K875" i="7"/>
  <c r="E876" i="5"/>
  <c r="K876" i="7"/>
  <c r="E877" i="5"/>
  <c r="K877" i="7"/>
  <c r="E878" i="5"/>
  <c r="K878" i="7"/>
  <c r="E879" i="5"/>
  <c r="K879" i="7"/>
  <c r="E880" i="5"/>
  <c r="K880" i="7"/>
  <c r="E881" i="5"/>
  <c r="K881" i="7"/>
  <c r="E882" i="5"/>
  <c r="K882" i="7"/>
  <c r="E883" i="5"/>
  <c r="K883" i="7"/>
  <c r="E884" i="5"/>
  <c r="K884" i="7"/>
  <c r="E885" i="5"/>
  <c r="K885" i="7"/>
  <c r="E886" i="5"/>
  <c r="K886" i="7"/>
  <c r="E887" i="5"/>
  <c r="K887" i="7"/>
  <c r="E888" i="5"/>
  <c r="K888" i="7"/>
  <c r="E889" i="5"/>
  <c r="K889" i="7"/>
  <c r="E890" i="5"/>
  <c r="K890" i="7"/>
  <c r="E891" i="5"/>
  <c r="K891" i="7"/>
  <c r="E892" i="5"/>
  <c r="K892" i="7"/>
  <c r="E893" i="5"/>
  <c r="K893" i="7"/>
  <c r="E894" i="5"/>
  <c r="K894" i="7"/>
  <c r="E895" i="5"/>
  <c r="K895" i="7"/>
  <c r="E896" i="5"/>
  <c r="K896" i="7"/>
  <c r="E897" i="5"/>
  <c r="K897" i="7"/>
  <c r="E898" i="5"/>
  <c r="K898" i="7"/>
  <c r="E899" i="5"/>
  <c r="K899" i="7"/>
  <c r="E900" i="5"/>
  <c r="K900" i="7"/>
  <c r="E901" i="5"/>
  <c r="K901" i="7"/>
  <c r="E902" i="5"/>
  <c r="K902" i="7"/>
  <c r="E903" i="5"/>
  <c r="K903" i="7"/>
  <c r="E904" i="5"/>
  <c r="K904" i="7"/>
  <c r="E905" i="5"/>
  <c r="K905" i="7"/>
  <c r="E906" i="5"/>
  <c r="K906" i="7"/>
  <c r="E907" i="5"/>
  <c r="K907" i="7"/>
  <c r="E908" i="5"/>
  <c r="K908" i="7"/>
  <c r="E909" i="5"/>
  <c r="K909" i="7"/>
  <c r="E910" i="5"/>
  <c r="K910" i="7"/>
  <c r="E911" i="5"/>
  <c r="K911" i="7"/>
  <c r="E912" i="5"/>
  <c r="K912" i="7"/>
  <c r="E913" i="5"/>
  <c r="K913" i="7"/>
  <c r="E914" i="5"/>
  <c r="K914" i="7"/>
  <c r="E915" i="5"/>
  <c r="K915" i="7"/>
  <c r="E916" i="5"/>
  <c r="K916" i="7"/>
  <c r="E917" i="5"/>
  <c r="K917" i="7"/>
  <c r="E918" i="5"/>
  <c r="K918" i="7"/>
  <c r="E919" i="5"/>
  <c r="K919" i="7"/>
  <c r="E920" i="5"/>
  <c r="K920" i="7"/>
  <c r="E921" i="5"/>
  <c r="K921" i="7"/>
  <c r="E922" i="5"/>
  <c r="K922" i="7"/>
  <c r="E923" i="5"/>
  <c r="K923" i="7"/>
  <c r="E924" i="5"/>
  <c r="K924" i="7"/>
  <c r="E925" i="5"/>
  <c r="K925" i="7"/>
  <c r="E926" i="5"/>
  <c r="K926" i="7"/>
  <c r="E927" i="5"/>
  <c r="K927" i="7"/>
  <c r="E928" i="5"/>
  <c r="K928" i="7"/>
  <c r="E929" i="5"/>
  <c r="K929" i="7"/>
  <c r="E930" i="5"/>
  <c r="K930" i="7"/>
  <c r="E931" i="5"/>
  <c r="K931" i="7"/>
  <c r="E932" i="5"/>
  <c r="K932" i="7"/>
  <c r="E933" i="5"/>
  <c r="K933" i="7"/>
  <c r="E934" i="5"/>
  <c r="K934" i="7"/>
  <c r="E935" i="5"/>
  <c r="K935" i="7"/>
  <c r="E936" i="5"/>
  <c r="K936" i="7"/>
  <c r="E937" i="5"/>
  <c r="K937" i="7"/>
  <c r="E938" i="5"/>
  <c r="K938" i="7"/>
  <c r="E939" i="5"/>
  <c r="K939" i="7"/>
  <c r="E940" i="5"/>
  <c r="K940" i="7"/>
  <c r="E941" i="5"/>
  <c r="K941" i="7"/>
  <c r="E942" i="5"/>
  <c r="K942" i="7"/>
  <c r="E943" i="5"/>
  <c r="K943" i="7"/>
  <c r="E944" i="5"/>
  <c r="K944" i="7"/>
  <c r="E945" i="5"/>
  <c r="K945" i="7"/>
  <c r="E946" i="5"/>
  <c r="K946" i="7"/>
  <c r="E947" i="5"/>
  <c r="K947" i="7"/>
  <c r="E948" i="5"/>
  <c r="K948" i="7"/>
  <c r="E949" i="5"/>
  <c r="K949" i="7"/>
  <c r="E950" i="5"/>
  <c r="K950" i="7"/>
  <c r="E951" i="5"/>
  <c r="K951" i="7"/>
  <c r="E952" i="5"/>
  <c r="K952" i="7"/>
  <c r="E953" i="5"/>
  <c r="K953" i="7"/>
  <c r="E954" i="5"/>
  <c r="K954" i="7"/>
  <c r="E955" i="5"/>
  <c r="K955" i="7"/>
  <c r="E956" i="5"/>
  <c r="K956" i="7"/>
  <c r="E957" i="5"/>
  <c r="K957" i="7"/>
  <c r="E958" i="5"/>
  <c r="K958" i="7"/>
  <c r="E959" i="5"/>
  <c r="K959" i="7"/>
  <c r="E960" i="5"/>
  <c r="K960" i="7"/>
  <c r="E961" i="5"/>
  <c r="K961" i="7"/>
  <c r="E962" i="5"/>
  <c r="K962" i="7"/>
  <c r="E963" i="5"/>
  <c r="K963" i="7"/>
  <c r="E964" i="5"/>
  <c r="K964" i="7"/>
  <c r="E965" i="5"/>
  <c r="K965" i="7"/>
  <c r="E966" i="5"/>
  <c r="K966" i="7"/>
  <c r="E967" i="5"/>
  <c r="K967" i="7"/>
  <c r="E968" i="5"/>
  <c r="K968" i="7"/>
  <c r="E969" i="5"/>
  <c r="K969" i="7"/>
  <c r="E970" i="5"/>
  <c r="K970" i="7"/>
  <c r="E971" i="5"/>
  <c r="K971" i="7"/>
  <c r="E972" i="5"/>
  <c r="K972" i="7"/>
  <c r="E973" i="5"/>
  <c r="K973" i="7"/>
  <c r="E974" i="5"/>
  <c r="K974" i="7"/>
  <c r="E975" i="5"/>
  <c r="K975" i="7"/>
  <c r="E976" i="5"/>
  <c r="K976" i="7"/>
  <c r="E977" i="5"/>
  <c r="K977" i="7"/>
  <c r="E978" i="5"/>
  <c r="K978" i="7"/>
  <c r="E979" i="5"/>
  <c r="K979" i="7"/>
  <c r="E980" i="5"/>
  <c r="K980" i="7"/>
  <c r="E981" i="5"/>
  <c r="K981" i="7"/>
  <c r="E982" i="5"/>
  <c r="K982" i="7"/>
  <c r="E983" i="5"/>
  <c r="K983" i="7"/>
  <c r="E984" i="5"/>
  <c r="K984" i="7"/>
  <c r="E985" i="5"/>
  <c r="K985" i="7"/>
  <c r="E986" i="5"/>
  <c r="K987" i="7"/>
  <c r="E988" i="5"/>
  <c r="K988" i="7"/>
  <c r="E989" i="5"/>
  <c r="K989" i="7"/>
  <c r="E990" i="5"/>
  <c r="K990" i="7"/>
  <c r="E991" i="5"/>
  <c r="K991" i="7"/>
  <c r="E992" i="5"/>
  <c r="K992" i="7"/>
  <c r="E993" i="5"/>
  <c r="K994" i="7"/>
  <c r="E995" i="5"/>
  <c r="K995" i="7"/>
  <c r="E996" i="5"/>
  <c r="K996" i="7"/>
  <c r="E997" i="5"/>
  <c r="K997" i="7"/>
  <c r="E998" i="5"/>
  <c r="K998" i="7"/>
  <c r="E999" i="5"/>
  <c r="K1001" i="7"/>
  <c r="E1002" i="5"/>
  <c r="K1002" i="7"/>
  <c r="E1003" i="5"/>
  <c r="K1003" i="7"/>
  <c r="E1004" i="5"/>
  <c r="K1004" i="7"/>
  <c r="E1005" i="5"/>
  <c r="K1005" i="7"/>
  <c r="E1006" i="5"/>
  <c r="K1006" i="7"/>
  <c r="E1007" i="5"/>
  <c r="K1007" i="7"/>
  <c r="E1008" i="5"/>
  <c r="K1008" i="7"/>
  <c r="E1009" i="5"/>
  <c r="K1009" i="7"/>
  <c r="E1010" i="5"/>
  <c r="K1010" i="7"/>
  <c r="E1011" i="5"/>
  <c r="K1011" i="7"/>
  <c r="E1012" i="5"/>
  <c r="K1012" i="7"/>
  <c r="E1013" i="5"/>
  <c r="K1013" i="7"/>
  <c r="E1014" i="5"/>
  <c r="K1014" i="7"/>
  <c r="E1015" i="5"/>
  <c r="K1015" i="7"/>
  <c r="E1016" i="5"/>
  <c r="K1016" i="7"/>
  <c r="E1017" i="5"/>
  <c r="K1017" i="7"/>
  <c r="E1018" i="5"/>
  <c r="K1018" i="7"/>
  <c r="E1019" i="5"/>
  <c r="K1019" i="7"/>
  <c r="E1020" i="5"/>
  <c r="K1020" i="7"/>
  <c r="E1021" i="5"/>
  <c r="K1021" i="7"/>
  <c r="E1022" i="5"/>
  <c r="K1022" i="7"/>
  <c r="E1023" i="5"/>
  <c r="K1023" i="7"/>
  <c r="E1024" i="5"/>
  <c r="K1024" i="7"/>
  <c r="E1025" i="5"/>
  <c r="K1025" i="7"/>
  <c r="E1026" i="5"/>
  <c r="K1026" i="7"/>
  <c r="E1027" i="5"/>
  <c r="K1027" i="7"/>
  <c r="E1028" i="5"/>
  <c r="K1028" i="7"/>
  <c r="E1029" i="5"/>
  <c r="K1029" i="7"/>
  <c r="E1030" i="5"/>
  <c r="K1031" i="7"/>
  <c r="E1032" i="5"/>
  <c r="K1032" i="7"/>
  <c r="E1033" i="5"/>
  <c r="K1033" i="7"/>
  <c r="E1034" i="5"/>
  <c r="K1034" i="7"/>
  <c r="E1035" i="5"/>
  <c r="K1035" i="7"/>
  <c r="E1036" i="5"/>
  <c r="K1036" i="7"/>
  <c r="E1037" i="5"/>
  <c r="K1037" i="7"/>
  <c r="E1038" i="5"/>
  <c r="K1038" i="7"/>
  <c r="E1039" i="5"/>
  <c r="K1039" i="7"/>
  <c r="E1040" i="5"/>
  <c r="K1040" i="7"/>
  <c r="E1041" i="5"/>
  <c r="K1041" i="7"/>
  <c r="E1042" i="5"/>
  <c r="K1042" i="7"/>
  <c r="E1043" i="5"/>
  <c r="K1043" i="7"/>
  <c r="E1044" i="5"/>
  <c r="K1044" i="7"/>
  <c r="E1045" i="5"/>
  <c r="K1045" i="7"/>
  <c r="E1046" i="5"/>
  <c r="K1046" i="7"/>
  <c r="E1047" i="5"/>
  <c r="K1047" i="7"/>
  <c r="E1048" i="5"/>
  <c r="K1048" i="7"/>
  <c r="E1049" i="5"/>
  <c r="K1049" i="7"/>
  <c r="E1050" i="5"/>
  <c r="K1050" i="7"/>
  <c r="E1051" i="5"/>
  <c r="K1051" i="7"/>
  <c r="E1052" i="5"/>
  <c r="K1052" i="7"/>
  <c r="K1053" i="7"/>
  <c r="K1054" i="7"/>
  <c r="K3" i="7"/>
  <c r="E4" i="5"/>
  <c r="K4" i="7"/>
  <c r="E5" i="5"/>
  <c r="K5" i="7"/>
  <c r="E6" i="5"/>
  <c r="K6" i="7"/>
  <c r="E7" i="5"/>
  <c r="K7" i="7"/>
  <c r="E8" i="5"/>
  <c r="K8" i="7"/>
  <c r="E9" i="5"/>
  <c r="K2" i="7"/>
  <c r="E3" i="5"/>
  <c r="K554" i="5"/>
  <c r="K378" i="5"/>
  <c r="K380" i="5"/>
  <c r="K745" i="5"/>
  <c r="K553" i="5"/>
  <c r="K537" i="5"/>
  <c r="K377" i="5"/>
  <c r="K552" i="5"/>
  <c r="K376" i="5"/>
  <c r="K551" i="5"/>
  <c r="K375" i="5"/>
  <c r="K557" i="5"/>
  <c r="K550" i="5"/>
  <c r="K390" i="5"/>
  <c r="K374" i="5"/>
  <c r="K381" i="5"/>
  <c r="K549" i="5"/>
  <c r="K389" i="5"/>
  <c r="K373" i="5"/>
  <c r="K555" i="5"/>
  <c r="K548" i="5"/>
  <c r="K388" i="5"/>
  <c r="K372" i="5"/>
  <c r="K180" i="5"/>
  <c r="K556" i="5"/>
  <c r="K547" i="5"/>
  <c r="K387" i="5"/>
  <c r="K195" i="5"/>
  <c r="K179" i="5"/>
  <c r="K546" i="5"/>
  <c r="K386" i="5"/>
  <c r="K210" i="5"/>
  <c r="K561" i="5"/>
  <c r="K545" i="5"/>
  <c r="K385" i="5"/>
  <c r="K9" i="5"/>
  <c r="K560" i="5"/>
  <c r="K544" i="5"/>
  <c r="K384" i="5"/>
  <c r="K379" i="5"/>
  <c r="K559" i="5"/>
  <c r="K543" i="5"/>
  <c r="K383" i="5"/>
  <c r="K558" i="5"/>
  <c r="K382" i="5"/>
  <c r="N13" i="9"/>
  <c r="M13" i="9"/>
  <c r="M12" i="9"/>
  <c r="L12" i="9"/>
  <c r="K12" i="9"/>
  <c r="K11" i="9"/>
  <c r="N8" i="9"/>
  <c r="N7" i="9"/>
  <c r="N10" i="9"/>
  <c r="M7" i="9"/>
  <c r="M10" i="9"/>
  <c r="L7" i="9"/>
  <c r="L10" i="9"/>
  <c r="K7" i="9"/>
  <c r="K10" i="9"/>
  <c r="N6" i="9"/>
  <c r="L13" i="9"/>
  <c r="N9" i="9"/>
  <c r="M6" i="9"/>
  <c r="K13" i="9"/>
  <c r="N12" i="9"/>
  <c r="M9" i="9"/>
  <c r="L6" i="9"/>
  <c r="L9" i="9"/>
  <c r="K6" i="9"/>
  <c r="K9" i="9"/>
  <c r="N5" i="9"/>
  <c r="M5" i="9"/>
  <c r="N11" i="9"/>
  <c r="M8" i="9"/>
  <c r="L5" i="9"/>
  <c r="M11" i="9"/>
  <c r="L8" i="9"/>
  <c r="K5" i="9"/>
  <c r="L11" i="9"/>
  <c r="K8" i="9"/>
  <c r="N4" i="9"/>
  <c r="M4" i="9"/>
  <c r="L4" i="9"/>
  <c r="K4" i="9"/>
  <c r="A103" i="5"/>
  <c r="B103" i="5"/>
  <c r="C103" i="5"/>
  <c r="D103" i="5"/>
  <c r="G103" i="5"/>
  <c r="H103" i="5"/>
  <c r="A104" i="5"/>
  <c r="B104" i="5"/>
  <c r="C104" i="5"/>
  <c r="D104" i="5"/>
  <c r="G104" i="5"/>
  <c r="H104" i="5"/>
  <c r="A105" i="5"/>
  <c r="B105" i="5"/>
  <c r="C105" i="5"/>
  <c r="D105" i="5"/>
  <c r="G105" i="5"/>
  <c r="H105" i="5"/>
  <c r="A106" i="5"/>
  <c r="B106" i="5"/>
  <c r="C106" i="5"/>
  <c r="D106" i="5"/>
  <c r="G106" i="5"/>
  <c r="H106" i="5"/>
  <c r="A107" i="5"/>
  <c r="B107" i="5"/>
  <c r="C107" i="5"/>
  <c r="D107" i="5"/>
  <c r="G107" i="5"/>
  <c r="H107" i="5"/>
  <c r="A108" i="5"/>
  <c r="B108" i="5"/>
  <c r="C108" i="5"/>
  <c r="D108" i="5"/>
  <c r="G108" i="5"/>
  <c r="H108" i="5"/>
  <c r="A109" i="5"/>
  <c r="B109" i="5"/>
  <c r="C109" i="5"/>
  <c r="D109" i="5"/>
  <c r="G109" i="5"/>
  <c r="H109" i="5"/>
  <c r="A110" i="5"/>
  <c r="B110" i="5"/>
  <c r="C110" i="5"/>
  <c r="D110" i="5"/>
  <c r="G110" i="5"/>
  <c r="H110" i="5"/>
  <c r="A111" i="5"/>
  <c r="B111" i="5"/>
  <c r="C111" i="5"/>
  <c r="D111" i="5"/>
  <c r="G111" i="5"/>
  <c r="H111" i="5"/>
  <c r="A112" i="5"/>
  <c r="B112" i="5"/>
  <c r="C112" i="5"/>
  <c r="D112" i="5"/>
  <c r="G112" i="5"/>
  <c r="H112" i="5"/>
  <c r="A113" i="5"/>
  <c r="B113" i="5"/>
  <c r="C113" i="5"/>
  <c r="D113" i="5"/>
  <c r="G113" i="5"/>
  <c r="H113" i="5"/>
  <c r="A114" i="5"/>
  <c r="B114" i="5"/>
  <c r="C114" i="5"/>
  <c r="D114" i="5"/>
  <c r="G114" i="5"/>
  <c r="H114" i="5"/>
  <c r="A115" i="5"/>
  <c r="B115" i="5"/>
  <c r="C115" i="5"/>
  <c r="D115" i="5"/>
  <c r="G115" i="5"/>
  <c r="H115" i="5"/>
  <c r="A116" i="5"/>
  <c r="B116" i="5"/>
  <c r="C116" i="5"/>
  <c r="D116" i="5"/>
  <c r="G116" i="5"/>
  <c r="H116" i="5"/>
  <c r="A117" i="5"/>
  <c r="B117" i="5"/>
  <c r="C117" i="5"/>
  <c r="D117" i="5"/>
  <c r="G117" i="5"/>
  <c r="H117" i="5"/>
  <c r="A118" i="5"/>
  <c r="B118" i="5"/>
  <c r="C118" i="5"/>
  <c r="D118" i="5"/>
  <c r="G118" i="5"/>
  <c r="H118" i="5"/>
  <c r="A119" i="5"/>
  <c r="B119" i="5"/>
  <c r="C119" i="5"/>
  <c r="D119" i="5"/>
  <c r="G119" i="5"/>
  <c r="H119" i="5"/>
  <c r="A120" i="5"/>
  <c r="B120" i="5"/>
  <c r="C120" i="5"/>
  <c r="D120" i="5"/>
  <c r="G120" i="5"/>
  <c r="H120" i="5"/>
  <c r="A121" i="5"/>
  <c r="B121" i="5"/>
  <c r="C121" i="5"/>
  <c r="D121" i="5"/>
  <c r="G121" i="5"/>
  <c r="H121" i="5"/>
  <c r="A122" i="5"/>
  <c r="B122" i="5"/>
  <c r="C122" i="5"/>
  <c r="D122" i="5"/>
  <c r="G122" i="5"/>
  <c r="H122" i="5"/>
  <c r="A123" i="5"/>
  <c r="B123" i="5"/>
  <c r="C123" i="5"/>
  <c r="D123" i="5"/>
  <c r="G123" i="5"/>
  <c r="H123" i="5"/>
  <c r="A124" i="5"/>
  <c r="B124" i="5"/>
  <c r="C124" i="5"/>
  <c r="D124" i="5"/>
  <c r="G124" i="5"/>
  <c r="H124" i="5"/>
  <c r="A125" i="5"/>
  <c r="B125" i="5"/>
  <c r="C125" i="5"/>
  <c r="D125" i="5"/>
  <c r="G125" i="5"/>
  <c r="H125" i="5"/>
  <c r="A126" i="5"/>
  <c r="B126" i="5"/>
  <c r="C126" i="5"/>
  <c r="D126" i="5"/>
  <c r="G126" i="5"/>
  <c r="H126" i="5"/>
  <c r="A127" i="5"/>
  <c r="B127" i="5"/>
  <c r="C127" i="5"/>
  <c r="D127" i="5"/>
  <c r="G127" i="5"/>
  <c r="H127" i="5"/>
  <c r="A128" i="5"/>
  <c r="B128" i="5"/>
  <c r="C128" i="5"/>
  <c r="D128" i="5"/>
  <c r="G128" i="5"/>
  <c r="H128" i="5"/>
  <c r="A129" i="5"/>
  <c r="B129" i="5"/>
  <c r="C129" i="5"/>
  <c r="D129" i="5"/>
  <c r="G129" i="5"/>
  <c r="H129" i="5"/>
  <c r="A130" i="5"/>
  <c r="B130" i="5"/>
  <c r="C130" i="5"/>
  <c r="D130" i="5"/>
  <c r="G130" i="5"/>
  <c r="H130" i="5"/>
  <c r="A131" i="5"/>
  <c r="B131" i="5"/>
  <c r="C131" i="5"/>
  <c r="D131" i="5"/>
  <c r="G131" i="5"/>
  <c r="H131" i="5"/>
  <c r="A132" i="5"/>
  <c r="B132" i="5"/>
  <c r="C132" i="5"/>
  <c r="D132" i="5"/>
  <c r="G132" i="5"/>
  <c r="H132" i="5"/>
  <c r="A133" i="5"/>
  <c r="B133" i="5"/>
  <c r="C133" i="5"/>
  <c r="D133" i="5"/>
  <c r="G133" i="5"/>
  <c r="H133" i="5"/>
  <c r="A134" i="5"/>
  <c r="B134" i="5"/>
  <c r="C134" i="5"/>
  <c r="D134" i="5"/>
  <c r="G134" i="5"/>
  <c r="H134" i="5"/>
  <c r="A135" i="5"/>
  <c r="B135" i="5"/>
  <c r="C135" i="5"/>
  <c r="D135" i="5"/>
  <c r="G135" i="5"/>
  <c r="H135" i="5"/>
  <c r="A136" i="5"/>
  <c r="B136" i="5"/>
  <c r="C136" i="5"/>
  <c r="D136" i="5"/>
  <c r="G136" i="5"/>
  <c r="H136" i="5"/>
  <c r="A137" i="5"/>
  <c r="B137" i="5"/>
  <c r="C137" i="5"/>
  <c r="D137" i="5"/>
  <c r="G137" i="5"/>
  <c r="H137" i="5"/>
  <c r="A138" i="5"/>
  <c r="B138" i="5"/>
  <c r="C138" i="5"/>
  <c r="D138" i="5"/>
  <c r="G138" i="5"/>
  <c r="H138" i="5"/>
  <c r="A139" i="5"/>
  <c r="B139" i="5"/>
  <c r="C139" i="5"/>
  <c r="D139" i="5"/>
  <c r="G139" i="5"/>
  <c r="H139" i="5"/>
  <c r="A140" i="5"/>
  <c r="B140" i="5"/>
  <c r="C140" i="5"/>
  <c r="D140" i="5"/>
  <c r="G140" i="5"/>
  <c r="H140" i="5"/>
  <c r="A141" i="5"/>
  <c r="B141" i="5"/>
  <c r="C141" i="5"/>
  <c r="D141" i="5"/>
  <c r="G141" i="5"/>
  <c r="H141" i="5"/>
  <c r="A142" i="5"/>
  <c r="B142" i="5"/>
  <c r="C142" i="5"/>
  <c r="D142" i="5"/>
  <c r="G142" i="5"/>
  <c r="H142" i="5"/>
  <c r="A143" i="5"/>
  <c r="B143" i="5"/>
  <c r="C143" i="5"/>
  <c r="D143" i="5"/>
  <c r="G143" i="5"/>
  <c r="H143" i="5"/>
  <c r="A144" i="5"/>
  <c r="B144" i="5"/>
  <c r="C144" i="5"/>
  <c r="D144" i="5"/>
  <c r="G144" i="5"/>
  <c r="H144" i="5"/>
  <c r="A145" i="5"/>
  <c r="B145" i="5"/>
  <c r="C145" i="5"/>
  <c r="D145" i="5"/>
  <c r="G145" i="5"/>
  <c r="H145" i="5"/>
  <c r="A146" i="5"/>
  <c r="B146" i="5"/>
  <c r="C146" i="5"/>
  <c r="D146" i="5"/>
  <c r="G146" i="5"/>
  <c r="H146" i="5"/>
  <c r="A147" i="5"/>
  <c r="B147" i="5"/>
  <c r="C147" i="5"/>
  <c r="D147" i="5"/>
  <c r="G147" i="5"/>
  <c r="H147" i="5"/>
  <c r="A148" i="5"/>
  <c r="B148" i="5"/>
  <c r="C148" i="5"/>
  <c r="D148" i="5"/>
  <c r="G148" i="5"/>
  <c r="H148" i="5"/>
  <c r="A149" i="5"/>
  <c r="B149" i="5"/>
  <c r="C149" i="5"/>
  <c r="D149" i="5"/>
  <c r="G149" i="5"/>
  <c r="H149" i="5"/>
  <c r="A150" i="5"/>
  <c r="B150" i="5"/>
  <c r="C150" i="5"/>
  <c r="D150" i="5"/>
  <c r="G150" i="5"/>
  <c r="H150" i="5"/>
  <c r="A151" i="5"/>
  <c r="B151" i="5"/>
  <c r="C151" i="5"/>
  <c r="D151" i="5"/>
  <c r="G151" i="5"/>
  <c r="H151" i="5"/>
  <c r="A152" i="5"/>
  <c r="B152" i="5"/>
  <c r="C152" i="5"/>
  <c r="D152" i="5"/>
  <c r="G152" i="5"/>
  <c r="H152" i="5"/>
  <c r="A153" i="5"/>
  <c r="B153" i="5"/>
  <c r="C153" i="5"/>
  <c r="D153" i="5"/>
  <c r="G153" i="5"/>
  <c r="H153" i="5"/>
  <c r="A154" i="5"/>
  <c r="B154" i="5"/>
  <c r="C154" i="5"/>
  <c r="D154" i="5"/>
  <c r="G154" i="5"/>
  <c r="H154" i="5"/>
  <c r="A155" i="5"/>
  <c r="B155" i="5"/>
  <c r="C155" i="5"/>
  <c r="D155" i="5"/>
  <c r="G155" i="5"/>
  <c r="H155" i="5"/>
  <c r="A156" i="5"/>
  <c r="B156" i="5"/>
  <c r="C156" i="5"/>
  <c r="D156" i="5"/>
  <c r="G156" i="5"/>
  <c r="H156" i="5"/>
  <c r="A157" i="5"/>
  <c r="B157" i="5"/>
  <c r="C157" i="5"/>
  <c r="D157" i="5"/>
  <c r="G157" i="5"/>
  <c r="H157" i="5"/>
  <c r="A158" i="5"/>
  <c r="B158" i="5"/>
  <c r="C158" i="5"/>
  <c r="D158" i="5"/>
  <c r="G158" i="5"/>
  <c r="H158" i="5"/>
  <c r="A159" i="5"/>
  <c r="B159" i="5"/>
  <c r="C159" i="5"/>
  <c r="D159" i="5"/>
  <c r="G159" i="5"/>
  <c r="H159" i="5"/>
  <c r="A160" i="5"/>
  <c r="B160" i="5"/>
  <c r="C160" i="5"/>
  <c r="D160" i="5"/>
  <c r="G160" i="5"/>
  <c r="H160" i="5"/>
  <c r="A161" i="5"/>
  <c r="B161" i="5"/>
  <c r="C161" i="5"/>
  <c r="D161" i="5"/>
  <c r="G161" i="5"/>
  <c r="H161" i="5"/>
  <c r="A162" i="5"/>
  <c r="B162" i="5"/>
  <c r="C162" i="5"/>
  <c r="D162" i="5"/>
  <c r="G162" i="5"/>
  <c r="H162" i="5"/>
  <c r="A163" i="5"/>
  <c r="B163" i="5"/>
  <c r="C163" i="5"/>
  <c r="D163" i="5"/>
  <c r="G163" i="5"/>
  <c r="H163" i="5"/>
  <c r="A164" i="5"/>
  <c r="B164" i="5"/>
  <c r="C164" i="5"/>
  <c r="D164" i="5"/>
  <c r="G164" i="5"/>
  <c r="H164" i="5"/>
  <c r="A165" i="5"/>
  <c r="B165" i="5"/>
  <c r="C165" i="5"/>
  <c r="D165" i="5"/>
  <c r="G165" i="5"/>
  <c r="H165" i="5"/>
  <c r="A166" i="5"/>
  <c r="B166" i="5"/>
  <c r="C166" i="5"/>
  <c r="D166" i="5"/>
  <c r="G166" i="5"/>
  <c r="H166" i="5"/>
  <c r="A167" i="5"/>
  <c r="B167" i="5"/>
  <c r="C167" i="5"/>
  <c r="D167" i="5"/>
  <c r="G167" i="5"/>
  <c r="H167" i="5"/>
  <c r="A168" i="5"/>
  <c r="B168" i="5"/>
  <c r="C168" i="5"/>
  <c r="D168" i="5"/>
  <c r="G168" i="5"/>
  <c r="H168" i="5"/>
  <c r="A169" i="5"/>
  <c r="B169" i="5"/>
  <c r="C169" i="5"/>
  <c r="D169" i="5"/>
  <c r="G169" i="5"/>
  <c r="H169" i="5"/>
  <c r="A170" i="5"/>
  <c r="B170" i="5"/>
  <c r="C170" i="5"/>
  <c r="D170" i="5"/>
  <c r="G170" i="5"/>
  <c r="H170" i="5"/>
  <c r="A171" i="5"/>
  <c r="B171" i="5"/>
  <c r="C171" i="5"/>
  <c r="D171" i="5"/>
  <c r="G171" i="5"/>
  <c r="H171" i="5"/>
  <c r="A172" i="5"/>
  <c r="B172" i="5"/>
  <c r="C172" i="5"/>
  <c r="D172" i="5"/>
  <c r="G172" i="5"/>
  <c r="H172" i="5"/>
  <c r="A173" i="5"/>
  <c r="B173" i="5"/>
  <c r="C173" i="5"/>
  <c r="D173" i="5"/>
  <c r="G173" i="5"/>
  <c r="H173" i="5"/>
  <c r="A174" i="5"/>
  <c r="B174" i="5"/>
  <c r="C174" i="5"/>
  <c r="D174" i="5"/>
  <c r="G174" i="5"/>
  <c r="H174" i="5"/>
  <c r="A175" i="5"/>
  <c r="B175" i="5"/>
  <c r="C175" i="5"/>
  <c r="D175" i="5"/>
  <c r="G175" i="5"/>
  <c r="H175" i="5"/>
  <c r="A176" i="5"/>
  <c r="B176" i="5"/>
  <c r="C176" i="5"/>
  <c r="D176" i="5"/>
  <c r="G176" i="5"/>
  <c r="H176" i="5"/>
  <c r="A177" i="5"/>
  <c r="B177" i="5"/>
  <c r="C177" i="5"/>
  <c r="D177" i="5"/>
  <c r="G177" i="5"/>
  <c r="H177" i="5"/>
  <c r="A178" i="5"/>
  <c r="B178" i="5"/>
  <c r="C178" i="5"/>
  <c r="D178" i="5"/>
  <c r="G178" i="5"/>
  <c r="H178" i="5"/>
  <c r="A179" i="5"/>
  <c r="B179" i="5"/>
  <c r="C179" i="5"/>
  <c r="D179" i="5"/>
  <c r="G179" i="5"/>
  <c r="H179" i="5"/>
  <c r="A180" i="5"/>
  <c r="B180" i="5"/>
  <c r="C180" i="5"/>
  <c r="D180" i="5"/>
  <c r="G180" i="5"/>
  <c r="H180" i="5"/>
  <c r="A181" i="5"/>
  <c r="B181" i="5"/>
  <c r="C181" i="5"/>
  <c r="D181" i="5"/>
  <c r="G181" i="5"/>
  <c r="H181" i="5"/>
  <c r="A182" i="5"/>
  <c r="B182" i="5"/>
  <c r="C182" i="5"/>
  <c r="D182" i="5"/>
  <c r="G182" i="5"/>
  <c r="H182" i="5"/>
  <c r="A183" i="5"/>
  <c r="B183" i="5"/>
  <c r="C183" i="5"/>
  <c r="D183" i="5"/>
  <c r="G183" i="5"/>
  <c r="H183" i="5"/>
  <c r="A184" i="5"/>
  <c r="B184" i="5"/>
  <c r="C184" i="5"/>
  <c r="D184" i="5"/>
  <c r="G184" i="5"/>
  <c r="H184" i="5"/>
  <c r="A185" i="5"/>
  <c r="B185" i="5"/>
  <c r="C185" i="5"/>
  <c r="D185" i="5"/>
  <c r="G185" i="5"/>
  <c r="H185" i="5"/>
  <c r="A186" i="5"/>
  <c r="B186" i="5"/>
  <c r="C186" i="5"/>
  <c r="D186" i="5"/>
  <c r="G186" i="5"/>
  <c r="H186" i="5"/>
  <c r="A187" i="5"/>
  <c r="B187" i="5"/>
  <c r="C187" i="5"/>
  <c r="D187" i="5"/>
  <c r="G187" i="5"/>
  <c r="H187" i="5"/>
  <c r="A188" i="5"/>
  <c r="B188" i="5"/>
  <c r="C188" i="5"/>
  <c r="D188" i="5"/>
  <c r="G188" i="5"/>
  <c r="H188" i="5"/>
  <c r="A189" i="5"/>
  <c r="B189" i="5"/>
  <c r="C189" i="5"/>
  <c r="D189" i="5"/>
  <c r="G189" i="5"/>
  <c r="H189" i="5"/>
  <c r="A190" i="5"/>
  <c r="B190" i="5"/>
  <c r="C190" i="5"/>
  <c r="D190" i="5"/>
  <c r="G190" i="5"/>
  <c r="H190" i="5"/>
  <c r="A191" i="5"/>
  <c r="B191" i="5"/>
  <c r="C191" i="5"/>
  <c r="D191" i="5"/>
  <c r="G191" i="5"/>
  <c r="H191" i="5"/>
  <c r="A192" i="5"/>
  <c r="B192" i="5"/>
  <c r="C192" i="5"/>
  <c r="D192" i="5"/>
  <c r="G192" i="5"/>
  <c r="H192" i="5"/>
  <c r="A193" i="5"/>
  <c r="B193" i="5"/>
  <c r="C193" i="5"/>
  <c r="D193" i="5"/>
  <c r="G193" i="5"/>
  <c r="H193" i="5"/>
  <c r="A194" i="5"/>
  <c r="B194" i="5"/>
  <c r="C194" i="5"/>
  <c r="D194" i="5"/>
  <c r="G194" i="5"/>
  <c r="H194" i="5"/>
  <c r="A195" i="5"/>
  <c r="B195" i="5"/>
  <c r="C195" i="5"/>
  <c r="D195" i="5"/>
  <c r="G195" i="5"/>
  <c r="H195" i="5"/>
  <c r="A196" i="5"/>
  <c r="B196" i="5"/>
  <c r="C196" i="5"/>
  <c r="D196" i="5"/>
  <c r="G196" i="5"/>
  <c r="H196" i="5"/>
  <c r="A197" i="5"/>
  <c r="B197" i="5"/>
  <c r="C197" i="5"/>
  <c r="D197" i="5"/>
  <c r="G197" i="5"/>
  <c r="H197" i="5"/>
  <c r="A198" i="5"/>
  <c r="B198" i="5"/>
  <c r="C198" i="5"/>
  <c r="D198" i="5"/>
  <c r="G198" i="5"/>
  <c r="H198" i="5"/>
  <c r="A199" i="5"/>
  <c r="B199" i="5"/>
  <c r="C199" i="5"/>
  <c r="D199" i="5"/>
  <c r="G199" i="5"/>
  <c r="H199" i="5"/>
  <c r="A200" i="5"/>
  <c r="B200" i="5"/>
  <c r="C200" i="5"/>
  <c r="D200" i="5"/>
  <c r="G200" i="5"/>
  <c r="H200" i="5"/>
  <c r="A201" i="5"/>
  <c r="B201" i="5"/>
  <c r="C201" i="5"/>
  <c r="D201" i="5"/>
  <c r="G201" i="5"/>
  <c r="H201" i="5"/>
  <c r="A202" i="5"/>
  <c r="B202" i="5"/>
  <c r="C202" i="5"/>
  <c r="D202" i="5"/>
  <c r="G202" i="5"/>
  <c r="H202" i="5"/>
  <c r="A203" i="5"/>
  <c r="B203" i="5"/>
  <c r="C203" i="5"/>
  <c r="D203" i="5"/>
  <c r="G203" i="5"/>
  <c r="H203" i="5"/>
  <c r="A204" i="5"/>
  <c r="B204" i="5"/>
  <c r="C204" i="5"/>
  <c r="D204" i="5"/>
  <c r="G204" i="5"/>
  <c r="H204" i="5"/>
  <c r="A205" i="5"/>
  <c r="B205" i="5"/>
  <c r="C205" i="5"/>
  <c r="D205" i="5"/>
  <c r="G205" i="5"/>
  <c r="H205" i="5"/>
  <c r="A206" i="5"/>
  <c r="B206" i="5"/>
  <c r="C206" i="5"/>
  <c r="D206" i="5"/>
  <c r="G206" i="5"/>
  <c r="H206" i="5"/>
  <c r="A207" i="5"/>
  <c r="B207" i="5"/>
  <c r="C207" i="5"/>
  <c r="D207" i="5"/>
  <c r="G207" i="5"/>
  <c r="H207" i="5"/>
  <c r="A208" i="5"/>
  <c r="B208" i="5"/>
  <c r="C208" i="5"/>
  <c r="D208" i="5"/>
  <c r="G208" i="5"/>
  <c r="H208" i="5"/>
  <c r="A209" i="5"/>
  <c r="B209" i="5"/>
  <c r="C209" i="5"/>
  <c r="D209" i="5"/>
  <c r="G209" i="5"/>
  <c r="H209" i="5"/>
  <c r="A210" i="5"/>
  <c r="B210" i="5"/>
  <c r="C210" i="5"/>
  <c r="D210" i="5"/>
  <c r="G210" i="5"/>
  <c r="H210" i="5"/>
  <c r="A211" i="5"/>
  <c r="B211" i="5"/>
  <c r="C211" i="5"/>
  <c r="D211" i="5"/>
  <c r="G211" i="5"/>
  <c r="H211" i="5"/>
  <c r="A212" i="5"/>
  <c r="B212" i="5"/>
  <c r="C212" i="5"/>
  <c r="D212" i="5"/>
  <c r="G212" i="5"/>
  <c r="H212" i="5"/>
  <c r="A213" i="5"/>
  <c r="B213" i="5"/>
  <c r="C213" i="5"/>
  <c r="D213" i="5"/>
  <c r="G213" i="5"/>
  <c r="H213" i="5"/>
  <c r="A214" i="5"/>
  <c r="B214" i="5"/>
  <c r="C214" i="5"/>
  <c r="D214" i="5"/>
  <c r="G214" i="5"/>
  <c r="H214" i="5"/>
  <c r="A215" i="5"/>
  <c r="B215" i="5"/>
  <c r="C215" i="5"/>
  <c r="D215" i="5"/>
  <c r="G215" i="5"/>
  <c r="H215" i="5"/>
  <c r="A216" i="5"/>
  <c r="B216" i="5"/>
  <c r="C216" i="5"/>
  <c r="D216" i="5"/>
  <c r="G216" i="5"/>
  <c r="H216" i="5"/>
  <c r="A217" i="5"/>
  <c r="B217" i="5"/>
  <c r="C217" i="5"/>
  <c r="D217" i="5"/>
  <c r="G217" i="5"/>
  <c r="H217" i="5"/>
  <c r="A218" i="5"/>
  <c r="B218" i="5"/>
  <c r="C218" i="5"/>
  <c r="D218" i="5"/>
  <c r="G218" i="5"/>
  <c r="H218" i="5"/>
  <c r="A219" i="5"/>
  <c r="B219" i="5"/>
  <c r="C219" i="5"/>
  <c r="D219" i="5"/>
  <c r="G219" i="5"/>
  <c r="H219" i="5"/>
  <c r="A220" i="5"/>
  <c r="B220" i="5"/>
  <c r="C220" i="5"/>
  <c r="D220" i="5"/>
  <c r="G220" i="5"/>
  <c r="H220" i="5"/>
  <c r="A221" i="5"/>
  <c r="B221" i="5"/>
  <c r="C221" i="5"/>
  <c r="D221" i="5"/>
  <c r="G221" i="5"/>
  <c r="H221" i="5"/>
  <c r="A222" i="5"/>
  <c r="B222" i="5"/>
  <c r="C222" i="5"/>
  <c r="D222" i="5"/>
  <c r="G222" i="5"/>
  <c r="H222" i="5"/>
  <c r="A223" i="5"/>
  <c r="B223" i="5"/>
  <c r="C223" i="5"/>
  <c r="D223" i="5"/>
  <c r="G223" i="5"/>
  <c r="H223" i="5"/>
  <c r="A224" i="5"/>
  <c r="B224" i="5"/>
  <c r="C224" i="5"/>
  <c r="D224" i="5"/>
  <c r="G224" i="5"/>
  <c r="H224" i="5"/>
  <c r="A225" i="5"/>
  <c r="B225" i="5"/>
  <c r="C225" i="5"/>
  <c r="D225" i="5"/>
  <c r="G225" i="5"/>
  <c r="H225" i="5"/>
  <c r="A226" i="5"/>
  <c r="B226" i="5"/>
  <c r="C226" i="5"/>
  <c r="D226" i="5"/>
  <c r="G226" i="5"/>
  <c r="H226" i="5"/>
  <c r="A227" i="5"/>
  <c r="B227" i="5"/>
  <c r="C227" i="5"/>
  <c r="D227" i="5"/>
  <c r="G227" i="5"/>
  <c r="H227" i="5"/>
  <c r="A228" i="5"/>
  <c r="B228" i="5"/>
  <c r="C228" i="5"/>
  <c r="D228" i="5"/>
  <c r="G228" i="5"/>
  <c r="H228" i="5"/>
  <c r="A229" i="5"/>
  <c r="B229" i="5"/>
  <c r="C229" i="5"/>
  <c r="D229" i="5"/>
  <c r="G229" i="5"/>
  <c r="H229" i="5"/>
  <c r="A230" i="5"/>
  <c r="B230" i="5"/>
  <c r="C230" i="5"/>
  <c r="D230" i="5"/>
  <c r="G230" i="5"/>
  <c r="H230" i="5"/>
  <c r="A231" i="5"/>
  <c r="B231" i="5"/>
  <c r="C231" i="5"/>
  <c r="D231" i="5"/>
  <c r="G231" i="5"/>
  <c r="H231" i="5"/>
  <c r="A232" i="5"/>
  <c r="B232" i="5"/>
  <c r="C232" i="5"/>
  <c r="D232" i="5"/>
  <c r="G232" i="5"/>
  <c r="H232" i="5"/>
  <c r="A233" i="5"/>
  <c r="B233" i="5"/>
  <c r="C233" i="5"/>
  <c r="D233" i="5"/>
  <c r="G233" i="5"/>
  <c r="H233" i="5"/>
  <c r="A234" i="5"/>
  <c r="B234" i="5"/>
  <c r="C234" i="5"/>
  <c r="D234" i="5"/>
  <c r="G234" i="5"/>
  <c r="H234" i="5"/>
  <c r="A235" i="5"/>
  <c r="B235" i="5"/>
  <c r="C235" i="5"/>
  <c r="D235" i="5"/>
  <c r="G235" i="5"/>
  <c r="H235" i="5"/>
  <c r="A236" i="5"/>
  <c r="B236" i="5"/>
  <c r="C236" i="5"/>
  <c r="D236" i="5"/>
  <c r="G236" i="5"/>
  <c r="H236" i="5"/>
  <c r="A237" i="5"/>
  <c r="B237" i="5"/>
  <c r="C237" i="5"/>
  <c r="D237" i="5"/>
  <c r="G237" i="5"/>
  <c r="H237" i="5"/>
  <c r="A238" i="5"/>
  <c r="B238" i="5"/>
  <c r="C238" i="5"/>
  <c r="D238" i="5"/>
  <c r="G238" i="5"/>
  <c r="H238" i="5"/>
  <c r="A239" i="5"/>
  <c r="B239" i="5"/>
  <c r="C239" i="5"/>
  <c r="D239" i="5"/>
  <c r="G239" i="5"/>
  <c r="H239" i="5"/>
  <c r="A240" i="5"/>
  <c r="B240" i="5"/>
  <c r="C240" i="5"/>
  <c r="D240" i="5"/>
  <c r="G240" i="5"/>
  <c r="H240" i="5"/>
  <c r="A241" i="5"/>
  <c r="B241" i="5"/>
  <c r="C241" i="5"/>
  <c r="D241" i="5"/>
  <c r="G241" i="5"/>
  <c r="H241" i="5"/>
  <c r="A242" i="5"/>
  <c r="B242" i="5"/>
  <c r="C242" i="5"/>
  <c r="D242" i="5"/>
  <c r="G242" i="5"/>
  <c r="H242" i="5"/>
  <c r="A243" i="5"/>
  <c r="B243" i="5"/>
  <c r="C243" i="5"/>
  <c r="D243" i="5"/>
  <c r="G243" i="5"/>
  <c r="H243" i="5"/>
  <c r="A244" i="5"/>
  <c r="B244" i="5"/>
  <c r="C244" i="5"/>
  <c r="D244" i="5"/>
  <c r="G244" i="5"/>
  <c r="H244" i="5"/>
  <c r="A245" i="5"/>
  <c r="B245" i="5"/>
  <c r="C245" i="5"/>
  <c r="D245" i="5"/>
  <c r="G245" i="5"/>
  <c r="H245" i="5"/>
  <c r="A246" i="5"/>
  <c r="B246" i="5"/>
  <c r="C246" i="5"/>
  <c r="D246" i="5"/>
  <c r="G246" i="5"/>
  <c r="H246" i="5"/>
  <c r="A247" i="5"/>
  <c r="B247" i="5"/>
  <c r="C247" i="5"/>
  <c r="D247" i="5"/>
  <c r="G247" i="5"/>
  <c r="H247" i="5"/>
  <c r="A248" i="5"/>
  <c r="B248" i="5"/>
  <c r="C248" i="5"/>
  <c r="D248" i="5"/>
  <c r="G248" i="5"/>
  <c r="H248" i="5"/>
  <c r="A249" i="5"/>
  <c r="B249" i="5"/>
  <c r="C249" i="5"/>
  <c r="D249" i="5"/>
  <c r="G249" i="5"/>
  <c r="H249" i="5"/>
  <c r="A250" i="5"/>
  <c r="B250" i="5"/>
  <c r="C250" i="5"/>
  <c r="D250" i="5"/>
  <c r="G250" i="5"/>
  <c r="H250" i="5"/>
  <c r="A251" i="5"/>
  <c r="B251" i="5"/>
  <c r="C251" i="5"/>
  <c r="D251" i="5"/>
  <c r="G251" i="5"/>
  <c r="H251" i="5"/>
  <c r="A252" i="5"/>
  <c r="B252" i="5"/>
  <c r="C252" i="5"/>
  <c r="D252" i="5"/>
  <c r="G252" i="5"/>
  <c r="H252" i="5"/>
  <c r="A253" i="5"/>
  <c r="B253" i="5"/>
  <c r="C253" i="5"/>
  <c r="D253" i="5"/>
  <c r="G253" i="5"/>
  <c r="H253" i="5"/>
  <c r="A254" i="5"/>
  <c r="B254" i="5"/>
  <c r="C254" i="5"/>
  <c r="D254" i="5"/>
  <c r="G254" i="5"/>
  <c r="H254" i="5"/>
  <c r="A255" i="5"/>
  <c r="B255" i="5"/>
  <c r="C255" i="5"/>
  <c r="D255" i="5"/>
  <c r="G255" i="5"/>
  <c r="H255" i="5"/>
  <c r="A256" i="5"/>
  <c r="B256" i="5"/>
  <c r="C256" i="5"/>
  <c r="D256" i="5"/>
  <c r="G256" i="5"/>
  <c r="H256" i="5"/>
  <c r="A257" i="5"/>
  <c r="B257" i="5"/>
  <c r="C257" i="5"/>
  <c r="D257" i="5"/>
  <c r="G257" i="5"/>
  <c r="H257" i="5"/>
  <c r="A258" i="5"/>
  <c r="B258" i="5"/>
  <c r="C258" i="5"/>
  <c r="D258" i="5"/>
  <c r="G258" i="5"/>
  <c r="H258" i="5"/>
  <c r="A259" i="5"/>
  <c r="B259" i="5"/>
  <c r="C259" i="5"/>
  <c r="D259" i="5"/>
  <c r="G259" i="5"/>
  <c r="H259" i="5"/>
  <c r="A260" i="5"/>
  <c r="B260" i="5"/>
  <c r="C260" i="5"/>
  <c r="D260" i="5"/>
  <c r="G260" i="5"/>
  <c r="H260" i="5"/>
  <c r="A261" i="5"/>
  <c r="B261" i="5"/>
  <c r="C261" i="5"/>
  <c r="D261" i="5"/>
  <c r="G261" i="5"/>
  <c r="H261" i="5"/>
  <c r="A262" i="5"/>
  <c r="B262" i="5"/>
  <c r="C262" i="5"/>
  <c r="D262" i="5"/>
  <c r="G262" i="5"/>
  <c r="H262" i="5"/>
  <c r="A263" i="5"/>
  <c r="B263" i="5"/>
  <c r="C263" i="5"/>
  <c r="D263" i="5"/>
  <c r="G263" i="5"/>
  <c r="H263" i="5"/>
  <c r="A264" i="5"/>
  <c r="B264" i="5"/>
  <c r="C264" i="5"/>
  <c r="D264" i="5"/>
  <c r="G264" i="5"/>
  <c r="H264" i="5"/>
  <c r="A265" i="5"/>
  <c r="B265" i="5"/>
  <c r="C265" i="5"/>
  <c r="D265" i="5"/>
  <c r="G265" i="5"/>
  <c r="H265" i="5"/>
  <c r="A266" i="5"/>
  <c r="B266" i="5"/>
  <c r="C266" i="5"/>
  <c r="D266" i="5"/>
  <c r="G266" i="5"/>
  <c r="H266" i="5"/>
  <c r="A267" i="5"/>
  <c r="B267" i="5"/>
  <c r="C267" i="5"/>
  <c r="D267" i="5"/>
  <c r="G267" i="5"/>
  <c r="H267" i="5"/>
  <c r="A268" i="5"/>
  <c r="B268" i="5"/>
  <c r="C268" i="5"/>
  <c r="D268" i="5"/>
  <c r="G268" i="5"/>
  <c r="H268" i="5"/>
  <c r="A269" i="5"/>
  <c r="B269" i="5"/>
  <c r="C269" i="5"/>
  <c r="D269" i="5"/>
  <c r="G269" i="5"/>
  <c r="H269" i="5"/>
  <c r="A270" i="5"/>
  <c r="B270" i="5"/>
  <c r="C270" i="5"/>
  <c r="D270" i="5"/>
  <c r="G270" i="5"/>
  <c r="H270" i="5"/>
  <c r="A271" i="5"/>
  <c r="B271" i="5"/>
  <c r="C271" i="5"/>
  <c r="D271" i="5"/>
  <c r="G271" i="5"/>
  <c r="H271" i="5"/>
  <c r="A272" i="5"/>
  <c r="B272" i="5"/>
  <c r="C272" i="5"/>
  <c r="D272" i="5"/>
  <c r="G272" i="5"/>
  <c r="H272" i="5"/>
  <c r="A273" i="5"/>
  <c r="B273" i="5"/>
  <c r="C273" i="5"/>
  <c r="D273" i="5"/>
  <c r="G273" i="5"/>
  <c r="H273" i="5"/>
  <c r="A274" i="5"/>
  <c r="B274" i="5"/>
  <c r="C274" i="5"/>
  <c r="D274" i="5"/>
  <c r="G274" i="5"/>
  <c r="H274" i="5"/>
  <c r="A275" i="5"/>
  <c r="B275" i="5"/>
  <c r="C275" i="5"/>
  <c r="D275" i="5"/>
  <c r="G275" i="5"/>
  <c r="H275" i="5"/>
  <c r="A276" i="5"/>
  <c r="B276" i="5"/>
  <c r="C276" i="5"/>
  <c r="D276" i="5"/>
  <c r="G276" i="5"/>
  <c r="H276" i="5"/>
  <c r="A277" i="5"/>
  <c r="B277" i="5"/>
  <c r="C277" i="5"/>
  <c r="D277" i="5"/>
  <c r="G277" i="5"/>
  <c r="H277" i="5"/>
  <c r="A278" i="5"/>
  <c r="B278" i="5"/>
  <c r="C278" i="5"/>
  <c r="D278" i="5"/>
  <c r="G278" i="5"/>
  <c r="H278" i="5"/>
  <c r="A279" i="5"/>
  <c r="B279" i="5"/>
  <c r="C279" i="5"/>
  <c r="D279" i="5"/>
  <c r="G279" i="5"/>
  <c r="H279" i="5"/>
  <c r="A280" i="5"/>
  <c r="B280" i="5"/>
  <c r="C280" i="5"/>
  <c r="D280" i="5"/>
  <c r="G280" i="5"/>
  <c r="H280" i="5"/>
  <c r="A281" i="5"/>
  <c r="B281" i="5"/>
  <c r="C281" i="5"/>
  <c r="D281" i="5"/>
  <c r="G281" i="5"/>
  <c r="H281" i="5"/>
  <c r="A282" i="5"/>
  <c r="B282" i="5"/>
  <c r="C282" i="5"/>
  <c r="D282" i="5"/>
  <c r="G282" i="5"/>
  <c r="H282" i="5"/>
  <c r="A283" i="5"/>
  <c r="B283" i="5"/>
  <c r="C283" i="5"/>
  <c r="D283" i="5"/>
  <c r="G283" i="5"/>
  <c r="H283" i="5"/>
  <c r="A284" i="5"/>
  <c r="B284" i="5"/>
  <c r="C284" i="5"/>
  <c r="D284" i="5"/>
  <c r="G284" i="5"/>
  <c r="H284" i="5"/>
  <c r="A285" i="5"/>
  <c r="B285" i="5"/>
  <c r="C285" i="5"/>
  <c r="D285" i="5"/>
  <c r="G285" i="5"/>
  <c r="H285" i="5"/>
  <c r="A286" i="5"/>
  <c r="B286" i="5"/>
  <c r="C286" i="5"/>
  <c r="D286" i="5"/>
  <c r="G286" i="5"/>
  <c r="H286" i="5"/>
  <c r="A287" i="5"/>
  <c r="B287" i="5"/>
  <c r="C287" i="5"/>
  <c r="D287" i="5"/>
  <c r="G287" i="5"/>
  <c r="H287" i="5"/>
  <c r="A288" i="5"/>
  <c r="B288" i="5"/>
  <c r="C288" i="5"/>
  <c r="D288" i="5"/>
  <c r="G288" i="5"/>
  <c r="H288" i="5"/>
  <c r="A289" i="5"/>
  <c r="B289" i="5"/>
  <c r="C289" i="5"/>
  <c r="D289" i="5"/>
  <c r="G289" i="5"/>
  <c r="H289" i="5"/>
  <c r="A290" i="5"/>
  <c r="B290" i="5"/>
  <c r="C290" i="5"/>
  <c r="D290" i="5"/>
  <c r="G290" i="5"/>
  <c r="H290" i="5"/>
  <c r="A291" i="5"/>
  <c r="B291" i="5"/>
  <c r="C291" i="5"/>
  <c r="D291" i="5"/>
  <c r="G291" i="5"/>
  <c r="H291" i="5"/>
  <c r="A292" i="5"/>
  <c r="B292" i="5"/>
  <c r="C292" i="5"/>
  <c r="D292" i="5"/>
  <c r="G292" i="5"/>
  <c r="H292" i="5"/>
  <c r="A293" i="5"/>
  <c r="B293" i="5"/>
  <c r="C293" i="5"/>
  <c r="D293" i="5"/>
  <c r="G293" i="5"/>
  <c r="H293" i="5"/>
  <c r="A294" i="5"/>
  <c r="B294" i="5"/>
  <c r="C294" i="5"/>
  <c r="D294" i="5"/>
  <c r="G294" i="5"/>
  <c r="H294" i="5"/>
  <c r="A295" i="5"/>
  <c r="B295" i="5"/>
  <c r="C295" i="5"/>
  <c r="D295" i="5"/>
  <c r="G295" i="5"/>
  <c r="H295" i="5"/>
  <c r="A296" i="5"/>
  <c r="B296" i="5"/>
  <c r="C296" i="5"/>
  <c r="D296" i="5"/>
  <c r="G296" i="5"/>
  <c r="H296" i="5"/>
  <c r="A297" i="5"/>
  <c r="B297" i="5"/>
  <c r="C297" i="5"/>
  <c r="D297" i="5"/>
  <c r="G297" i="5"/>
  <c r="H297" i="5"/>
  <c r="A298" i="5"/>
  <c r="B298" i="5"/>
  <c r="C298" i="5"/>
  <c r="D298" i="5"/>
  <c r="G298" i="5"/>
  <c r="H298" i="5"/>
  <c r="A299" i="5"/>
  <c r="B299" i="5"/>
  <c r="C299" i="5"/>
  <c r="D299" i="5"/>
  <c r="G299" i="5"/>
  <c r="H299" i="5"/>
  <c r="A300" i="5"/>
  <c r="B300" i="5"/>
  <c r="C300" i="5"/>
  <c r="D300" i="5"/>
  <c r="G300" i="5"/>
  <c r="H300" i="5"/>
  <c r="A301" i="5"/>
  <c r="B301" i="5"/>
  <c r="C301" i="5"/>
  <c r="D301" i="5"/>
  <c r="G301" i="5"/>
  <c r="H301" i="5"/>
  <c r="A302" i="5"/>
  <c r="B302" i="5"/>
  <c r="C302" i="5"/>
  <c r="D302" i="5"/>
  <c r="G302" i="5"/>
  <c r="H302" i="5"/>
  <c r="A303" i="5"/>
  <c r="B303" i="5"/>
  <c r="C303" i="5"/>
  <c r="D303" i="5"/>
  <c r="G303" i="5"/>
  <c r="H303" i="5"/>
  <c r="A304" i="5"/>
  <c r="B304" i="5"/>
  <c r="C304" i="5"/>
  <c r="D304" i="5"/>
  <c r="G304" i="5"/>
  <c r="H304" i="5"/>
  <c r="A305" i="5"/>
  <c r="B305" i="5"/>
  <c r="C305" i="5"/>
  <c r="D305" i="5"/>
  <c r="G305" i="5"/>
  <c r="H305" i="5"/>
  <c r="A306" i="5"/>
  <c r="B306" i="5"/>
  <c r="C306" i="5"/>
  <c r="D306" i="5"/>
  <c r="G306" i="5"/>
  <c r="H306" i="5"/>
  <c r="A307" i="5"/>
  <c r="B307" i="5"/>
  <c r="C307" i="5"/>
  <c r="D307" i="5"/>
  <c r="G307" i="5"/>
  <c r="H307" i="5"/>
  <c r="A308" i="5"/>
  <c r="B308" i="5"/>
  <c r="C308" i="5"/>
  <c r="D308" i="5"/>
  <c r="G308" i="5"/>
  <c r="H308" i="5"/>
  <c r="A309" i="5"/>
  <c r="B309" i="5"/>
  <c r="C309" i="5"/>
  <c r="D309" i="5"/>
  <c r="G309" i="5"/>
  <c r="H309" i="5"/>
  <c r="A310" i="5"/>
  <c r="B310" i="5"/>
  <c r="C310" i="5"/>
  <c r="D310" i="5"/>
  <c r="G310" i="5"/>
  <c r="H310" i="5"/>
  <c r="A311" i="5"/>
  <c r="B311" i="5"/>
  <c r="C311" i="5"/>
  <c r="D311" i="5"/>
  <c r="G311" i="5"/>
  <c r="H311" i="5"/>
  <c r="A312" i="5"/>
  <c r="B312" i="5"/>
  <c r="C312" i="5"/>
  <c r="D312" i="5"/>
  <c r="G312" i="5"/>
  <c r="H312" i="5"/>
  <c r="A313" i="5"/>
  <c r="B313" i="5"/>
  <c r="C313" i="5"/>
  <c r="D313" i="5"/>
  <c r="G313" i="5"/>
  <c r="H313" i="5"/>
  <c r="A314" i="5"/>
  <c r="B314" i="5"/>
  <c r="C314" i="5"/>
  <c r="D314" i="5"/>
  <c r="G314" i="5"/>
  <c r="H314" i="5"/>
  <c r="A315" i="5"/>
  <c r="B315" i="5"/>
  <c r="C315" i="5"/>
  <c r="D315" i="5"/>
  <c r="G315" i="5"/>
  <c r="H315" i="5"/>
  <c r="A316" i="5"/>
  <c r="B316" i="5"/>
  <c r="C316" i="5"/>
  <c r="D316" i="5"/>
  <c r="G316" i="5"/>
  <c r="H316" i="5"/>
  <c r="A317" i="5"/>
  <c r="B317" i="5"/>
  <c r="C317" i="5"/>
  <c r="D317" i="5"/>
  <c r="G317" i="5"/>
  <c r="H317" i="5"/>
  <c r="A318" i="5"/>
  <c r="B318" i="5"/>
  <c r="C318" i="5"/>
  <c r="D318" i="5"/>
  <c r="G318" i="5"/>
  <c r="H318" i="5"/>
  <c r="A319" i="5"/>
  <c r="B319" i="5"/>
  <c r="C319" i="5"/>
  <c r="D319" i="5"/>
  <c r="G319" i="5"/>
  <c r="H319" i="5"/>
  <c r="A320" i="5"/>
  <c r="B320" i="5"/>
  <c r="C320" i="5"/>
  <c r="D320" i="5"/>
  <c r="G320" i="5"/>
  <c r="H320" i="5"/>
  <c r="A321" i="5"/>
  <c r="B321" i="5"/>
  <c r="C321" i="5"/>
  <c r="D321" i="5"/>
  <c r="G321" i="5"/>
  <c r="H321" i="5"/>
  <c r="A322" i="5"/>
  <c r="B322" i="5"/>
  <c r="C322" i="5"/>
  <c r="D322" i="5"/>
  <c r="G322" i="5"/>
  <c r="H322" i="5"/>
  <c r="A323" i="5"/>
  <c r="B323" i="5"/>
  <c r="C323" i="5"/>
  <c r="D323" i="5"/>
  <c r="G323" i="5"/>
  <c r="H323" i="5"/>
  <c r="A324" i="5"/>
  <c r="B324" i="5"/>
  <c r="C324" i="5"/>
  <c r="D324" i="5"/>
  <c r="G324" i="5"/>
  <c r="H324" i="5"/>
  <c r="A325" i="5"/>
  <c r="B325" i="5"/>
  <c r="C325" i="5"/>
  <c r="D325" i="5"/>
  <c r="G325" i="5"/>
  <c r="H325" i="5"/>
  <c r="A326" i="5"/>
  <c r="B326" i="5"/>
  <c r="C326" i="5"/>
  <c r="D326" i="5"/>
  <c r="G326" i="5"/>
  <c r="H326" i="5"/>
  <c r="A327" i="5"/>
  <c r="B327" i="5"/>
  <c r="C327" i="5"/>
  <c r="D327" i="5"/>
  <c r="G327" i="5"/>
  <c r="H327" i="5"/>
  <c r="A328" i="5"/>
  <c r="B328" i="5"/>
  <c r="C328" i="5"/>
  <c r="D328" i="5"/>
  <c r="G328" i="5"/>
  <c r="H328" i="5"/>
  <c r="A329" i="5"/>
  <c r="B329" i="5"/>
  <c r="C329" i="5"/>
  <c r="D329" i="5"/>
  <c r="G329" i="5"/>
  <c r="H329" i="5"/>
  <c r="A330" i="5"/>
  <c r="B330" i="5"/>
  <c r="C330" i="5"/>
  <c r="D330" i="5"/>
  <c r="G330" i="5"/>
  <c r="H330" i="5"/>
  <c r="A331" i="5"/>
  <c r="B331" i="5"/>
  <c r="C331" i="5"/>
  <c r="D331" i="5"/>
  <c r="G331" i="5"/>
  <c r="H331" i="5"/>
  <c r="A332" i="5"/>
  <c r="B332" i="5"/>
  <c r="C332" i="5"/>
  <c r="D332" i="5"/>
  <c r="G332" i="5"/>
  <c r="H332" i="5"/>
  <c r="A333" i="5"/>
  <c r="B333" i="5"/>
  <c r="C333" i="5"/>
  <c r="D333" i="5"/>
  <c r="G333" i="5"/>
  <c r="H333" i="5"/>
  <c r="A334" i="5"/>
  <c r="B334" i="5"/>
  <c r="C334" i="5"/>
  <c r="D334" i="5"/>
  <c r="G334" i="5"/>
  <c r="H334" i="5"/>
  <c r="A335" i="5"/>
  <c r="B335" i="5"/>
  <c r="C335" i="5"/>
  <c r="D335" i="5"/>
  <c r="G335" i="5"/>
  <c r="H335" i="5"/>
  <c r="A336" i="5"/>
  <c r="B336" i="5"/>
  <c r="C336" i="5"/>
  <c r="D336" i="5"/>
  <c r="G336" i="5"/>
  <c r="H336" i="5"/>
  <c r="A337" i="5"/>
  <c r="B337" i="5"/>
  <c r="C337" i="5"/>
  <c r="D337" i="5"/>
  <c r="G337" i="5"/>
  <c r="H337" i="5"/>
  <c r="A338" i="5"/>
  <c r="B338" i="5"/>
  <c r="C338" i="5"/>
  <c r="D338" i="5"/>
  <c r="G338" i="5"/>
  <c r="H338" i="5"/>
  <c r="A339" i="5"/>
  <c r="B339" i="5"/>
  <c r="C339" i="5"/>
  <c r="D339" i="5"/>
  <c r="G339" i="5"/>
  <c r="H339" i="5"/>
  <c r="A340" i="5"/>
  <c r="B340" i="5"/>
  <c r="C340" i="5"/>
  <c r="D340" i="5"/>
  <c r="G340" i="5"/>
  <c r="H340" i="5"/>
  <c r="A341" i="5"/>
  <c r="B341" i="5"/>
  <c r="C341" i="5"/>
  <c r="D341" i="5"/>
  <c r="G341" i="5"/>
  <c r="H341" i="5"/>
  <c r="A342" i="5"/>
  <c r="B342" i="5"/>
  <c r="C342" i="5"/>
  <c r="D342" i="5"/>
  <c r="G342" i="5"/>
  <c r="H342" i="5"/>
  <c r="A343" i="5"/>
  <c r="B343" i="5"/>
  <c r="C343" i="5"/>
  <c r="D343" i="5"/>
  <c r="G343" i="5"/>
  <c r="H343" i="5"/>
  <c r="A344" i="5"/>
  <c r="B344" i="5"/>
  <c r="C344" i="5"/>
  <c r="D344" i="5"/>
  <c r="G344" i="5"/>
  <c r="H344" i="5"/>
  <c r="A345" i="5"/>
  <c r="B345" i="5"/>
  <c r="C345" i="5"/>
  <c r="D345" i="5"/>
  <c r="G345" i="5"/>
  <c r="H345" i="5"/>
  <c r="A346" i="5"/>
  <c r="B346" i="5"/>
  <c r="C346" i="5"/>
  <c r="D346" i="5"/>
  <c r="G346" i="5"/>
  <c r="H346" i="5"/>
  <c r="A347" i="5"/>
  <c r="B347" i="5"/>
  <c r="C347" i="5"/>
  <c r="D347" i="5"/>
  <c r="G347" i="5"/>
  <c r="H347" i="5"/>
  <c r="A348" i="5"/>
  <c r="B348" i="5"/>
  <c r="C348" i="5"/>
  <c r="D348" i="5"/>
  <c r="G348" i="5"/>
  <c r="H348" i="5"/>
  <c r="A349" i="5"/>
  <c r="B349" i="5"/>
  <c r="C349" i="5"/>
  <c r="D349" i="5"/>
  <c r="G349" i="5"/>
  <c r="H349" i="5"/>
  <c r="A350" i="5"/>
  <c r="B350" i="5"/>
  <c r="C350" i="5"/>
  <c r="D350" i="5"/>
  <c r="G350" i="5"/>
  <c r="H350" i="5"/>
  <c r="A351" i="5"/>
  <c r="B351" i="5"/>
  <c r="C351" i="5"/>
  <c r="D351" i="5"/>
  <c r="G351" i="5"/>
  <c r="H351" i="5"/>
  <c r="A352" i="5"/>
  <c r="B352" i="5"/>
  <c r="C352" i="5"/>
  <c r="D352" i="5"/>
  <c r="G352" i="5"/>
  <c r="H352" i="5"/>
  <c r="A353" i="5"/>
  <c r="B353" i="5"/>
  <c r="C353" i="5"/>
  <c r="D353" i="5"/>
  <c r="G353" i="5"/>
  <c r="H353" i="5"/>
  <c r="A354" i="5"/>
  <c r="B354" i="5"/>
  <c r="C354" i="5"/>
  <c r="D354" i="5"/>
  <c r="G354" i="5"/>
  <c r="H354" i="5"/>
  <c r="A355" i="5"/>
  <c r="B355" i="5"/>
  <c r="C355" i="5"/>
  <c r="D355" i="5"/>
  <c r="G355" i="5"/>
  <c r="H355" i="5"/>
  <c r="A356" i="5"/>
  <c r="B356" i="5"/>
  <c r="C356" i="5"/>
  <c r="D356" i="5"/>
  <c r="G356" i="5"/>
  <c r="H356" i="5"/>
  <c r="A357" i="5"/>
  <c r="B357" i="5"/>
  <c r="C357" i="5"/>
  <c r="D357" i="5"/>
  <c r="G357" i="5"/>
  <c r="H357" i="5"/>
  <c r="A358" i="5"/>
  <c r="B358" i="5"/>
  <c r="C358" i="5"/>
  <c r="D358" i="5"/>
  <c r="G358" i="5"/>
  <c r="H358" i="5"/>
  <c r="A359" i="5"/>
  <c r="B359" i="5"/>
  <c r="C359" i="5"/>
  <c r="D359" i="5"/>
  <c r="G359" i="5"/>
  <c r="H359" i="5"/>
  <c r="A360" i="5"/>
  <c r="B360" i="5"/>
  <c r="C360" i="5"/>
  <c r="D360" i="5"/>
  <c r="G360" i="5"/>
  <c r="H360" i="5"/>
  <c r="A361" i="5"/>
  <c r="B361" i="5"/>
  <c r="C361" i="5"/>
  <c r="D361" i="5"/>
  <c r="G361" i="5"/>
  <c r="H361" i="5"/>
  <c r="A362" i="5"/>
  <c r="B362" i="5"/>
  <c r="C362" i="5"/>
  <c r="D362" i="5"/>
  <c r="G362" i="5"/>
  <c r="H362" i="5"/>
  <c r="A363" i="5"/>
  <c r="B363" i="5"/>
  <c r="C363" i="5"/>
  <c r="D363" i="5"/>
  <c r="G363" i="5"/>
  <c r="H363" i="5"/>
  <c r="A364" i="5"/>
  <c r="B364" i="5"/>
  <c r="C364" i="5"/>
  <c r="D364" i="5"/>
  <c r="G364" i="5"/>
  <c r="H364" i="5"/>
  <c r="A365" i="5"/>
  <c r="B365" i="5"/>
  <c r="C365" i="5"/>
  <c r="D365" i="5"/>
  <c r="G365" i="5"/>
  <c r="H365" i="5"/>
  <c r="A366" i="5"/>
  <c r="B366" i="5"/>
  <c r="C366" i="5"/>
  <c r="D366" i="5"/>
  <c r="G366" i="5"/>
  <c r="H366" i="5"/>
  <c r="A367" i="5"/>
  <c r="B367" i="5"/>
  <c r="C367" i="5"/>
  <c r="D367" i="5"/>
  <c r="G367" i="5"/>
  <c r="H367" i="5"/>
  <c r="A368" i="5"/>
  <c r="B368" i="5"/>
  <c r="C368" i="5"/>
  <c r="D368" i="5"/>
  <c r="G368" i="5"/>
  <c r="H368" i="5"/>
  <c r="A369" i="5"/>
  <c r="B369" i="5"/>
  <c r="C369" i="5"/>
  <c r="D369" i="5"/>
  <c r="G369" i="5"/>
  <c r="H369" i="5"/>
  <c r="A370" i="5"/>
  <c r="B370" i="5"/>
  <c r="C370" i="5"/>
  <c r="D370" i="5"/>
  <c r="G370" i="5"/>
  <c r="H370" i="5"/>
  <c r="A371" i="5"/>
  <c r="B371" i="5"/>
  <c r="C371" i="5"/>
  <c r="D371" i="5"/>
  <c r="G371" i="5"/>
  <c r="H371" i="5"/>
  <c r="A372" i="5"/>
  <c r="B372" i="5"/>
  <c r="C372" i="5"/>
  <c r="D372" i="5"/>
  <c r="G372" i="5"/>
  <c r="H372" i="5"/>
  <c r="A373" i="5"/>
  <c r="B373" i="5"/>
  <c r="C373" i="5"/>
  <c r="D373" i="5"/>
  <c r="G373" i="5"/>
  <c r="H373" i="5"/>
  <c r="A374" i="5"/>
  <c r="B374" i="5"/>
  <c r="C374" i="5"/>
  <c r="D374" i="5"/>
  <c r="G374" i="5"/>
  <c r="H374" i="5"/>
  <c r="A375" i="5"/>
  <c r="B375" i="5"/>
  <c r="C375" i="5"/>
  <c r="D375" i="5"/>
  <c r="G375" i="5"/>
  <c r="H375" i="5"/>
  <c r="A376" i="5"/>
  <c r="B376" i="5"/>
  <c r="C376" i="5"/>
  <c r="D376" i="5"/>
  <c r="G376" i="5"/>
  <c r="H376" i="5"/>
  <c r="A377" i="5"/>
  <c r="B377" i="5"/>
  <c r="C377" i="5"/>
  <c r="D377" i="5"/>
  <c r="G377" i="5"/>
  <c r="H377" i="5"/>
  <c r="A378" i="5"/>
  <c r="B378" i="5"/>
  <c r="C378" i="5"/>
  <c r="D378" i="5"/>
  <c r="G378" i="5"/>
  <c r="H378" i="5"/>
  <c r="A379" i="5"/>
  <c r="B379" i="5"/>
  <c r="C379" i="5"/>
  <c r="D379" i="5"/>
  <c r="G379" i="5"/>
  <c r="H379" i="5"/>
  <c r="A380" i="5"/>
  <c r="B380" i="5"/>
  <c r="C380" i="5"/>
  <c r="D380" i="5"/>
  <c r="G380" i="5"/>
  <c r="H380" i="5"/>
  <c r="A381" i="5"/>
  <c r="B381" i="5"/>
  <c r="C381" i="5"/>
  <c r="D381" i="5"/>
  <c r="G381" i="5"/>
  <c r="H381" i="5"/>
  <c r="A382" i="5"/>
  <c r="B382" i="5"/>
  <c r="C382" i="5"/>
  <c r="D382" i="5"/>
  <c r="G382" i="5"/>
  <c r="H382" i="5"/>
  <c r="A383" i="5"/>
  <c r="B383" i="5"/>
  <c r="C383" i="5"/>
  <c r="D383" i="5"/>
  <c r="G383" i="5"/>
  <c r="H383" i="5"/>
  <c r="A384" i="5"/>
  <c r="B384" i="5"/>
  <c r="C384" i="5"/>
  <c r="D384" i="5"/>
  <c r="G384" i="5"/>
  <c r="H384" i="5"/>
  <c r="A385" i="5"/>
  <c r="B385" i="5"/>
  <c r="C385" i="5"/>
  <c r="D385" i="5"/>
  <c r="G385" i="5"/>
  <c r="H385" i="5"/>
  <c r="A386" i="5"/>
  <c r="B386" i="5"/>
  <c r="C386" i="5"/>
  <c r="D386" i="5"/>
  <c r="G386" i="5"/>
  <c r="H386" i="5"/>
  <c r="A387" i="5"/>
  <c r="B387" i="5"/>
  <c r="C387" i="5"/>
  <c r="D387" i="5"/>
  <c r="G387" i="5"/>
  <c r="H387" i="5"/>
  <c r="A388" i="5"/>
  <c r="B388" i="5"/>
  <c r="C388" i="5"/>
  <c r="D388" i="5"/>
  <c r="G388" i="5"/>
  <c r="H388" i="5"/>
  <c r="A389" i="5"/>
  <c r="B389" i="5"/>
  <c r="C389" i="5"/>
  <c r="D389" i="5"/>
  <c r="G389" i="5"/>
  <c r="H389" i="5"/>
  <c r="A390" i="5"/>
  <c r="B390" i="5"/>
  <c r="C390" i="5"/>
  <c r="D390" i="5"/>
  <c r="G390" i="5"/>
  <c r="H390" i="5"/>
  <c r="A391" i="5"/>
  <c r="B391" i="5"/>
  <c r="C391" i="5"/>
  <c r="D391" i="5"/>
  <c r="G391" i="5"/>
  <c r="H391" i="5"/>
  <c r="A392" i="5"/>
  <c r="B392" i="5"/>
  <c r="C392" i="5"/>
  <c r="D392" i="5"/>
  <c r="G392" i="5"/>
  <c r="H392" i="5"/>
  <c r="A393" i="5"/>
  <c r="B393" i="5"/>
  <c r="C393" i="5"/>
  <c r="D393" i="5"/>
  <c r="G393" i="5"/>
  <c r="H393" i="5"/>
  <c r="A394" i="5"/>
  <c r="B394" i="5"/>
  <c r="C394" i="5"/>
  <c r="D394" i="5"/>
  <c r="G394" i="5"/>
  <c r="H394" i="5"/>
  <c r="A395" i="5"/>
  <c r="B395" i="5"/>
  <c r="C395" i="5"/>
  <c r="D395" i="5"/>
  <c r="G395" i="5"/>
  <c r="H395" i="5"/>
  <c r="A396" i="5"/>
  <c r="B396" i="5"/>
  <c r="C396" i="5"/>
  <c r="D396" i="5"/>
  <c r="G396" i="5"/>
  <c r="H396" i="5"/>
  <c r="A397" i="5"/>
  <c r="B397" i="5"/>
  <c r="C397" i="5"/>
  <c r="D397" i="5"/>
  <c r="G397" i="5"/>
  <c r="H397" i="5"/>
  <c r="A398" i="5"/>
  <c r="B398" i="5"/>
  <c r="C398" i="5"/>
  <c r="D398" i="5"/>
  <c r="G398" i="5"/>
  <c r="H398" i="5"/>
  <c r="A399" i="5"/>
  <c r="B399" i="5"/>
  <c r="C399" i="5"/>
  <c r="D399" i="5"/>
  <c r="G399" i="5"/>
  <c r="H399" i="5"/>
  <c r="A400" i="5"/>
  <c r="B400" i="5"/>
  <c r="C400" i="5"/>
  <c r="D400" i="5"/>
  <c r="G400" i="5"/>
  <c r="H400" i="5"/>
  <c r="A401" i="5"/>
  <c r="B401" i="5"/>
  <c r="C401" i="5"/>
  <c r="D401" i="5"/>
  <c r="G401" i="5"/>
  <c r="H401" i="5"/>
  <c r="A402" i="5"/>
  <c r="B402" i="5"/>
  <c r="C402" i="5"/>
  <c r="D402" i="5"/>
  <c r="G402" i="5"/>
  <c r="H402" i="5"/>
  <c r="A403" i="5"/>
  <c r="B403" i="5"/>
  <c r="C403" i="5"/>
  <c r="D403" i="5"/>
  <c r="G403" i="5"/>
  <c r="H403" i="5"/>
  <c r="A404" i="5"/>
  <c r="B404" i="5"/>
  <c r="C404" i="5"/>
  <c r="D404" i="5"/>
  <c r="G404" i="5"/>
  <c r="H404" i="5"/>
  <c r="A405" i="5"/>
  <c r="B405" i="5"/>
  <c r="C405" i="5"/>
  <c r="D405" i="5"/>
  <c r="G405" i="5"/>
  <c r="H405" i="5"/>
  <c r="A406" i="5"/>
  <c r="B406" i="5"/>
  <c r="C406" i="5"/>
  <c r="D406" i="5"/>
  <c r="G406" i="5"/>
  <c r="H406" i="5"/>
  <c r="A407" i="5"/>
  <c r="B407" i="5"/>
  <c r="C407" i="5"/>
  <c r="D407" i="5"/>
  <c r="G407" i="5"/>
  <c r="H407" i="5"/>
  <c r="A408" i="5"/>
  <c r="B408" i="5"/>
  <c r="C408" i="5"/>
  <c r="D408" i="5"/>
  <c r="G408" i="5"/>
  <c r="H408" i="5"/>
  <c r="A409" i="5"/>
  <c r="B409" i="5"/>
  <c r="C409" i="5"/>
  <c r="D409" i="5"/>
  <c r="G409" i="5"/>
  <c r="H409" i="5"/>
  <c r="A410" i="5"/>
  <c r="B410" i="5"/>
  <c r="C410" i="5"/>
  <c r="D410" i="5"/>
  <c r="G410" i="5"/>
  <c r="H410" i="5"/>
  <c r="A411" i="5"/>
  <c r="B411" i="5"/>
  <c r="C411" i="5"/>
  <c r="D411" i="5"/>
  <c r="G411" i="5"/>
  <c r="H411" i="5"/>
  <c r="A412" i="5"/>
  <c r="B412" i="5"/>
  <c r="C412" i="5"/>
  <c r="D412" i="5"/>
  <c r="G412" i="5"/>
  <c r="H412" i="5"/>
  <c r="A413" i="5"/>
  <c r="B413" i="5"/>
  <c r="C413" i="5"/>
  <c r="D413" i="5"/>
  <c r="G413" i="5"/>
  <c r="H413" i="5"/>
  <c r="A414" i="5"/>
  <c r="B414" i="5"/>
  <c r="C414" i="5"/>
  <c r="D414" i="5"/>
  <c r="G414" i="5"/>
  <c r="H414" i="5"/>
  <c r="A415" i="5"/>
  <c r="B415" i="5"/>
  <c r="C415" i="5"/>
  <c r="D415" i="5"/>
  <c r="G415" i="5"/>
  <c r="H415" i="5"/>
  <c r="A416" i="5"/>
  <c r="B416" i="5"/>
  <c r="C416" i="5"/>
  <c r="D416" i="5"/>
  <c r="G416" i="5"/>
  <c r="H416" i="5"/>
  <c r="A417" i="5"/>
  <c r="B417" i="5"/>
  <c r="C417" i="5"/>
  <c r="D417" i="5"/>
  <c r="G417" i="5"/>
  <c r="H417" i="5"/>
  <c r="A418" i="5"/>
  <c r="B418" i="5"/>
  <c r="C418" i="5"/>
  <c r="D418" i="5"/>
  <c r="G418" i="5"/>
  <c r="H418" i="5"/>
  <c r="A419" i="5"/>
  <c r="B419" i="5"/>
  <c r="C419" i="5"/>
  <c r="D419" i="5"/>
  <c r="G419" i="5"/>
  <c r="H419" i="5"/>
  <c r="A420" i="5"/>
  <c r="B420" i="5"/>
  <c r="C420" i="5"/>
  <c r="D420" i="5"/>
  <c r="G420" i="5"/>
  <c r="H420" i="5"/>
  <c r="A421" i="5"/>
  <c r="B421" i="5"/>
  <c r="C421" i="5"/>
  <c r="D421" i="5"/>
  <c r="G421" i="5"/>
  <c r="H421" i="5"/>
  <c r="A422" i="5"/>
  <c r="B422" i="5"/>
  <c r="C422" i="5"/>
  <c r="D422" i="5"/>
  <c r="G422" i="5"/>
  <c r="H422" i="5"/>
  <c r="A423" i="5"/>
  <c r="B423" i="5"/>
  <c r="C423" i="5"/>
  <c r="D423" i="5"/>
  <c r="G423" i="5"/>
  <c r="H423" i="5"/>
  <c r="A424" i="5"/>
  <c r="B424" i="5"/>
  <c r="C424" i="5"/>
  <c r="D424" i="5"/>
  <c r="G424" i="5"/>
  <c r="H424" i="5"/>
  <c r="A425" i="5"/>
  <c r="B425" i="5"/>
  <c r="C425" i="5"/>
  <c r="D425" i="5"/>
  <c r="G425" i="5"/>
  <c r="H425" i="5"/>
  <c r="A426" i="5"/>
  <c r="B426" i="5"/>
  <c r="C426" i="5"/>
  <c r="D426" i="5"/>
  <c r="G426" i="5"/>
  <c r="H426" i="5"/>
  <c r="A427" i="5"/>
  <c r="B427" i="5"/>
  <c r="C427" i="5"/>
  <c r="D427" i="5"/>
  <c r="G427" i="5"/>
  <c r="H427" i="5"/>
  <c r="A428" i="5"/>
  <c r="B428" i="5"/>
  <c r="C428" i="5"/>
  <c r="D428" i="5"/>
  <c r="G428" i="5"/>
  <c r="H428" i="5"/>
  <c r="A429" i="5"/>
  <c r="B429" i="5"/>
  <c r="C429" i="5"/>
  <c r="D429" i="5"/>
  <c r="G429" i="5"/>
  <c r="H429" i="5"/>
  <c r="A430" i="5"/>
  <c r="B430" i="5"/>
  <c r="C430" i="5"/>
  <c r="D430" i="5"/>
  <c r="G430" i="5"/>
  <c r="H430" i="5"/>
  <c r="A431" i="5"/>
  <c r="B431" i="5"/>
  <c r="C431" i="5"/>
  <c r="D431" i="5"/>
  <c r="G431" i="5"/>
  <c r="H431" i="5"/>
  <c r="A432" i="5"/>
  <c r="B432" i="5"/>
  <c r="C432" i="5"/>
  <c r="D432" i="5"/>
  <c r="G432" i="5"/>
  <c r="H432" i="5"/>
  <c r="A433" i="5"/>
  <c r="B433" i="5"/>
  <c r="C433" i="5"/>
  <c r="D433" i="5"/>
  <c r="G433" i="5"/>
  <c r="H433" i="5"/>
  <c r="A434" i="5"/>
  <c r="B434" i="5"/>
  <c r="C434" i="5"/>
  <c r="D434" i="5"/>
  <c r="G434" i="5"/>
  <c r="H434" i="5"/>
  <c r="A435" i="5"/>
  <c r="B435" i="5"/>
  <c r="C435" i="5"/>
  <c r="D435" i="5"/>
  <c r="G435" i="5"/>
  <c r="H435" i="5"/>
  <c r="A436" i="5"/>
  <c r="B436" i="5"/>
  <c r="C436" i="5"/>
  <c r="D436" i="5"/>
  <c r="G436" i="5"/>
  <c r="H436" i="5"/>
  <c r="A437" i="5"/>
  <c r="B437" i="5"/>
  <c r="C437" i="5"/>
  <c r="D437" i="5"/>
  <c r="G437" i="5"/>
  <c r="H437" i="5"/>
  <c r="A438" i="5"/>
  <c r="B438" i="5"/>
  <c r="C438" i="5"/>
  <c r="D438" i="5"/>
  <c r="G438" i="5"/>
  <c r="H438" i="5"/>
  <c r="A439" i="5"/>
  <c r="B439" i="5"/>
  <c r="C439" i="5"/>
  <c r="D439" i="5"/>
  <c r="G439" i="5"/>
  <c r="H439" i="5"/>
  <c r="A440" i="5"/>
  <c r="B440" i="5"/>
  <c r="C440" i="5"/>
  <c r="D440" i="5"/>
  <c r="G440" i="5"/>
  <c r="H440" i="5"/>
  <c r="A441" i="5"/>
  <c r="B441" i="5"/>
  <c r="C441" i="5"/>
  <c r="D441" i="5"/>
  <c r="G441" i="5"/>
  <c r="H441" i="5"/>
  <c r="A442" i="5"/>
  <c r="B442" i="5"/>
  <c r="C442" i="5"/>
  <c r="D442" i="5"/>
  <c r="G442" i="5"/>
  <c r="H442" i="5"/>
  <c r="A443" i="5"/>
  <c r="B443" i="5"/>
  <c r="C443" i="5"/>
  <c r="D443" i="5"/>
  <c r="G443" i="5"/>
  <c r="H443" i="5"/>
  <c r="A444" i="5"/>
  <c r="B444" i="5"/>
  <c r="C444" i="5"/>
  <c r="D444" i="5"/>
  <c r="G444" i="5"/>
  <c r="H444" i="5"/>
  <c r="A445" i="5"/>
  <c r="B445" i="5"/>
  <c r="C445" i="5"/>
  <c r="D445" i="5"/>
  <c r="G445" i="5"/>
  <c r="H445" i="5"/>
  <c r="A446" i="5"/>
  <c r="B446" i="5"/>
  <c r="C446" i="5"/>
  <c r="D446" i="5"/>
  <c r="G446" i="5"/>
  <c r="H446" i="5"/>
  <c r="A447" i="5"/>
  <c r="B447" i="5"/>
  <c r="C447" i="5"/>
  <c r="D447" i="5"/>
  <c r="G447" i="5"/>
  <c r="H447" i="5"/>
  <c r="A448" i="5"/>
  <c r="B448" i="5"/>
  <c r="C448" i="5"/>
  <c r="D448" i="5"/>
  <c r="G448" i="5"/>
  <c r="H448" i="5"/>
  <c r="A449" i="5"/>
  <c r="B449" i="5"/>
  <c r="C449" i="5"/>
  <c r="D449" i="5"/>
  <c r="G449" i="5"/>
  <c r="H449" i="5"/>
  <c r="A450" i="5"/>
  <c r="B450" i="5"/>
  <c r="C450" i="5"/>
  <c r="D450" i="5"/>
  <c r="G450" i="5"/>
  <c r="H450" i="5"/>
  <c r="A451" i="5"/>
  <c r="B451" i="5"/>
  <c r="C451" i="5"/>
  <c r="D451" i="5"/>
  <c r="G451" i="5"/>
  <c r="H451" i="5"/>
  <c r="A452" i="5"/>
  <c r="B452" i="5"/>
  <c r="C452" i="5"/>
  <c r="D452" i="5"/>
  <c r="G452" i="5"/>
  <c r="H452" i="5"/>
  <c r="A453" i="5"/>
  <c r="B453" i="5"/>
  <c r="C453" i="5"/>
  <c r="D453" i="5"/>
  <c r="G453" i="5"/>
  <c r="H453" i="5"/>
  <c r="A454" i="5"/>
  <c r="B454" i="5"/>
  <c r="C454" i="5"/>
  <c r="D454" i="5"/>
  <c r="G454" i="5"/>
  <c r="H454" i="5"/>
  <c r="A455" i="5"/>
  <c r="B455" i="5"/>
  <c r="C455" i="5"/>
  <c r="D455" i="5"/>
  <c r="G455" i="5"/>
  <c r="H455" i="5"/>
  <c r="A456" i="5"/>
  <c r="B456" i="5"/>
  <c r="C456" i="5"/>
  <c r="D456" i="5"/>
  <c r="G456" i="5"/>
  <c r="H456" i="5"/>
  <c r="A457" i="5"/>
  <c r="B457" i="5"/>
  <c r="C457" i="5"/>
  <c r="D457" i="5"/>
  <c r="G457" i="5"/>
  <c r="H457" i="5"/>
  <c r="A458" i="5"/>
  <c r="B458" i="5"/>
  <c r="C458" i="5"/>
  <c r="D458" i="5"/>
  <c r="G458" i="5"/>
  <c r="H458" i="5"/>
  <c r="A459" i="5"/>
  <c r="B459" i="5"/>
  <c r="C459" i="5"/>
  <c r="D459" i="5"/>
  <c r="G459" i="5"/>
  <c r="H459" i="5"/>
  <c r="A460" i="5"/>
  <c r="B460" i="5"/>
  <c r="C460" i="5"/>
  <c r="D460" i="5"/>
  <c r="G460" i="5"/>
  <c r="H460" i="5"/>
  <c r="A461" i="5"/>
  <c r="B461" i="5"/>
  <c r="C461" i="5"/>
  <c r="D461" i="5"/>
  <c r="G461" i="5"/>
  <c r="H461" i="5"/>
  <c r="A462" i="5"/>
  <c r="B462" i="5"/>
  <c r="C462" i="5"/>
  <c r="D462" i="5"/>
  <c r="G462" i="5"/>
  <c r="H462" i="5"/>
  <c r="A463" i="5"/>
  <c r="B463" i="5"/>
  <c r="C463" i="5"/>
  <c r="D463" i="5"/>
  <c r="G463" i="5"/>
  <c r="H463" i="5"/>
  <c r="A464" i="5"/>
  <c r="B464" i="5"/>
  <c r="C464" i="5"/>
  <c r="D464" i="5"/>
  <c r="G464" i="5"/>
  <c r="H464" i="5"/>
  <c r="A465" i="5"/>
  <c r="B465" i="5"/>
  <c r="C465" i="5"/>
  <c r="D465" i="5"/>
  <c r="G465" i="5"/>
  <c r="H465" i="5"/>
  <c r="A466" i="5"/>
  <c r="B466" i="5"/>
  <c r="C466" i="5"/>
  <c r="D466" i="5"/>
  <c r="G466" i="5"/>
  <c r="H466" i="5"/>
  <c r="A467" i="5"/>
  <c r="B467" i="5"/>
  <c r="C467" i="5"/>
  <c r="D467" i="5"/>
  <c r="G467" i="5"/>
  <c r="H467" i="5"/>
  <c r="A468" i="5"/>
  <c r="B468" i="5"/>
  <c r="C468" i="5"/>
  <c r="D468" i="5"/>
  <c r="G468" i="5"/>
  <c r="H468" i="5"/>
  <c r="A469" i="5"/>
  <c r="B469" i="5"/>
  <c r="C469" i="5"/>
  <c r="D469" i="5"/>
  <c r="G469" i="5"/>
  <c r="H469" i="5"/>
  <c r="A470" i="5"/>
  <c r="B470" i="5"/>
  <c r="C470" i="5"/>
  <c r="D470" i="5"/>
  <c r="G470" i="5"/>
  <c r="H470" i="5"/>
  <c r="A471" i="5"/>
  <c r="B471" i="5"/>
  <c r="C471" i="5"/>
  <c r="D471" i="5"/>
  <c r="G471" i="5"/>
  <c r="H471" i="5"/>
  <c r="A472" i="5"/>
  <c r="B472" i="5"/>
  <c r="C472" i="5"/>
  <c r="D472" i="5"/>
  <c r="G472" i="5"/>
  <c r="H472" i="5"/>
  <c r="A473" i="5"/>
  <c r="B473" i="5"/>
  <c r="C473" i="5"/>
  <c r="D473" i="5"/>
  <c r="G473" i="5"/>
  <c r="H473" i="5"/>
  <c r="A474" i="5"/>
  <c r="B474" i="5"/>
  <c r="C474" i="5"/>
  <c r="D474" i="5"/>
  <c r="G474" i="5"/>
  <c r="H474" i="5"/>
  <c r="A475" i="5"/>
  <c r="B475" i="5"/>
  <c r="C475" i="5"/>
  <c r="D475" i="5"/>
  <c r="G475" i="5"/>
  <c r="H475" i="5"/>
  <c r="A476" i="5"/>
  <c r="B476" i="5"/>
  <c r="C476" i="5"/>
  <c r="D476" i="5"/>
  <c r="G476" i="5"/>
  <c r="H476" i="5"/>
  <c r="A477" i="5"/>
  <c r="B477" i="5"/>
  <c r="C477" i="5"/>
  <c r="D477" i="5"/>
  <c r="G477" i="5"/>
  <c r="H477" i="5"/>
  <c r="A478" i="5"/>
  <c r="B478" i="5"/>
  <c r="C478" i="5"/>
  <c r="D478" i="5"/>
  <c r="G478" i="5"/>
  <c r="H478" i="5"/>
  <c r="A479" i="5"/>
  <c r="B479" i="5"/>
  <c r="C479" i="5"/>
  <c r="D479" i="5"/>
  <c r="G479" i="5"/>
  <c r="H479" i="5"/>
  <c r="A480" i="5"/>
  <c r="B480" i="5"/>
  <c r="C480" i="5"/>
  <c r="D480" i="5"/>
  <c r="G480" i="5"/>
  <c r="H480" i="5"/>
  <c r="A481" i="5"/>
  <c r="B481" i="5"/>
  <c r="C481" i="5"/>
  <c r="D481" i="5"/>
  <c r="G481" i="5"/>
  <c r="H481" i="5"/>
  <c r="A482" i="5"/>
  <c r="B482" i="5"/>
  <c r="C482" i="5"/>
  <c r="D482" i="5"/>
  <c r="G482" i="5"/>
  <c r="H482" i="5"/>
  <c r="A483" i="5"/>
  <c r="B483" i="5"/>
  <c r="C483" i="5"/>
  <c r="D483" i="5"/>
  <c r="G483" i="5"/>
  <c r="H483" i="5"/>
  <c r="A484" i="5"/>
  <c r="B484" i="5"/>
  <c r="C484" i="5"/>
  <c r="D484" i="5"/>
  <c r="G484" i="5"/>
  <c r="H484" i="5"/>
  <c r="A485" i="5"/>
  <c r="B485" i="5"/>
  <c r="C485" i="5"/>
  <c r="D485" i="5"/>
  <c r="G485" i="5"/>
  <c r="H485" i="5"/>
  <c r="A486" i="5"/>
  <c r="B486" i="5"/>
  <c r="C486" i="5"/>
  <c r="D486" i="5"/>
  <c r="G486" i="5"/>
  <c r="H486" i="5"/>
  <c r="A487" i="5"/>
  <c r="B487" i="5"/>
  <c r="C487" i="5"/>
  <c r="D487" i="5"/>
  <c r="G487" i="5"/>
  <c r="H487" i="5"/>
  <c r="A488" i="5"/>
  <c r="B488" i="5"/>
  <c r="C488" i="5"/>
  <c r="D488" i="5"/>
  <c r="G488" i="5"/>
  <c r="H488" i="5"/>
  <c r="A489" i="5"/>
  <c r="B489" i="5"/>
  <c r="C489" i="5"/>
  <c r="D489" i="5"/>
  <c r="G489" i="5"/>
  <c r="H489" i="5"/>
  <c r="A490" i="5"/>
  <c r="B490" i="5"/>
  <c r="C490" i="5"/>
  <c r="D490" i="5"/>
  <c r="G490" i="5"/>
  <c r="H490" i="5"/>
  <c r="A491" i="5"/>
  <c r="B491" i="5"/>
  <c r="C491" i="5"/>
  <c r="D491" i="5"/>
  <c r="G491" i="5"/>
  <c r="H491" i="5"/>
  <c r="A492" i="5"/>
  <c r="B492" i="5"/>
  <c r="C492" i="5"/>
  <c r="D492" i="5"/>
  <c r="G492" i="5"/>
  <c r="H492" i="5"/>
  <c r="A493" i="5"/>
  <c r="B493" i="5"/>
  <c r="C493" i="5"/>
  <c r="D493" i="5"/>
  <c r="G493" i="5"/>
  <c r="H493" i="5"/>
  <c r="A494" i="5"/>
  <c r="B494" i="5"/>
  <c r="C494" i="5"/>
  <c r="D494" i="5"/>
  <c r="G494" i="5"/>
  <c r="H494" i="5"/>
  <c r="A495" i="5"/>
  <c r="B495" i="5"/>
  <c r="C495" i="5"/>
  <c r="D495" i="5"/>
  <c r="G495" i="5"/>
  <c r="H495" i="5"/>
  <c r="A496" i="5"/>
  <c r="B496" i="5"/>
  <c r="C496" i="5"/>
  <c r="D496" i="5"/>
  <c r="G496" i="5"/>
  <c r="H496" i="5"/>
  <c r="A497" i="5"/>
  <c r="B497" i="5"/>
  <c r="C497" i="5"/>
  <c r="D497" i="5"/>
  <c r="G497" i="5"/>
  <c r="H497" i="5"/>
  <c r="A498" i="5"/>
  <c r="B498" i="5"/>
  <c r="C498" i="5"/>
  <c r="D498" i="5"/>
  <c r="G498" i="5"/>
  <c r="H498" i="5"/>
  <c r="A499" i="5"/>
  <c r="B499" i="5"/>
  <c r="C499" i="5"/>
  <c r="D499" i="5"/>
  <c r="G499" i="5"/>
  <c r="H499" i="5"/>
  <c r="A500" i="5"/>
  <c r="B500" i="5"/>
  <c r="C500" i="5"/>
  <c r="D500" i="5"/>
  <c r="G500" i="5"/>
  <c r="H500" i="5"/>
  <c r="A501" i="5"/>
  <c r="B501" i="5"/>
  <c r="C501" i="5"/>
  <c r="D501" i="5"/>
  <c r="G501" i="5"/>
  <c r="H501" i="5"/>
  <c r="A502" i="5"/>
  <c r="B502" i="5"/>
  <c r="C502" i="5"/>
  <c r="D502" i="5"/>
  <c r="G502" i="5"/>
  <c r="H502" i="5"/>
  <c r="A503" i="5"/>
  <c r="B503" i="5"/>
  <c r="C503" i="5"/>
  <c r="D503" i="5"/>
  <c r="G503" i="5"/>
  <c r="H503" i="5"/>
  <c r="A504" i="5"/>
  <c r="B504" i="5"/>
  <c r="C504" i="5"/>
  <c r="D504" i="5"/>
  <c r="G504" i="5"/>
  <c r="H504" i="5"/>
  <c r="A505" i="5"/>
  <c r="B505" i="5"/>
  <c r="C505" i="5"/>
  <c r="D505" i="5"/>
  <c r="G505" i="5"/>
  <c r="H505" i="5"/>
  <c r="A506" i="5"/>
  <c r="B506" i="5"/>
  <c r="C506" i="5"/>
  <c r="D506" i="5"/>
  <c r="G506" i="5"/>
  <c r="H506" i="5"/>
  <c r="A507" i="5"/>
  <c r="B507" i="5"/>
  <c r="C507" i="5"/>
  <c r="D507" i="5"/>
  <c r="G507" i="5"/>
  <c r="H507" i="5"/>
  <c r="A508" i="5"/>
  <c r="B508" i="5"/>
  <c r="C508" i="5"/>
  <c r="D508" i="5"/>
  <c r="G508" i="5"/>
  <c r="H508" i="5"/>
  <c r="A509" i="5"/>
  <c r="B509" i="5"/>
  <c r="C509" i="5"/>
  <c r="D509" i="5"/>
  <c r="G509" i="5"/>
  <c r="H509" i="5"/>
  <c r="A510" i="5"/>
  <c r="B510" i="5"/>
  <c r="C510" i="5"/>
  <c r="D510" i="5"/>
  <c r="G510" i="5"/>
  <c r="H510" i="5"/>
  <c r="A511" i="5"/>
  <c r="B511" i="5"/>
  <c r="C511" i="5"/>
  <c r="D511" i="5"/>
  <c r="G511" i="5"/>
  <c r="H511" i="5"/>
  <c r="A512" i="5"/>
  <c r="B512" i="5"/>
  <c r="C512" i="5"/>
  <c r="D512" i="5"/>
  <c r="G512" i="5"/>
  <c r="H512" i="5"/>
  <c r="A513" i="5"/>
  <c r="B513" i="5"/>
  <c r="C513" i="5"/>
  <c r="D513" i="5"/>
  <c r="G513" i="5"/>
  <c r="H513" i="5"/>
  <c r="A514" i="5"/>
  <c r="B514" i="5"/>
  <c r="C514" i="5"/>
  <c r="D514" i="5"/>
  <c r="G514" i="5"/>
  <c r="H514" i="5"/>
  <c r="A515" i="5"/>
  <c r="B515" i="5"/>
  <c r="C515" i="5"/>
  <c r="D515" i="5"/>
  <c r="G515" i="5"/>
  <c r="H515" i="5"/>
  <c r="A516" i="5"/>
  <c r="B516" i="5"/>
  <c r="C516" i="5"/>
  <c r="D516" i="5"/>
  <c r="G516" i="5"/>
  <c r="H516" i="5"/>
  <c r="A517" i="5"/>
  <c r="B517" i="5"/>
  <c r="C517" i="5"/>
  <c r="D517" i="5"/>
  <c r="G517" i="5"/>
  <c r="H517" i="5"/>
  <c r="A518" i="5"/>
  <c r="B518" i="5"/>
  <c r="C518" i="5"/>
  <c r="D518" i="5"/>
  <c r="G518" i="5"/>
  <c r="H518" i="5"/>
  <c r="A519" i="5"/>
  <c r="B519" i="5"/>
  <c r="C519" i="5"/>
  <c r="D519" i="5"/>
  <c r="G519" i="5"/>
  <c r="H519" i="5"/>
  <c r="A520" i="5"/>
  <c r="B520" i="5"/>
  <c r="C520" i="5"/>
  <c r="D520" i="5"/>
  <c r="G520" i="5"/>
  <c r="H520" i="5"/>
  <c r="A521" i="5"/>
  <c r="B521" i="5"/>
  <c r="C521" i="5"/>
  <c r="D521" i="5"/>
  <c r="G521" i="5"/>
  <c r="H521" i="5"/>
  <c r="A522" i="5"/>
  <c r="B522" i="5"/>
  <c r="C522" i="5"/>
  <c r="D522" i="5"/>
  <c r="G522" i="5"/>
  <c r="H522" i="5"/>
  <c r="A523" i="5"/>
  <c r="B523" i="5"/>
  <c r="C523" i="5"/>
  <c r="D523" i="5"/>
  <c r="G523" i="5"/>
  <c r="H523" i="5"/>
  <c r="A524" i="5"/>
  <c r="B524" i="5"/>
  <c r="C524" i="5"/>
  <c r="D524" i="5"/>
  <c r="G524" i="5"/>
  <c r="H524" i="5"/>
  <c r="A525" i="5"/>
  <c r="B525" i="5"/>
  <c r="C525" i="5"/>
  <c r="D525" i="5"/>
  <c r="G525" i="5"/>
  <c r="H525" i="5"/>
  <c r="A526" i="5"/>
  <c r="B526" i="5"/>
  <c r="C526" i="5"/>
  <c r="D526" i="5"/>
  <c r="G526" i="5"/>
  <c r="H526" i="5"/>
  <c r="A527" i="5"/>
  <c r="B527" i="5"/>
  <c r="C527" i="5"/>
  <c r="D527" i="5"/>
  <c r="G527" i="5"/>
  <c r="H527" i="5"/>
  <c r="A528" i="5"/>
  <c r="B528" i="5"/>
  <c r="C528" i="5"/>
  <c r="D528" i="5"/>
  <c r="G528" i="5"/>
  <c r="H528" i="5"/>
  <c r="A529" i="5"/>
  <c r="B529" i="5"/>
  <c r="C529" i="5"/>
  <c r="D529" i="5"/>
  <c r="G529" i="5"/>
  <c r="H529" i="5"/>
  <c r="A530" i="5"/>
  <c r="B530" i="5"/>
  <c r="C530" i="5"/>
  <c r="D530" i="5"/>
  <c r="G530" i="5"/>
  <c r="H530" i="5"/>
  <c r="A531" i="5"/>
  <c r="B531" i="5"/>
  <c r="C531" i="5"/>
  <c r="D531" i="5"/>
  <c r="G531" i="5"/>
  <c r="H531" i="5"/>
  <c r="A532" i="5"/>
  <c r="B532" i="5"/>
  <c r="C532" i="5"/>
  <c r="D532" i="5"/>
  <c r="G532" i="5"/>
  <c r="H532" i="5"/>
  <c r="A533" i="5"/>
  <c r="B533" i="5"/>
  <c r="C533" i="5"/>
  <c r="D533" i="5"/>
  <c r="G533" i="5"/>
  <c r="H533" i="5"/>
  <c r="A534" i="5"/>
  <c r="B534" i="5"/>
  <c r="C534" i="5"/>
  <c r="D534" i="5"/>
  <c r="G534" i="5"/>
  <c r="H534" i="5"/>
  <c r="A535" i="5"/>
  <c r="B535" i="5"/>
  <c r="C535" i="5"/>
  <c r="D535" i="5"/>
  <c r="G535" i="5"/>
  <c r="H535" i="5"/>
  <c r="A536" i="5"/>
  <c r="B536" i="5"/>
  <c r="C536" i="5"/>
  <c r="D536" i="5"/>
  <c r="G536" i="5"/>
  <c r="H536" i="5"/>
  <c r="A537" i="5"/>
  <c r="B537" i="5"/>
  <c r="C537" i="5"/>
  <c r="D537" i="5"/>
  <c r="G537" i="5"/>
  <c r="H537" i="5"/>
  <c r="A538" i="5"/>
  <c r="B538" i="5"/>
  <c r="C538" i="5"/>
  <c r="D538" i="5"/>
  <c r="G538" i="5"/>
  <c r="H538" i="5"/>
  <c r="A539" i="5"/>
  <c r="B539" i="5"/>
  <c r="C539" i="5"/>
  <c r="D539" i="5"/>
  <c r="G539" i="5"/>
  <c r="H539" i="5"/>
  <c r="A540" i="5"/>
  <c r="B540" i="5"/>
  <c r="C540" i="5"/>
  <c r="D540" i="5"/>
  <c r="G540" i="5"/>
  <c r="H540" i="5"/>
  <c r="A541" i="5"/>
  <c r="B541" i="5"/>
  <c r="C541" i="5"/>
  <c r="D541" i="5"/>
  <c r="G541" i="5"/>
  <c r="H541" i="5"/>
  <c r="A542" i="5"/>
  <c r="B542" i="5"/>
  <c r="C542" i="5"/>
  <c r="D542" i="5"/>
  <c r="G542" i="5"/>
  <c r="H542" i="5"/>
  <c r="A543" i="5"/>
  <c r="B543" i="5"/>
  <c r="C543" i="5"/>
  <c r="D543" i="5"/>
  <c r="G543" i="5"/>
  <c r="H543" i="5"/>
  <c r="A544" i="5"/>
  <c r="B544" i="5"/>
  <c r="C544" i="5"/>
  <c r="D544" i="5"/>
  <c r="G544" i="5"/>
  <c r="H544" i="5"/>
  <c r="A545" i="5"/>
  <c r="B545" i="5"/>
  <c r="C545" i="5"/>
  <c r="D545" i="5"/>
  <c r="G545" i="5"/>
  <c r="H545" i="5"/>
  <c r="A546" i="5"/>
  <c r="B546" i="5"/>
  <c r="C546" i="5"/>
  <c r="D546" i="5"/>
  <c r="G546" i="5"/>
  <c r="H546" i="5"/>
  <c r="A547" i="5"/>
  <c r="B547" i="5"/>
  <c r="C547" i="5"/>
  <c r="D547" i="5"/>
  <c r="G547" i="5"/>
  <c r="H547" i="5"/>
  <c r="A548" i="5"/>
  <c r="B548" i="5"/>
  <c r="C548" i="5"/>
  <c r="D548" i="5"/>
  <c r="G548" i="5"/>
  <c r="H548" i="5"/>
  <c r="A549" i="5"/>
  <c r="B549" i="5"/>
  <c r="C549" i="5"/>
  <c r="D549" i="5"/>
  <c r="G549" i="5"/>
  <c r="H549" i="5"/>
  <c r="A550" i="5"/>
  <c r="B550" i="5"/>
  <c r="C550" i="5"/>
  <c r="D550" i="5"/>
  <c r="G550" i="5"/>
  <c r="H550" i="5"/>
  <c r="A551" i="5"/>
  <c r="B551" i="5"/>
  <c r="C551" i="5"/>
  <c r="D551" i="5"/>
  <c r="G551" i="5"/>
  <c r="H551" i="5"/>
  <c r="A552" i="5"/>
  <c r="B552" i="5"/>
  <c r="C552" i="5"/>
  <c r="D552" i="5"/>
  <c r="G552" i="5"/>
  <c r="H552" i="5"/>
  <c r="A553" i="5"/>
  <c r="B553" i="5"/>
  <c r="C553" i="5"/>
  <c r="D553" i="5"/>
  <c r="G553" i="5"/>
  <c r="H553" i="5"/>
  <c r="A554" i="5"/>
  <c r="B554" i="5"/>
  <c r="C554" i="5"/>
  <c r="D554" i="5"/>
  <c r="G554" i="5"/>
  <c r="H554" i="5"/>
  <c r="A555" i="5"/>
  <c r="B555" i="5"/>
  <c r="C555" i="5"/>
  <c r="D555" i="5"/>
  <c r="G555" i="5"/>
  <c r="H555" i="5"/>
  <c r="A556" i="5"/>
  <c r="B556" i="5"/>
  <c r="C556" i="5"/>
  <c r="D556" i="5"/>
  <c r="G556" i="5"/>
  <c r="H556" i="5"/>
  <c r="A557" i="5"/>
  <c r="B557" i="5"/>
  <c r="C557" i="5"/>
  <c r="D557" i="5"/>
  <c r="G557" i="5"/>
  <c r="H557" i="5"/>
  <c r="A558" i="5"/>
  <c r="B558" i="5"/>
  <c r="C558" i="5"/>
  <c r="D558" i="5"/>
  <c r="G558" i="5"/>
  <c r="H558" i="5"/>
  <c r="A559" i="5"/>
  <c r="B559" i="5"/>
  <c r="C559" i="5"/>
  <c r="D559" i="5"/>
  <c r="G559" i="5"/>
  <c r="H559" i="5"/>
  <c r="A560" i="5"/>
  <c r="B560" i="5"/>
  <c r="C560" i="5"/>
  <c r="D560" i="5"/>
  <c r="G560" i="5"/>
  <c r="H560" i="5"/>
  <c r="A561" i="5"/>
  <c r="B561" i="5"/>
  <c r="C561" i="5"/>
  <c r="D561" i="5"/>
  <c r="G561" i="5"/>
  <c r="H561" i="5"/>
  <c r="A562" i="5"/>
  <c r="B562" i="5"/>
  <c r="C562" i="5"/>
  <c r="D562" i="5"/>
  <c r="G562" i="5"/>
  <c r="H562" i="5"/>
  <c r="A563" i="5"/>
  <c r="B563" i="5"/>
  <c r="C563" i="5"/>
  <c r="D563" i="5"/>
  <c r="G563" i="5"/>
  <c r="H563" i="5"/>
  <c r="A564" i="5"/>
  <c r="B564" i="5"/>
  <c r="C564" i="5"/>
  <c r="D564" i="5"/>
  <c r="G564" i="5"/>
  <c r="H564" i="5"/>
  <c r="A565" i="5"/>
  <c r="B565" i="5"/>
  <c r="C565" i="5"/>
  <c r="D565" i="5"/>
  <c r="G565" i="5"/>
  <c r="H565" i="5"/>
  <c r="A566" i="5"/>
  <c r="B566" i="5"/>
  <c r="C566" i="5"/>
  <c r="D566" i="5"/>
  <c r="G566" i="5"/>
  <c r="H566" i="5"/>
  <c r="A567" i="5"/>
  <c r="B567" i="5"/>
  <c r="C567" i="5"/>
  <c r="D567" i="5"/>
  <c r="G567" i="5"/>
  <c r="H567" i="5"/>
  <c r="A568" i="5"/>
  <c r="B568" i="5"/>
  <c r="C568" i="5"/>
  <c r="D568" i="5"/>
  <c r="G568" i="5"/>
  <c r="H568" i="5"/>
  <c r="A569" i="5"/>
  <c r="B569" i="5"/>
  <c r="C569" i="5"/>
  <c r="D569" i="5"/>
  <c r="G569" i="5"/>
  <c r="H569" i="5"/>
  <c r="A570" i="5"/>
  <c r="B570" i="5"/>
  <c r="C570" i="5"/>
  <c r="D570" i="5"/>
  <c r="G570" i="5"/>
  <c r="H570" i="5"/>
  <c r="A571" i="5"/>
  <c r="B571" i="5"/>
  <c r="C571" i="5"/>
  <c r="D571" i="5"/>
  <c r="G571" i="5"/>
  <c r="H571" i="5"/>
  <c r="A572" i="5"/>
  <c r="B572" i="5"/>
  <c r="C572" i="5"/>
  <c r="D572" i="5"/>
  <c r="G572" i="5"/>
  <c r="H572" i="5"/>
  <c r="A573" i="5"/>
  <c r="B573" i="5"/>
  <c r="C573" i="5"/>
  <c r="D573" i="5"/>
  <c r="G573" i="5"/>
  <c r="H573" i="5"/>
  <c r="A574" i="5"/>
  <c r="B574" i="5"/>
  <c r="C574" i="5"/>
  <c r="D574" i="5"/>
  <c r="G574" i="5"/>
  <c r="H574" i="5"/>
  <c r="A575" i="5"/>
  <c r="B575" i="5"/>
  <c r="C575" i="5"/>
  <c r="D575" i="5"/>
  <c r="G575" i="5"/>
  <c r="H575" i="5"/>
  <c r="A576" i="5"/>
  <c r="B576" i="5"/>
  <c r="C576" i="5"/>
  <c r="D576" i="5"/>
  <c r="G576" i="5"/>
  <c r="H576" i="5"/>
  <c r="A577" i="5"/>
  <c r="B577" i="5"/>
  <c r="C577" i="5"/>
  <c r="D577" i="5"/>
  <c r="G577" i="5"/>
  <c r="H577" i="5"/>
  <c r="A578" i="5"/>
  <c r="B578" i="5"/>
  <c r="C578" i="5"/>
  <c r="D578" i="5"/>
  <c r="G578" i="5"/>
  <c r="H578" i="5"/>
  <c r="A579" i="5"/>
  <c r="B579" i="5"/>
  <c r="C579" i="5"/>
  <c r="D579" i="5"/>
  <c r="G579" i="5"/>
  <c r="H579" i="5"/>
  <c r="A580" i="5"/>
  <c r="B580" i="5"/>
  <c r="C580" i="5"/>
  <c r="D580" i="5"/>
  <c r="G580" i="5"/>
  <c r="H580" i="5"/>
  <c r="A581" i="5"/>
  <c r="B581" i="5"/>
  <c r="C581" i="5"/>
  <c r="D581" i="5"/>
  <c r="G581" i="5"/>
  <c r="H581" i="5"/>
  <c r="A582" i="5"/>
  <c r="B582" i="5"/>
  <c r="C582" i="5"/>
  <c r="D582" i="5"/>
  <c r="G582" i="5"/>
  <c r="H582" i="5"/>
  <c r="A583" i="5"/>
  <c r="B583" i="5"/>
  <c r="C583" i="5"/>
  <c r="D583" i="5"/>
  <c r="G583" i="5"/>
  <c r="H583" i="5"/>
  <c r="A584" i="5"/>
  <c r="B584" i="5"/>
  <c r="C584" i="5"/>
  <c r="D584" i="5"/>
  <c r="G584" i="5"/>
  <c r="H584" i="5"/>
  <c r="A585" i="5"/>
  <c r="B585" i="5"/>
  <c r="C585" i="5"/>
  <c r="D585" i="5"/>
  <c r="G585" i="5"/>
  <c r="H585" i="5"/>
  <c r="A586" i="5"/>
  <c r="B586" i="5"/>
  <c r="C586" i="5"/>
  <c r="D586" i="5"/>
  <c r="G586" i="5"/>
  <c r="H586" i="5"/>
  <c r="A587" i="5"/>
  <c r="B587" i="5"/>
  <c r="C587" i="5"/>
  <c r="D587" i="5"/>
  <c r="G587" i="5"/>
  <c r="H587" i="5"/>
  <c r="A588" i="5"/>
  <c r="B588" i="5"/>
  <c r="C588" i="5"/>
  <c r="D588" i="5"/>
  <c r="G588" i="5"/>
  <c r="H588" i="5"/>
  <c r="A589" i="5"/>
  <c r="B589" i="5"/>
  <c r="C589" i="5"/>
  <c r="D589" i="5"/>
  <c r="G589" i="5"/>
  <c r="H589" i="5"/>
  <c r="A590" i="5"/>
  <c r="B590" i="5"/>
  <c r="C590" i="5"/>
  <c r="D590" i="5"/>
  <c r="G590" i="5"/>
  <c r="H590" i="5"/>
  <c r="A591" i="5"/>
  <c r="B591" i="5"/>
  <c r="C591" i="5"/>
  <c r="D591" i="5"/>
  <c r="G591" i="5"/>
  <c r="H591" i="5"/>
  <c r="A592" i="5"/>
  <c r="B592" i="5"/>
  <c r="C592" i="5"/>
  <c r="D592" i="5"/>
  <c r="G592" i="5"/>
  <c r="H592" i="5"/>
  <c r="A593" i="5"/>
  <c r="B593" i="5"/>
  <c r="C593" i="5"/>
  <c r="D593" i="5"/>
  <c r="G593" i="5"/>
  <c r="H593" i="5"/>
  <c r="A594" i="5"/>
  <c r="B594" i="5"/>
  <c r="C594" i="5"/>
  <c r="D594" i="5"/>
  <c r="G594" i="5"/>
  <c r="H594" i="5"/>
  <c r="A595" i="5"/>
  <c r="B595" i="5"/>
  <c r="C595" i="5"/>
  <c r="D595" i="5"/>
  <c r="G595" i="5"/>
  <c r="H595" i="5"/>
  <c r="A596" i="5"/>
  <c r="B596" i="5"/>
  <c r="C596" i="5"/>
  <c r="D596" i="5"/>
  <c r="G596" i="5"/>
  <c r="H596" i="5"/>
  <c r="A597" i="5"/>
  <c r="B597" i="5"/>
  <c r="C597" i="5"/>
  <c r="D597" i="5"/>
  <c r="G597" i="5"/>
  <c r="H597" i="5"/>
  <c r="A598" i="5"/>
  <c r="B598" i="5"/>
  <c r="C598" i="5"/>
  <c r="D598" i="5"/>
  <c r="G598" i="5"/>
  <c r="H598" i="5"/>
  <c r="A599" i="5"/>
  <c r="B599" i="5"/>
  <c r="C599" i="5"/>
  <c r="D599" i="5"/>
  <c r="G599" i="5"/>
  <c r="H599" i="5"/>
  <c r="A600" i="5"/>
  <c r="B600" i="5"/>
  <c r="C600" i="5"/>
  <c r="D600" i="5"/>
  <c r="G600" i="5"/>
  <c r="H600" i="5"/>
  <c r="A601" i="5"/>
  <c r="B601" i="5"/>
  <c r="C601" i="5"/>
  <c r="D601" i="5"/>
  <c r="G601" i="5"/>
  <c r="H601" i="5"/>
  <c r="A602" i="5"/>
  <c r="B602" i="5"/>
  <c r="C602" i="5"/>
  <c r="D602" i="5"/>
  <c r="G602" i="5"/>
  <c r="H602" i="5"/>
  <c r="A603" i="5"/>
  <c r="B603" i="5"/>
  <c r="C603" i="5"/>
  <c r="D603" i="5"/>
  <c r="G603" i="5"/>
  <c r="H603" i="5"/>
  <c r="A604" i="5"/>
  <c r="B604" i="5"/>
  <c r="C604" i="5"/>
  <c r="D604" i="5"/>
  <c r="G604" i="5"/>
  <c r="H604" i="5"/>
  <c r="A605" i="5"/>
  <c r="B605" i="5"/>
  <c r="C605" i="5"/>
  <c r="D605" i="5"/>
  <c r="G605" i="5"/>
  <c r="H605" i="5"/>
  <c r="A606" i="5"/>
  <c r="B606" i="5"/>
  <c r="C606" i="5"/>
  <c r="D606" i="5"/>
  <c r="G606" i="5"/>
  <c r="H606" i="5"/>
  <c r="A607" i="5"/>
  <c r="B607" i="5"/>
  <c r="C607" i="5"/>
  <c r="D607" i="5"/>
  <c r="G607" i="5"/>
  <c r="H607" i="5"/>
  <c r="A608" i="5"/>
  <c r="B608" i="5"/>
  <c r="C608" i="5"/>
  <c r="D608" i="5"/>
  <c r="G608" i="5"/>
  <c r="H608" i="5"/>
  <c r="A609" i="5"/>
  <c r="B609" i="5"/>
  <c r="C609" i="5"/>
  <c r="D609" i="5"/>
  <c r="G609" i="5"/>
  <c r="H609" i="5"/>
  <c r="A610" i="5"/>
  <c r="B610" i="5"/>
  <c r="C610" i="5"/>
  <c r="D610" i="5"/>
  <c r="G610" i="5"/>
  <c r="H610" i="5"/>
  <c r="A611" i="5"/>
  <c r="B611" i="5"/>
  <c r="C611" i="5"/>
  <c r="D611" i="5"/>
  <c r="G611" i="5"/>
  <c r="H611" i="5"/>
  <c r="A612" i="5"/>
  <c r="B612" i="5"/>
  <c r="C612" i="5"/>
  <c r="D612" i="5"/>
  <c r="G612" i="5"/>
  <c r="H612" i="5"/>
  <c r="A613" i="5"/>
  <c r="B613" i="5"/>
  <c r="C613" i="5"/>
  <c r="D613" i="5"/>
  <c r="G613" i="5"/>
  <c r="H613" i="5"/>
  <c r="A614" i="5"/>
  <c r="B614" i="5"/>
  <c r="C614" i="5"/>
  <c r="D614" i="5"/>
  <c r="G614" i="5"/>
  <c r="H614" i="5"/>
  <c r="A615" i="5"/>
  <c r="B615" i="5"/>
  <c r="C615" i="5"/>
  <c r="D615" i="5"/>
  <c r="G615" i="5"/>
  <c r="H615" i="5"/>
  <c r="A616" i="5"/>
  <c r="B616" i="5"/>
  <c r="C616" i="5"/>
  <c r="D616" i="5"/>
  <c r="G616" i="5"/>
  <c r="H616" i="5"/>
  <c r="A617" i="5"/>
  <c r="B617" i="5"/>
  <c r="C617" i="5"/>
  <c r="D617" i="5"/>
  <c r="G617" i="5"/>
  <c r="H617" i="5"/>
  <c r="A618" i="5"/>
  <c r="B618" i="5"/>
  <c r="C618" i="5"/>
  <c r="D618" i="5"/>
  <c r="G618" i="5"/>
  <c r="H618" i="5"/>
  <c r="A619" i="5"/>
  <c r="B619" i="5"/>
  <c r="C619" i="5"/>
  <c r="D619" i="5"/>
  <c r="G619" i="5"/>
  <c r="H619" i="5"/>
  <c r="A620" i="5"/>
  <c r="B620" i="5"/>
  <c r="C620" i="5"/>
  <c r="D620" i="5"/>
  <c r="G620" i="5"/>
  <c r="H620" i="5"/>
  <c r="A621" i="5"/>
  <c r="B621" i="5"/>
  <c r="C621" i="5"/>
  <c r="D621" i="5"/>
  <c r="G621" i="5"/>
  <c r="H621" i="5"/>
  <c r="A622" i="5"/>
  <c r="B622" i="5"/>
  <c r="C622" i="5"/>
  <c r="D622" i="5"/>
  <c r="G622" i="5"/>
  <c r="H622" i="5"/>
  <c r="A623" i="5"/>
  <c r="B623" i="5"/>
  <c r="C623" i="5"/>
  <c r="D623" i="5"/>
  <c r="G623" i="5"/>
  <c r="H623" i="5"/>
  <c r="A624" i="5"/>
  <c r="B624" i="5"/>
  <c r="C624" i="5"/>
  <c r="D624" i="5"/>
  <c r="G624" i="5"/>
  <c r="H624" i="5"/>
  <c r="A625" i="5"/>
  <c r="B625" i="5"/>
  <c r="C625" i="5"/>
  <c r="D625" i="5"/>
  <c r="G625" i="5"/>
  <c r="H625" i="5"/>
  <c r="A626" i="5"/>
  <c r="B626" i="5"/>
  <c r="C626" i="5"/>
  <c r="D626" i="5"/>
  <c r="G626" i="5"/>
  <c r="H626" i="5"/>
  <c r="A627" i="5"/>
  <c r="B627" i="5"/>
  <c r="C627" i="5"/>
  <c r="D627" i="5"/>
  <c r="G627" i="5"/>
  <c r="H627" i="5"/>
  <c r="A628" i="5"/>
  <c r="B628" i="5"/>
  <c r="C628" i="5"/>
  <c r="D628" i="5"/>
  <c r="G628" i="5"/>
  <c r="H628" i="5"/>
  <c r="A629" i="5"/>
  <c r="B629" i="5"/>
  <c r="C629" i="5"/>
  <c r="D629" i="5"/>
  <c r="G629" i="5"/>
  <c r="H629" i="5"/>
  <c r="A630" i="5"/>
  <c r="B630" i="5"/>
  <c r="C630" i="5"/>
  <c r="D630" i="5"/>
  <c r="G630" i="5"/>
  <c r="H630" i="5"/>
  <c r="A631" i="5"/>
  <c r="B631" i="5"/>
  <c r="C631" i="5"/>
  <c r="D631" i="5"/>
  <c r="G631" i="5"/>
  <c r="H631" i="5"/>
  <c r="A632" i="5"/>
  <c r="B632" i="5"/>
  <c r="C632" i="5"/>
  <c r="D632" i="5"/>
  <c r="G632" i="5"/>
  <c r="H632" i="5"/>
  <c r="A633" i="5"/>
  <c r="B633" i="5"/>
  <c r="C633" i="5"/>
  <c r="D633" i="5"/>
  <c r="G633" i="5"/>
  <c r="H633" i="5"/>
  <c r="A634" i="5"/>
  <c r="B634" i="5"/>
  <c r="C634" i="5"/>
  <c r="D634" i="5"/>
  <c r="G634" i="5"/>
  <c r="H634" i="5"/>
  <c r="A635" i="5"/>
  <c r="B635" i="5"/>
  <c r="C635" i="5"/>
  <c r="D635" i="5"/>
  <c r="G635" i="5"/>
  <c r="H635" i="5"/>
  <c r="A636" i="5"/>
  <c r="B636" i="5"/>
  <c r="C636" i="5"/>
  <c r="D636" i="5"/>
  <c r="G636" i="5"/>
  <c r="H636" i="5"/>
  <c r="A637" i="5"/>
  <c r="B637" i="5"/>
  <c r="C637" i="5"/>
  <c r="D637" i="5"/>
  <c r="G637" i="5"/>
  <c r="H637" i="5"/>
  <c r="A638" i="5"/>
  <c r="B638" i="5"/>
  <c r="C638" i="5"/>
  <c r="D638" i="5"/>
  <c r="G638" i="5"/>
  <c r="H638" i="5"/>
  <c r="A639" i="5"/>
  <c r="B639" i="5"/>
  <c r="C639" i="5"/>
  <c r="D639" i="5"/>
  <c r="G639" i="5"/>
  <c r="H639" i="5"/>
  <c r="A640" i="5"/>
  <c r="B640" i="5"/>
  <c r="C640" i="5"/>
  <c r="D640" i="5"/>
  <c r="G640" i="5"/>
  <c r="H640" i="5"/>
  <c r="A641" i="5"/>
  <c r="B641" i="5"/>
  <c r="C641" i="5"/>
  <c r="D641" i="5"/>
  <c r="G641" i="5"/>
  <c r="H641" i="5"/>
  <c r="A642" i="5"/>
  <c r="B642" i="5"/>
  <c r="C642" i="5"/>
  <c r="D642" i="5"/>
  <c r="G642" i="5"/>
  <c r="H642" i="5"/>
  <c r="A643" i="5"/>
  <c r="B643" i="5"/>
  <c r="C643" i="5"/>
  <c r="D643" i="5"/>
  <c r="G643" i="5"/>
  <c r="H643" i="5"/>
  <c r="A644" i="5"/>
  <c r="B644" i="5"/>
  <c r="C644" i="5"/>
  <c r="D644" i="5"/>
  <c r="G644" i="5"/>
  <c r="H644" i="5"/>
  <c r="A645" i="5"/>
  <c r="B645" i="5"/>
  <c r="C645" i="5"/>
  <c r="D645" i="5"/>
  <c r="G645" i="5"/>
  <c r="H645" i="5"/>
  <c r="A646" i="5"/>
  <c r="B646" i="5"/>
  <c r="C646" i="5"/>
  <c r="D646" i="5"/>
  <c r="G646" i="5"/>
  <c r="H646" i="5"/>
  <c r="A647" i="5"/>
  <c r="B647" i="5"/>
  <c r="C647" i="5"/>
  <c r="D647" i="5"/>
  <c r="G647" i="5"/>
  <c r="H647" i="5"/>
  <c r="A648" i="5"/>
  <c r="B648" i="5"/>
  <c r="C648" i="5"/>
  <c r="D648" i="5"/>
  <c r="G648" i="5"/>
  <c r="H648" i="5"/>
  <c r="A649" i="5"/>
  <c r="B649" i="5"/>
  <c r="C649" i="5"/>
  <c r="D649" i="5"/>
  <c r="G649" i="5"/>
  <c r="H649" i="5"/>
  <c r="A650" i="5"/>
  <c r="B650" i="5"/>
  <c r="C650" i="5"/>
  <c r="D650" i="5"/>
  <c r="G650" i="5"/>
  <c r="H650" i="5"/>
  <c r="A651" i="5"/>
  <c r="B651" i="5"/>
  <c r="C651" i="5"/>
  <c r="D651" i="5"/>
  <c r="G651" i="5"/>
  <c r="H651" i="5"/>
  <c r="A652" i="5"/>
  <c r="B652" i="5"/>
  <c r="C652" i="5"/>
  <c r="D652" i="5"/>
  <c r="G652" i="5"/>
  <c r="H652" i="5"/>
  <c r="A653" i="5"/>
  <c r="B653" i="5"/>
  <c r="C653" i="5"/>
  <c r="D653" i="5"/>
  <c r="G653" i="5"/>
  <c r="H653" i="5"/>
  <c r="A654" i="5"/>
  <c r="B654" i="5"/>
  <c r="C654" i="5"/>
  <c r="D654" i="5"/>
  <c r="G654" i="5"/>
  <c r="H654" i="5"/>
  <c r="A655" i="5"/>
  <c r="B655" i="5"/>
  <c r="C655" i="5"/>
  <c r="D655" i="5"/>
  <c r="G655" i="5"/>
  <c r="H655" i="5"/>
  <c r="A656" i="5"/>
  <c r="B656" i="5"/>
  <c r="C656" i="5"/>
  <c r="D656" i="5"/>
  <c r="G656" i="5"/>
  <c r="H656" i="5"/>
  <c r="A657" i="5"/>
  <c r="B657" i="5"/>
  <c r="C657" i="5"/>
  <c r="D657" i="5"/>
  <c r="G657" i="5"/>
  <c r="H657" i="5"/>
  <c r="A658" i="5"/>
  <c r="B658" i="5"/>
  <c r="C658" i="5"/>
  <c r="D658" i="5"/>
  <c r="G658" i="5"/>
  <c r="H658" i="5"/>
  <c r="A659" i="5"/>
  <c r="B659" i="5"/>
  <c r="C659" i="5"/>
  <c r="D659" i="5"/>
  <c r="G659" i="5"/>
  <c r="H659" i="5"/>
  <c r="A660" i="5"/>
  <c r="B660" i="5"/>
  <c r="C660" i="5"/>
  <c r="D660" i="5"/>
  <c r="G660" i="5"/>
  <c r="H660" i="5"/>
  <c r="A661" i="5"/>
  <c r="B661" i="5"/>
  <c r="C661" i="5"/>
  <c r="D661" i="5"/>
  <c r="G661" i="5"/>
  <c r="H661" i="5"/>
  <c r="A662" i="5"/>
  <c r="B662" i="5"/>
  <c r="C662" i="5"/>
  <c r="D662" i="5"/>
  <c r="G662" i="5"/>
  <c r="H662" i="5"/>
  <c r="A663" i="5"/>
  <c r="B663" i="5"/>
  <c r="C663" i="5"/>
  <c r="D663" i="5"/>
  <c r="G663" i="5"/>
  <c r="H663" i="5"/>
  <c r="A664" i="5"/>
  <c r="B664" i="5"/>
  <c r="C664" i="5"/>
  <c r="D664" i="5"/>
  <c r="G664" i="5"/>
  <c r="H664" i="5"/>
  <c r="A665" i="5"/>
  <c r="B665" i="5"/>
  <c r="C665" i="5"/>
  <c r="D665" i="5"/>
  <c r="G665" i="5"/>
  <c r="H665" i="5"/>
  <c r="A666" i="5"/>
  <c r="B666" i="5"/>
  <c r="C666" i="5"/>
  <c r="D666" i="5"/>
  <c r="G666" i="5"/>
  <c r="H666" i="5"/>
  <c r="A667" i="5"/>
  <c r="B667" i="5"/>
  <c r="C667" i="5"/>
  <c r="D667" i="5"/>
  <c r="G667" i="5"/>
  <c r="H667" i="5"/>
  <c r="A668" i="5"/>
  <c r="B668" i="5"/>
  <c r="C668" i="5"/>
  <c r="D668" i="5"/>
  <c r="G668" i="5"/>
  <c r="H668" i="5"/>
  <c r="A669" i="5"/>
  <c r="B669" i="5"/>
  <c r="C669" i="5"/>
  <c r="D669" i="5"/>
  <c r="G669" i="5"/>
  <c r="H669" i="5"/>
  <c r="A670" i="5"/>
  <c r="B670" i="5"/>
  <c r="C670" i="5"/>
  <c r="D670" i="5"/>
  <c r="G670" i="5"/>
  <c r="H670" i="5"/>
  <c r="A671" i="5"/>
  <c r="B671" i="5"/>
  <c r="C671" i="5"/>
  <c r="D671" i="5"/>
  <c r="G671" i="5"/>
  <c r="H671" i="5"/>
  <c r="A672" i="5"/>
  <c r="B672" i="5"/>
  <c r="C672" i="5"/>
  <c r="D672" i="5"/>
  <c r="G672" i="5"/>
  <c r="H672" i="5"/>
  <c r="A673" i="5"/>
  <c r="B673" i="5"/>
  <c r="C673" i="5"/>
  <c r="D673" i="5"/>
  <c r="G673" i="5"/>
  <c r="H673" i="5"/>
  <c r="A674" i="5"/>
  <c r="B674" i="5"/>
  <c r="C674" i="5"/>
  <c r="D674" i="5"/>
  <c r="G674" i="5"/>
  <c r="H674" i="5"/>
  <c r="A675" i="5"/>
  <c r="B675" i="5"/>
  <c r="C675" i="5"/>
  <c r="D675" i="5"/>
  <c r="G675" i="5"/>
  <c r="H675" i="5"/>
  <c r="A676" i="5"/>
  <c r="B676" i="5"/>
  <c r="C676" i="5"/>
  <c r="D676" i="5"/>
  <c r="G676" i="5"/>
  <c r="H676" i="5"/>
  <c r="A677" i="5"/>
  <c r="B677" i="5"/>
  <c r="C677" i="5"/>
  <c r="D677" i="5"/>
  <c r="G677" i="5"/>
  <c r="H677" i="5"/>
  <c r="A678" i="5"/>
  <c r="B678" i="5"/>
  <c r="C678" i="5"/>
  <c r="D678" i="5"/>
  <c r="G678" i="5"/>
  <c r="H678" i="5"/>
  <c r="A679" i="5"/>
  <c r="B679" i="5"/>
  <c r="C679" i="5"/>
  <c r="D679" i="5"/>
  <c r="G679" i="5"/>
  <c r="H679" i="5"/>
  <c r="A680" i="5"/>
  <c r="B680" i="5"/>
  <c r="C680" i="5"/>
  <c r="D680" i="5"/>
  <c r="G680" i="5"/>
  <c r="H680" i="5"/>
  <c r="A681" i="5"/>
  <c r="B681" i="5"/>
  <c r="C681" i="5"/>
  <c r="D681" i="5"/>
  <c r="G681" i="5"/>
  <c r="H681" i="5"/>
  <c r="A682" i="5"/>
  <c r="B682" i="5"/>
  <c r="C682" i="5"/>
  <c r="D682" i="5"/>
  <c r="G682" i="5"/>
  <c r="H682" i="5"/>
  <c r="A683" i="5"/>
  <c r="B683" i="5"/>
  <c r="C683" i="5"/>
  <c r="D683" i="5"/>
  <c r="G683" i="5"/>
  <c r="H683" i="5"/>
  <c r="A684" i="5"/>
  <c r="B684" i="5"/>
  <c r="C684" i="5"/>
  <c r="D684" i="5"/>
  <c r="G684" i="5"/>
  <c r="H684" i="5"/>
  <c r="A685" i="5"/>
  <c r="B685" i="5"/>
  <c r="C685" i="5"/>
  <c r="D685" i="5"/>
  <c r="G685" i="5"/>
  <c r="H685" i="5"/>
  <c r="A686" i="5"/>
  <c r="B686" i="5"/>
  <c r="C686" i="5"/>
  <c r="D686" i="5"/>
  <c r="G686" i="5"/>
  <c r="H686" i="5"/>
  <c r="A687" i="5"/>
  <c r="B687" i="5"/>
  <c r="C687" i="5"/>
  <c r="D687" i="5"/>
  <c r="G687" i="5"/>
  <c r="H687" i="5"/>
  <c r="A688" i="5"/>
  <c r="B688" i="5"/>
  <c r="C688" i="5"/>
  <c r="D688" i="5"/>
  <c r="G688" i="5"/>
  <c r="H688" i="5"/>
  <c r="A689" i="5"/>
  <c r="B689" i="5"/>
  <c r="C689" i="5"/>
  <c r="D689" i="5"/>
  <c r="G689" i="5"/>
  <c r="H689" i="5"/>
  <c r="A690" i="5"/>
  <c r="B690" i="5"/>
  <c r="C690" i="5"/>
  <c r="D690" i="5"/>
  <c r="G690" i="5"/>
  <c r="H690" i="5"/>
  <c r="A691" i="5"/>
  <c r="B691" i="5"/>
  <c r="C691" i="5"/>
  <c r="D691" i="5"/>
  <c r="G691" i="5"/>
  <c r="H691" i="5"/>
  <c r="A692" i="5"/>
  <c r="B692" i="5"/>
  <c r="C692" i="5"/>
  <c r="D692" i="5"/>
  <c r="G692" i="5"/>
  <c r="H692" i="5"/>
  <c r="A693" i="5"/>
  <c r="B693" i="5"/>
  <c r="C693" i="5"/>
  <c r="D693" i="5"/>
  <c r="G693" i="5"/>
  <c r="H693" i="5"/>
  <c r="A694" i="5"/>
  <c r="B694" i="5"/>
  <c r="C694" i="5"/>
  <c r="D694" i="5"/>
  <c r="G694" i="5"/>
  <c r="H694" i="5"/>
  <c r="A695" i="5"/>
  <c r="B695" i="5"/>
  <c r="C695" i="5"/>
  <c r="D695" i="5"/>
  <c r="G695" i="5"/>
  <c r="H695" i="5"/>
  <c r="A696" i="5"/>
  <c r="B696" i="5"/>
  <c r="C696" i="5"/>
  <c r="D696" i="5"/>
  <c r="G696" i="5"/>
  <c r="H696" i="5"/>
  <c r="A697" i="5"/>
  <c r="B697" i="5"/>
  <c r="C697" i="5"/>
  <c r="D697" i="5"/>
  <c r="G697" i="5"/>
  <c r="H697" i="5"/>
  <c r="A698" i="5"/>
  <c r="B698" i="5"/>
  <c r="C698" i="5"/>
  <c r="D698" i="5"/>
  <c r="G698" i="5"/>
  <c r="H698" i="5"/>
  <c r="A699" i="5"/>
  <c r="B699" i="5"/>
  <c r="C699" i="5"/>
  <c r="D699" i="5"/>
  <c r="G699" i="5"/>
  <c r="H699" i="5"/>
  <c r="A700" i="5"/>
  <c r="B700" i="5"/>
  <c r="C700" i="5"/>
  <c r="D700" i="5"/>
  <c r="G700" i="5"/>
  <c r="H700" i="5"/>
  <c r="A701" i="5"/>
  <c r="B701" i="5"/>
  <c r="C701" i="5"/>
  <c r="D701" i="5"/>
  <c r="G701" i="5"/>
  <c r="H701" i="5"/>
  <c r="A702" i="5"/>
  <c r="B702" i="5"/>
  <c r="C702" i="5"/>
  <c r="D702" i="5"/>
  <c r="G702" i="5"/>
  <c r="H702" i="5"/>
  <c r="A703" i="5"/>
  <c r="B703" i="5"/>
  <c r="C703" i="5"/>
  <c r="D703" i="5"/>
  <c r="G703" i="5"/>
  <c r="H703" i="5"/>
  <c r="A704" i="5"/>
  <c r="B704" i="5"/>
  <c r="C704" i="5"/>
  <c r="D704" i="5"/>
  <c r="G704" i="5"/>
  <c r="H704" i="5"/>
  <c r="A705" i="5"/>
  <c r="B705" i="5"/>
  <c r="C705" i="5"/>
  <c r="D705" i="5"/>
  <c r="G705" i="5"/>
  <c r="H705" i="5"/>
  <c r="A706" i="5"/>
  <c r="B706" i="5"/>
  <c r="C706" i="5"/>
  <c r="D706" i="5"/>
  <c r="G706" i="5"/>
  <c r="H706" i="5"/>
  <c r="A707" i="5"/>
  <c r="B707" i="5"/>
  <c r="C707" i="5"/>
  <c r="D707" i="5"/>
  <c r="G707" i="5"/>
  <c r="H707" i="5"/>
  <c r="A708" i="5"/>
  <c r="B708" i="5"/>
  <c r="C708" i="5"/>
  <c r="D708" i="5"/>
  <c r="G708" i="5"/>
  <c r="H708" i="5"/>
  <c r="A709" i="5"/>
  <c r="B709" i="5"/>
  <c r="C709" i="5"/>
  <c r="D709" i="5"/>
  <c r="G709" i="5"/>
  <c r="H709" i="5"/>
  <c r="A710" i="5"/>
  <c r="B710" i="5"/>
  <c r="C710" i="5"/>
  <c r="D710" i="5"/>
  <c r="G710" i="5"/>
  <c r="H710" i="5"/>
  <c r="A711" i="5"/>
  <c r="B711" i="5"/>
  <c r="C711" i="5"/>
  <c r="D711" i="5"/>
  <c r="G711" i="5"/>
  <c r="H711" i="5"/>
  <c r="A712" i="5"/>
  <c r="B712" i="5"/>
  <c r="C712" i="5"/>
  <c r="D712" i="5"/>
  <c r="G712" i="5"/>
  <c r="H712" i="5"/>
  <c r="A713" i="5"/>
  <c r="B713" i="5"/>
  <c r="C713" i="5"/>
  <c r="D713" i="5"/>
  <c r="G713" i="5"/>
  <c r="H713" i="5"/>
  <c r="A714" i="5"/>
  <c r="B714" i="5"/>
  <c r="C714" i="5"/>
  <c r="D714" i="5"/>
  <c r="G714" i="5"/>
  <c r="H714" i="5"/>
  <c r="A715" i="5"/>
  <c r="B715" i="5"/>
  <c r="C715" i="5"/>
  <c r="D715" i="5"/>
  <c r="G715" i="5"/>
  <c r="H715" i="5"/>
  <c r="A716" i="5"/>
  <c r="B716" i="5"/>
  <c r="C716" i="5"/>
  <c r="D716" i="5"/>
  <c r="G716" i="5"/>
  <c r="H716" i="5"/>
  <c r="A717" i="5"/>
  <c r="B717" i="5"/>
  <c r="C717" i="5"/>
  <c r="D717" i="5"/>
  <c r="G717" i="5"/>
  <c r="H717" i="5"/>
  <c r="A718" i="5"/>
  <c r="B718" i="5"/>
  <c r="C718" i="5"/>
  <c r="D718" i="5"/>
  <c r="G718" i="5"/>
  <c r="H718" i="5"/>
  <c r="A719" i="5"/>
  <c r="B719" i="5"/>
  <c r="C719" i="5"/>
  <c r="D719" i="5"/>
  <c r="G719" i="5"/>
  <c r="H719" i="5"/>
  <c r="A720" i="5"/>
  <c r="B720" i="5"/>
  <c r="C720" i="5"/>
  <c r="D720" i="5"/>
  <c r="G720" i="5"/>
  <c r="H720" i="5"/>
  <c r="A721" i="5"/>
  <c r="B721" i="5"/>
  <c r="C721" i="5"/>
  <c r="D721" i="5"/>
  <c r="G721" i="5"/>
  <c r="H721" i="5"/>
  <c r="A722" i="5"/>
  <c r="B722" i="5"/>
  <c r="C722" i="5"/>
  <c r="D722" i="5"/>
  <c r="G722" i="5"/>
  <c r="H722" i="5"/>
  <c r="A723" i="5"/>
  <c r="B723" i="5"/>
  <c r="C723" i="5"/>
  <c r="D723" i="5"/>
  <c r="G723" i="5"/>
  <c r="H723" i="5"/>
  <c r="A724" i="5"/>
  <c r="B724" i="5"/>
  <c r="C724" i="5"/>
  <c r="D724" i="5"/>
  <c r="G724" i="5"/>
  <c r="H724" i="5"/>
  <c r="A725" i="5"/>
  <c r="B725" i="5"/>
  <c r="C725" i="5"/>
  <c r="D725" i="5"/>
  <c r="G725" i="5"/>
  <c r="H725" i="5"/>
  <c r="A726" i="5"/>
  <c r="B726" i="5"/>
  <c r="C726" i="5"/>
  <c r="D726" i="5"/>
  <c r="G726" i="5"/>
  <c r="H726" i="5"/>
  <c r="A727" i="5"/>
  <c r="B727" i="5"/>
  <c r="C727" i="5"/>
  <c r="D727" i="5"/>
  <c r="G727" i="5"/>
  <c r="H727" i="5"/>
  <c r="A728" i="5"/>
  <c r="B728" i="5"/>
  <c r="C728" i="5"/>
  <c r="D728" i="5"/>
  <c r="G728" i="5"/>
  <c r="H728" i="5"/>
  <c r="A729" i="5"/>
  <c r="B729" i="5"/>
  <c r="C729" i="5"/>
  <c r="D729" i="5"/>
  <c r="G729" i="5"/>
  <c r="H729" i="5"/>
  <c r="A730" i="5"/>
  <c r="B730" i="5"/>
  <c r="C730" i="5"/>
  <c r="D730" i="5"/>
  <c r="G730" i="5"/>
  <c r="H730" i="5"/>
  <c r="A731" i="5"/>
  <c r="B731" i="5"/>
  <c r="C731" i="5"/>
  <c r="D731" i="5"/>
  <c r="G731" i="5"/>
  <c r="H731" i="5"/>
  <c r="A732" i="5"/>
  <c r="B732" i="5"/>
  <c r="C732" i="5"/>
  <c r="D732" i="5"/>
  <c r="G732" i="5"/>
  <c r="H732" i="5"/>
  <c r="A733" i="5"/>
  <c r="B733" i="5"/>
  <c r="C733" i="5"/>
  <c r="D733" i="5"/>
  <c r="G733" i="5"/>
  <c r="H733" i="5"/>
  <c r="A734" i="5"/>
  <c r="B734" i="5"/>
  <c r="C734" i="5"/>
  <c r="D734" i="5"/>
  <c r="G734" i="5"/>
  <c r="H734" i="5"/>
  <c r="A735" i="5"/>
  <c r="B735" i="5"/>
  <c r="C735" i="5"/>
  <c r="D735" i="5"/>
  <c r="G735" i="5"/>
  <c r="H735" i="5"/>
  <c r="A736" i="5"/>
  <c r="B736" i="5"/>
  <c r="C736" i="5"/>
  <c r="D736" i="5"/>
  <c r="G736" i="5"/>
  <c r="H736" i="5"/>
  <c r="A737" i="5"/>
  <c r="B737" i="5"/>
  <c r="C737" i="5"/>
  <c r="D737" i="5"/>
  <c r="G737" i="5"/>
  <c r="H737" i="5"/>
  <c r="A738" i="5"/>
  <c r="B738" i="5"/>
  <c r="C738" i="5"/>
  <c r="D738" i="5"/>
  <c r="G738" i="5"/>
  <c r="H738" i="5"/>
  <c r="A739" i="5"/>
  <c r="B739" i="5"/>
  <c r="C739" i="5"/>
  <c r="D739" i="5"/>
  <c r="G739" i="5"/>
  <c r="H739" i="5"/>
  <c r="A740" i="5"/>
  <c r="B740" i="5"/>
  <c r="C740" i="5"/>
  <c r="D740" i="5"/>
  <c r="G740" i="5"/>
  <c r="H740" i="5"/>
  <c r="A741" i="5"/>
  <c r="B741" i="5"/>
  <c r="C741" i="5"/>
  <c r="D741" i="5"/>
  <c r="G741" i="5"/>
  <c r="H741" i="5"/>
  <c r="A742" i="5"/>
  <c r="B742" i="5"/>
  <c r="C742" i="5"/>
  <c r="D742" i="5"/>
  <c r="G742" i="5"/>
  <c r="H742" i="5"/>
  <c r="A743" i="5"/>
  <c r="B743" i="5"/>
  <c r="C743" i="5"/>
  <c r="D743" i="5"/>
  <c r="G743" i="5"/>
  <c r="H743" i="5"/>
  <c r="A744" i="5"/>
  <c r="B744" i="5"/>
  <c r="C744" i="5"/>
  <c r="D744" i="5"/>
  <c r="G744" i="5"/>
  <c r="H744" i="5"/>
  <c r="A745" i="5"/>
  <c r="B745" i="5"/>
  <c r="C745" i="5"/>
  <c r="D745" i="5"/>
  <c r="G745" i="5"/>
  <c r="H745" i="5"/>
  <c r="A746" i="5"/>
  <c r="B746" i="5"/>
  <c r="C746" i="5"/>
  <c r="D746" i="5"/>
  <c r="G746" i="5"/>
  <c r="H746" i="5"/>
  <c r="A747" i="5"/>
  <c r="B747" i="5"/>
  <c r="C747" i="5"/>
  <c r="D747" i="5"/>
  <c r="G747" i="5"/>
  <c r="H747" i="5"/>
  <c r="A748" i="5"/>
  <c r="B748" i="5"/>
  <c r="C748" i="5"/>
  <c r="D748" i="5"/>
  <c r="G748" i="5"/>
  <c r="H748" i="5"/>
  <c r="A749" i="5"/>
  <c r="B749" i="5"/>
  <c r="C749" i="5"/>
  <c r="D749" i="5"/>
  <c r="G749" i="5"/>
  <c r="H749" i="5"/>
  <c r="A750" i="5"/>
  <c r="B750" i="5"/>
  <c r="C750" i="5"/>
  <c r="D750" i="5"/>
  <c r="G750" i="5"/>
  <c r="H750" i="5"/>
  <c r="A751" i="5"/>
  <c r="B751" i="5"/>
  <c r="C751" i="5"/>
  <c r="D751" i="5"/>
  <c r="G751" i="5"/>
  <c r="H751" i="5"/>
  <c r="A752" i="5"/>
  <c r="B752" i="5"/>
  <c r="C752" i="5"/>
  <c r="D752" i="5"/>
  <c r="G752" i="5"/>
  <c r="H752" i="5"/>
  <c r="A753" i="5"/>
  <c r="B753" i="5"/>
  <c r="C753" i="5"/>
  <c r="D753" i="5"/>
  <c r="G753" i="5"/>
  <c r="H753" i="5"/>
  <c r="A754" i="5"/>
  <c r="B754" i="5"/>
  <c r="C754" i="5"/>
  <c r="D754" i="5"/>
  <c r="G754" i="5"/>
  <c r="H754" i="5"/>
  <c r="A755" i="5"/>
  <c r="B755" i="5"/>
  <c r="C755" i="5"/>
  <c r="D755" i="5"/>
  <c r="G755" i="5"/>
  <c r="H755" i="5"/>
  <c r="A756" i="5"/>
  <c r="B756" i="5"/>
  <c r="C756" i="5"/>
  <c r="D756" i="5"/>
  <c r="G756" i="5"/>
  <c r="H756" i="5"/>
  <c r="A757" i="5"/>
  <c r="B757" i="5"/>
  <c r="C757" i="5"/>
  <c r="D757" i="5"/>
  <c r="G757" i="5"/>
  <c r="H757" i="5"/>
  <c r="A758" i="5"/>
  <c r="B758" i="5"/>
  <c r="C758" i="5"/>
  <c r="D758" i="5"/>
  <c r="G758" i="5"/>
  <c r="H758" i="5"/>
  <c r="A759" i="5"/>
  <c r="B759" i="5"/>
  <c r="C759" i="5"/>
  <c r="D759" i="5"/>
  <c r="G759" i="5"/>
  <c r="H759" i="5"/>
  <c r="A760" i="5"/>
  <c r="B760" i="5"/>
  <c r="C760" i="5"/>
  <c r="D760" i="5"/>
  <c r="G760" i="5"/>
  <c r="H760" i="5"/>
  <c r="A761" i="5"/>
  <c r="B761" i="5"/>
  <c r="C761" i="5"/>
  <c r="D761" i="5"/>
  <c r="G761" i="5"/>
  <c r="H761" i="5"/>
  <c r="A762" i="5"/>
  <c r="B762" i="5"/>
  <c r="C762" i="5"/>
  <c r="D762" i="5"/>
  <c r="G762" i="5"/>
  <c r="H762" i="5"/>
  <c r="A763" i="5"/>
  <c r="B763" i="5"/>
  <c r="C763" i="5"/>
  <c r="D763" i="5"/>
  <c r="G763" i="5"/>
  <c r="H763" i="5"/>
  <c r="A764" i="5"/>
  <c r="B764" i="5"/>
  <c r="C764" i="5"/>
  <c r="D764" i="5"/>
  <c r="G764" i="5"/>
  <c r="H764" i="5"/>
  <c r="A765" i="5"/>
  <c r="B765" i="5"/>
  <c r="C765" i="5"/>
  <c r="D765" i="5"/>
  <c r="G765" i="5"/>
  <c r="H765" i="5"/>
  <c r="A766" i="5"/>
  <c r="B766" i="5"/>
  <c r="C766" i="5"/>
  <c r="D766" i="5"/>
  <c r="G766" i="5"/>
  <c r="H766" i="5"/>
  <c r="A767" i="5"/>
  <c r="B767" i="5"/>
  <c r="C767" i="5"/>
  <c r="D767" i="5"/>
  <c r="G767" i="5"/>
  <c r="H767" i="5"/>
  <c r="A768" i="5"/>
  <c r="B768" i="5"/>
  <c r="C768" i="5"/>
  <c r="D768" i="5"/>
  <c r="G768" i="5"/>
  <c r="H768" i="5"/>
  <c r="A769" i="5"/>
  <c r="B769" i="5"/>
  <c r="C769" i="5"/>
  <c r="D769" i="5"/>
  <c r="G769" i="5"/>
  <c r="H769" i="5"/>
  <c r="A770" i="5"/>
  <c r="B770" i="5"/>
  <c r="C770" i="5"/>
  <c r="D770" i="5"/>
  <c r="G770" i="5"/>
  <c r="H770" i="5"/>
  <c r="A771" i="5"/>
  <c r="B771" i="5"/>
  <c r="C771" i="5"/>
  <c r="D771" i="5"/>
  <c r="G771" i="5"/>
  <c r="H771" i="5"/>
  <c r="A772" i="5"/>
  <c r="B772" i="5"/>
  <c r="C772" i="5"/>
  <c r="D772" i="5"/>
  <c r="G772" i="5"/>
  <c r="H772" i="5"/>
  <c r="A773" i="5"/>
  <c r="B773" i="5"/>
  <c r="C773" i="5"/>
  <c r="D773" i="5"/>
  <c r="G773" i="5"/>
  <c r="H773" i="5"/>
  <c r="A774" i="5"/>
  <c r="B774" i="5"/>
  <c r="C774" i="5"/>
  <c r="D774" i="5"/>
  <c r="G774" i="5"/>
  <c r="H774" i="5"/>
  <c r="A775" i="5"/>
  <c r="B775" i="5"/>
  <c r="C775" i="5"/>
  <c r="D775" i="5"/>
  <c r="G775" i="5"/>
  <c r="H775" i="5"/>
  <c r="A776" i="5"/>
  <c r="B776" i="5"/>
  <c r="C776" i="5"/>
  <c r="D776" i="5"/>
  <c r="G776" i="5"/>
  <c r="H776" i="5"/>
  <c r="A777" i="5"/>
  <c r="B777" i="5"/>
  <c r="C777" i="5"/>
  <c r="D777" i="5"/>
  <c r="G777" i="5"/>
  <c r="H777" i="5"/>
  <c r="A778" i="5"/>
  <c r="B778" i="5"/>
  <c r="C778" i="5"/>
  <c r="D778" i="5"/>
  <c r="G778" i="5"/>
  <c r="H778" i="5"/>
  <c r="A779" i="5"/>
  <c r="B779" i="5"/>
  <c r="C779" i="5"/>
  <c r="D779" i="5"/>
  <c r="G779" i="5"/>
  <c r="H779" i="5"/>
  <c r="A780" i="5"/>
  <c r="B780" i="5"/>
  <c r="C780" i="5"/>
  <c r="D780" i="5"/>
  <c r="G780" i="5"/>
  <c r="H780" i="5"/>
  <c r="A781" i="5"/>
  <c r="B781" i="5"/>
  <c r="C781" i="5"/>
  <c r="D781" i="5"/>
  <c r="G781" i="5"/>
  <c r="H781" i="5"/>
  <c r="A782" i="5"/>
  <c r="B782" i="5"/>
  <c r="C782" i="5"/>
  <c r="D782" i="5"/>
  <c r="G782" i="5"/>
  <c r="H782" i="5"/>
  <c r="A783" i="5"/>
  <c r="B783" i="5"/>
  <c r="C783" i="5"/>
  <c r="D783" i="5"/>
  <c r="G783" i="5"/>
  <c r="H783" i="5"/>
  <c r="A784" i="5"/>
  <c r="B784" i="5"/>
  <c r="C784" i="5"/>
  <c r="D784" i="5"/>
  <c r="G784" i="5"/>
  <c r="H784" i="5"/>
  <c r="A785" i="5"/>
  <c r="B785" i="5"/>
  <c r="C785" i="5"/>
  <c r="D785" i="5"/>
  <c r="G785" i="5"/>
  <c r="H785" i="5"/>
  <c r="A786" i="5"/>
  <c r="B786" i="5"/>
  <c r="C786" i="5"/>
  <c r="D786" i="5"/>
  <c r="G786" i="5"/>
  <c r="H786" i="5"/>
  <c r="A787" i="5"/>
  <c r="B787" i="5"/>
  <c r="C787" i="5"/>
  <c r="D787" i="5"/>
  <c r="G787" i="5"/>
  <c r="H787" i="5"/>
  <c r="A788" i="5"/>
  <c r="B788" i="5"/>
  <c r="C788" i="5"/>
  <c r="D788" i="5"/>
  <c r="G788" i="5"/>
  <c r="H788" i="5"/>
  <c r="A789" i="5"/>
  <c r="B789" i="5"/>
  <c r="C789" i="5"/>
  <c r="D789" i="5"/>
  <c r="G789" i="5"/>
  <c r="H789" i="5"/>
  <c r="A790" i="5"/>
  <c r="B790" i="5"/>
  <c r="C790" i="5"/>
  <c r="D790" i="5"/>
  <c r="G790" i="5"/>
  <c r="H790" i="5"/>
  <c r="A791" i="5"/>
  <c r="B791" i="5"/>
  <c r="C791" i="5"/>
  <c r="D791" i="5"/>
  <c r="G791" i="5"/>
  <c r="H791" i="5"/>
  <c r="A792" i="5"/>
  <c r="B792" i="5"/>
  <c r="C792" i="5"/>
  <c r="D792" i="5"/>
  <c r="G792" i="5"/>
  <c r="H792" i="5"/>
  <c r="A793" i="5"/>
  <c r="B793" i="5"/>
  <c r="C793" i="5"/>
  <c r="D793" i="5"/>
  <c r="G793" i="5"/>
  <c r="H793" i="5"/>
  <c r="A794" i="5"/>
  <c r="B794" i="5"/>
  <c r="C794" i="5"/>
  <c r="D794" i="5"/>
  <c r="G794" i="5"/>
  <c r="H794" i="5"/>
  <c r="A795" i="5"/>
  <c r="B795" i="5"/>
  <c r="C795" i="5"/>
  <c r="D795" i="5"/>
  <c r="G795" i="5"/>
  <c r="H795" i="5"/>
  <c r="A796" i="5"/>
  <c r="B796" i="5"/>
  <c r="C796" i="5"/>
  <c r="D796" i="5"/>
  <c r="G796" i="5"/>
  <c r="H796" i="5"/>
  <c r="A797" i="5"/>
  <c r="B797" i="5"/>
  <c r="C797" i="5"/>
  <c r="D797" i="5"/>
  <c r="G797" i="5"/>
  <c r="H797" i="5"/>
  <c r="A798" i="5"/>
  <c r="B798" i="5"/>
  <c r="C798" i="5"/>
  <c r="D798" i="5"/>
  <c r="G798" i="5"/>
  <c r="H798" i="5"/>
  <c r="A799" i="5"/>
  <c r="B799" i="5"/>
  <c r="C799" i="5"/>
  <c r="D799" i="5"/>
  <c r="G799" i="5"/>
  <c r="H799" i="5"/>
  <c r="A800" i="5"/>
  <c r="B800" i="5"/>
  <c r="C800" i="5"/>
  <c r="D800" i="5"/>
  <c r="G800" i="5"/>
  <c r="H800" i="5"/>
  <c r="A801" i="5"/>
  <c r="B801" i="5"/>
  <c r="C801" i="5"/>
  <c r="D801" i="5"/>
  <c r="G801" i="5"/>
  <c r="H801" i="5"/>
  <c r="A802" i="5"/>
  <c r="B802" i="5"/>
  <c r="C802" i="5"/>
  <c r="D802" i="5"/>
  <c r="G802" i="5"/>
  <c r="H802" i="5"/>
  <c r="A803" i="5"/>
  <c r="B803" i="5"/>
  <c r="C803" i="5"/>
  <c r="D803" i="5"/>
  <c r="G803" i="5"/>
  <c r="H803" i="5"/>
  <c r="A804" i="5"/>
  <c r="B804" i="5"/>
  <c r="C804" i="5"/>
  <c r="D804" i="5"/>
  <c r="G804" i="5"/>
  <c r="H804" i="5"/>
  <c r="A805" i="5"/>
  <c r="B805" i="5"/>
  <c r="C805" i="5"/>
  <c r="D805" i="5"/>
  <c r="G805" i="5"/>
  <c r="H805" i="5"/>
  <c r="A806" i="5"/>
  <c r="B806" i="5"/>
  <c r="C806" i="5"/>
  <c r="D806" i="5"/>
  <c r="G806" i="5"/>
  <c r="H806" i="5"/>
  <c r="A807" i="5"/>
  <c r="B807" i="5"/>
  <c r="C807" i="5"/>
  <c r="D807" i="5"/>
  <c r="G807" i="5"/>
  <c r="H807" i="5"/>
  <c r="A808" i="5"/>
  <c r="B808" i="5"/>
  <c r="C808" i="5"/>
  <c r="D808" i="5"/>
  <c r="G808" i="5"/>
  <c r="H808" i="5"/>
  <c r="A809" i="5"/>
  <c r="B809" i="5"/>
  <c r="C809" i="5"/>
  <c r="D809" i="5"/>
  <c r="G809" i="5"/>
  <c r="H809" i="5"/>
  <c r="A810" i="5"/>
  <c r="B810" i="5"/>
  <c r="C810" i="5"/>
  <c r="D810" i="5"/>
  <c r="G810" i="5"/>
  <c r="H810" i="5"/>
  <c r="A811" i="5"/>
  <c r="B811" i="5"/>
  <c r="C811" i="5"/>
  <c r="D811" i="5"/>
  <c r="G811" i="5"/>
  <c r="H811" i="5"/>
  <c r="A812" i="5"/>
  <c r="B812" i="5"/>
  <c r="C812" i="5"/>
  <c r="D812" i="5"/>
  <c r="G812" i="5"/>
  <c r="H812" i="5"/>
  <c r="A813" i="5"/>
  <c r="B813" i="5"/>
  <c r="C813" i="5"/>
  <c r="D813" i="5"/>
  <c r="G813" i="5"/>
  <c r="H813" i="5"/>
  <c r="A814" i="5"/>
  <c r="B814" i="5"/>
  <c r="C814" i="5"/>
  <c r="D814" i="5"/>
  <c r="G814" i="5"/>
  <c r="H814" i="5"/>
  <c r="A815" i="5"/>
  <c r="B815" i="5"/>
  <c r="C815" i="5"/>
  <c r="D815" i="5"/>
  <c r="G815" i="5"/>
  <c r="H815" i="5"/>
  <c r="A816" i="5"/>
  <c r="B816" i="5"/>
  <c r="C816" i="5"/>
  <c r="D816" i="5"/>
  <c r="G816" i="5"/>
  <c r="H816" i="5"/>
  <c r="A817" i="5"/>
  <c r="B817" i="5"/>
  <c r="C817" i="5"/>
  <c r="D817" i="5"/>
  <c r="G817" i="5"/>
  <c r="H817" i="5"/>
  <c r="A818" i="5"/>
  <c r="B818" i="5"/>
  <c r="C818" i="5"/>
  <c r="D818" i="5"/>
  <c r="G818" i="5"/>
  <c r="H818" i="5"/>
  <c r="A819" i="5"/>
  <c r="B819" i="5"/>
  <c r="C819" i="5"/>
  <c r="D819" i="5"/>
  <c r="G819" i="5"/>
  <c r="H819" i="5"/>
  <c r="A820" i="5"/>
  <c r="B820" i="5"/>
  <c r="C820" i="5"/>
  <c r="D820" i="5"/>
  <c r="G820" i="5"/>
  <c r="H820" i="5"/>
  <c r="A821" i="5"/>
  <c r="B821" i="5"/>
  <c r="C821" i="5"/>
  <c r="D821" i="5"/>
  <c r="G821" i="5"/>
  <c r="H821" i="5"/>
  <c r="A822" i="5"/>
  <c r="B822" i="5"/>
  <c r="C822" i="5"/>
  <c r="D822" i="5"/>
  <c r="G822" i="5"/>
  <c r="H822" i="5"/>
  <c r="A823" i="5"/>
  <c r="B823" i="5"/>
  <c r="C823" i="5"/>
  <c r="D823" i="5"/>
  <c r="G823" i="5"/>
  <c r="H823" i="5"/>
  <c r="A824" i="5"/>
  <c r="B824" i="5"/>
  <c r="C824" i="5"/>
  <c r="D824" i="5"/>
  <c r="G824" i="5"/>
  <c r="H824" i="5"/>
  <c r="A825" i="5"/>
  <c r="B825" i="5"/>
  <c r="C825" i="5"/>
  <c r="D825" i="5"/>
  <c r="G825" i="5"/>
  <c r="H825" i="5"/>
  <c r="A826" i="5"/>
  <c r="B826" i="5"/>
  <c r="C826" i="5"/>
  <c r="D826" i="5"/>
  <c r="G826" i="5"/>
  <c r="H826" i="5"/>
  <c r="A827" i="5"/>
  <c r="B827" i="5"/>
  <c r="C827" i="5"/>
  <c r="D827" i="5"/>
  <c r="G827" i="5"/>
  <c r="H827" i="5"/>
  <c r="A828" i="5"/>
  <c r="B828" i="5"/>
  <c r="C828" i="5"/>
  <c r="D828" i="5"/>
  <c r="G828" i="5"/>
  <c r="H828" i="5"/>
  <c r="A829" i="5"/>
  <c r="B829" i="5"/>
  <c r="C829" i="5"/>
  <c r="D829" i="5"/>
  <c r="G829" i="5"/>
  <c r="H829" i="5"/>
  <c r="A830" i="5"/>
  <c r="B830" i="5"/>
  <c r="C830" i="5"/>
  <c r="D830" i="5"/>
  <c r="G830" i="5"/>
  <c r="H830" i="5"/>
  <c r="A831" i="5"/>
  <c r="B831" i="5"/>
  <c r="C831" i="5"/>
  <c r="D831" i="5"/>
  <c r="G831" i="5"/>
  <c r="H831" i="5"/>
  <c r="A832" i="5"/>
  <c r="B832" i="5"/>
  <c r="C832" i="5"/>
  <c r="D832" i="5"/>
  <c r="G832" i="5"/>
  <c r="H832" i="5"/>
  <c r="A833" i="5"/>
  <c r="B833" i="5"/>
  <c r="C833" i="5"/>
  <c r="D833" i="5"/>
  <c r="G833" i="5"/>
  <c r="H833" i="5"/>
  <c r="A834" i="5"/>
  <c r="B834" i="5"/>
  <c r="C834" i="5"/>
  <c r="D834" i="5"/>
  <c r="G834" i="5"/>
  <c r="H834" i="5"/>
  <c r="A835" i="5"/>
  <c r="B835" i="5"/>
  <c r="C835" i="5"/>
  <c r="D835" i="5"/>
  <c r="G835" i="5"/>
  <c r="H835" i="5"/>
  <c r="A836" i="5"/>
  <c r="B836" i="5"/>
  <c r="C836" i="5"/>
  <c r="D836" i="5"/>
  <c r="G836" i="5"/>
  <c r="H836" i="5"/>
  <c r="A837" i="5"/>
  <c r="B837" i="5"/>
  <c r="C837" i="5"/>
  <c r="D837" i="5"/>
  <c r="G837" i="5"/>
  <c r="H837" i="5"/>
  <c r="A838" i="5"/>
  <c r="B838" i="5"/>
  <c r="C838" i="5"/>
  <c r="D838" i="5"/>
  <c r="G838" i="5"/>
  <c r="H838" i="5"/>
  <c r="A839" i="5"/>
  <c r="B839" i="5"/>
  <c r="C839" i="5"/>
  <c r="D839" i="5"/>
  <c r="G839" i="5"/>
  <c r="H839" i="5"/>
  <c r="A840" i="5"/>
  <c r="B840" i="5"/>
  <c r="C840" i="5"/>
  <c r="D840" i="5"/>
  <c r="G840" i="5"/>
  <c r="H840" i="5"/>
  <c r="A841" i="5"/>
  <c r="B841" i="5"/>
  <c r="C841" i="5"/>
  <c r="D841" i="5"/>
  <c r="G841" i="5"/>
  <c r="H841" i="5"/>
  <c r="A842" i="5"/>
  <c r="B842" i="5"/>
  <c r="C842" i="5"/>
  <c r="D842" i="5"/>
  <c r="G842" i="5"/>
  <c r="H842" i="5"/>
  <c r="A843" i="5"/>
  <c r="B843" i="5"/>
  <c r="C843" i="5"/>
  <c r="D843" i="5"/>
  <c r="G843" i="5"/>
  <c r="H843" i="5"/>
  <c r="A844" i="5"/>
  <c r="B844" i="5"/>
  <c r="C844" i="5"/>
  <c r="D844" i="5"/>
  <c r="G844" i="5"/>
  <c r="H844" i="5"/>
  <c r="A845" i="5"/>
  <c r="B845" i="5"/>
  <c r="C845" i="5"/>
  <c r="D845" i="5"/>
  <c r="G845" i="5"/>
  <c r="H845" i="5"/>
  <c r="A846" i="5"/>
  <c r="B846" i="5"/>
  <c r="C846" i="5"/>
  <c r="D846" i="5"/>
  <c r="G846" i="5"/>
  <c r="H846" i="5"/>
  <c r="A847" i="5"/>
  <c r="B847" i="5"/>
  <c r="C847" i="5"/>
  <c r="D847" i="5"/>
  <c r="G847" i="5"/>
  <c r="H847" i="5"/>
  <c r="A848" i="5"/>
  <c r="B848" i="5"/>
  <c r="C848" i="5"/>
  <c r="D848" i="5"/>
  <c r="G848" i="5"/>
  <c r="H848" i="5"/>
  <c r="A849" i="5"/>
  <c r="B849" i="5"/>
  <c r="C849" i="5"/>
  <c r="D849" i="5"/>
  <c r="G849" i="5"/>
  <c r="H849" i="5"/>
  <c r="A850" i="5"/>
  <c r="B850" i="5"/>
  <c r="C850" i="5"/>
  <c r="D850" i="5"/>
  <c r="G850" i="5"/>
  <c r="H850" i="5"/>
  <c r="A851" i="5"/>
  <c r="B851" i="5"/>
  <c r="C851" i="5"/>
  <c r="D851" i="5"/>
  <c r="G851" i="5"/>
  <c r="H851" i="5"/>
  <c r="A852" i="5"/>
  <c r="B852" i="5"/>
  <c r="C852" i="5"/>
  <c r="D852" i="5"/>
  <c r="G852" i="5"/>
  <c r="H852" i="5"/>
  <c r="A853" i="5"/>
  <c r="B853" i="5"/>
  <c r="C853" i="5"/>
  <c r="D853" i="5"/>
  <c r="G853" i="5"/>
  <c r="H853" i="5"/>
  <c r="A854" i="5"/>
  <c r="B854" i="5"/>
  <c r="C854" i="5"/>
  <c r="D854" i="5"/>
  <c r="G854" i="5"/>
  <c r="H854" i="5"/>
  <c r="A855" i="5"/>
  <c r="B855" i="5"/>
  <c r="C855" i="5"/>
  <c r="D855" i="5"/>
  <c r="G855" i="5"/>
  <c r="H855" i="5"/>
  <c r="A856" i="5"/>
  <c r="B856" i="5"/>
  <c r="C856" i="5"/>
  <c r="D856" i="5"/>
  <c r="G856" i="5"/>
  <c r="H856" i="5"/>
  <c r="A857" i="5"/>
  <c r="B857" i="5"/>
  <c r="C857" i="5"/>
  <c r="D857" i="5"/>
  <c r="G857" i="5"/>
  <c r="H857" i="5"/>
  <c r="A858" i="5"/>
  <c r="B858" i="5"/>
  <c r="C858" i="5"/>
  <c r="D858" i="5"/>
  <c r="G858" i="5"/>
  <c r="H858" i="5"/>
  <c r="A859" i="5"/>
  <c r="B859" i="5"/>
  <c r="C859" i="5"/>
  <c r="D859" i="5"/>
  <c r="G859" i="5"/>
  <c r="H859" i="5"/>
  <c r="A860" i="5"/>
  <c r="B860" i="5"/>
  <c r="C860" i="5"/>
  <c r="D860" i="5"/>
  <c r="G860" i="5"/>
  <c r="H860" i="5"/>
  <c r="A861" i="5"/>
  <c r="B861" i="5"/>
  <c r="C861" i="5"/>
  <c r="D861" i="5"/>
  <c r="G861" i="5"/>
  <c r="H861" i="5"/>
  <c r="A862" i="5"/>
  <c r="B862" i="5"/>
  <c r="C862" i="5"/>
  <c r="D862" i="5"/>
  <c r="G862" i="5"/>
  <c r="H862" i="5"/>
  <c r="A863" i="5"/>
  <c r="B863" i="5"/>
  <c r="C863" i="5"/>
  <c r="D863" i="5"/>
  <c r="G863" i="5"/>
  <c r="H863" i="5"/>
  <c r="A864" i="5"/>
  <c r="B864" i="5"/>
  <c r="C864" i="5"/>
  <c r="D864" i="5"/>
  <c r="G864" i="5"/>
  <c r="H864" i="5"/>
  <c r="A865" i="5"/>
  <c r="B865" i="5"/>
  <c r="C865" i="5"/>
  <c r="D865" i="5"/>
  <c r="G865" i="5"/>
  <c r="H865" i="5"/>
  <c r="A866" i="5"/>
  <c r="B866" i="5"/>
  <c r="C866" i="5"/>
  <c r="D866" i="5"/>
  <c r="G866" i="5"/>
  <c r="H866" i="5"/>
  <c r="A867" i="5"/>
  <c r="B867" i="5"/>
  <c r="C867" i="5"/>
  <c r="D867" i="5"/>
  <c r="G867" i="5"/>
  <c r="H867" i="5"/>
  <c r="A868" i="5"/>
  <c r="B868" i="5"/>
  <c r="C868" i="5"/>
  <c r="D868" i="5"/>
  <c r="G868" i="5"/>
  <c r="H868" i="5"/>
  <c r="A869" i="5"/>
  <c r="B869" i="5"/>
  <c r="C869" i="5"/>
  <c r="D869" i="5"/>
  <c r="G869" i="5"/>
  <c r="H869" i="5"/>
  <c r="A870" i="5"/>
  <c r="B870" i="5"/>
  <c r="C870" i="5"/>
  <c r="D870" i="5"/>
  <c r="G870" i="5"/>
  <c r="H870" i="5"/>
  <c r="A871" i="5"/>
  <c r="B871" i="5"/>
  <c r="C871" i="5"/>
  <c r="D871" i="5"/>
  <c r="G871" i="5"/>
  <c r="H871" i="5"/>
  <c r="A872" i="5"/>
  <c r="B872" i="5"/>
  <c r="C872" i="5"/>
  <c r="D872" i="5"/>
  <c r="G872" i="5"/>
  <c r="H872" i="5"/>
  <c r="A873" i="5"/>
  <c r="B873" i="5"/>
  <c r="C873" i="5"/>
  <c r="D873" i="5"/>
  <c r="G873" i="5"/>
  <c r="H873" i="5"/>
  <c r="A874" i="5"/>
  <c r="B874" i="5"/>
  <c r="C874" i="5"/>
  <c r="D874" i="5"/>
  <c r="G874" i="5"/>
  <c r="H874" i="5"/>
  <c r="A875" i="5"/>
  <c r="B875" i="5"/>
  <c r="C875" i="5"/>
  <c r="D875" i="5"/>
  <c r="G875" i="5"/>
  <c r="H875" i="5"/>
  <c r="A876" i="5"/>
  <c r="B876" i="5"/>
  <c r="C876" i="5"/>
  <c r="D876" i="5"/>
  <c r="G876" i="5"/>
  <c r="H876" i="5"/>
  <c r="A877" i="5"/>
  <c r="B877" i="5"/>
  <c r="C877" i="5"/>
  <c r="D877" i="5"/>
  <c r="G877" i="5"/>
  <c r="H877" i="5"/>
  <c r="A878" i="5"/>
  <c r="B878" i="5"/>
  <c r="C878" i="5"/>
  <c r="D878" i="5"/>
  <c r="G878" i="5"/>
  <c r="H878" i="5"/>
  <c r="A879" i="5"/>
  <c r="B879" i="5"/>
  <c r="C879" i="5"/>
  <c r="D879" i="5"/>
  <c r="G879" i="5"/>
  <c r="H879" i="5"/>
  <c r="A880" i="5"/>
  <c r="B880" i="5"/>
  <c r="C880" i="5"/>
  <c r="D880" i="5"/>
  <c r="G880" i="5"/>
  <c r="H880" i="5"/>
  <c r="A881" i="5"/>
  <c r="B881" i="5"/>
  <c r="C881" i="5"/>
  <c r="D881" i="5"/>
  <c r="G881" i="5"/>
  <c r="H881" i="5"/>
  <c r="A882" i="5"/>
  <c r="B882" i="5"/>
  <c r="C882" i="5"/>
  <c r="D882" i="5"/>
  <c r="G882" i="5"/>
  <c r="H882" i="5"/>
  <c r="A883" i="5"/>
  <c r="B883" i="5"/>
  <c r="C883" i="5"/>
  <c r="D883" i="5"/>
  <c r="G883" i="5"/>
  <c r="H883" i="5"/>
  <c r="A884" i="5"/>
  <c r="B884" i="5"/>
  <c r="C884" i="5"/>
  <c r="D884" i="5"/>
  <c r="G884" i="5"/>
  <c r="H884" i="5"/>
  <c r="A885" i="5"/>
  <c r="B885" i="5"/>
  <c r="C885" i="5"/>
  <c r="D885" i="5"/>
  <c r="G885" i="5"/>
  <c r="H885" i="5"/>
  <c r="A886" i="5"/>
  <c r="B886" i="5"/>
  <c r="C886" i="5"/>
  <c r="D886" i="5"/>
  <c r="G886" i="5"/>
  <c r="H886" i="5"/>
  <c r="A887" i="5"/>
  <c r="B887" i="5"/>
  <c r="C887" i="5"/>
  <c r="D887" i="5"/>
  <c r="G887" i="5"/>
  <c r="H887" i="5"/>
  <c r="A888" i="5"/>
  <c r="B888" i="5"/>
  <c r="C888" i="5"/>
  <c r="D888" i="5"/>
  <c r="G888" i="5"/>
  <c r="H888" i="5"/>
  <c r="A889" i="5"/>
  <c r="B889" i="5"/>
  <c r="C889" i="5"/>
  <c r="D889" i="5"/>
  <c r="G889" i="5"/>
  <c r="H889" i="5"/>
  <c r="A890" i="5"/>
  <c r="B890" i="5"/>
  <c r="C890" i="5"/>
  <c r="D890" i="5"/>
  <c r="G890" i="5"/>
  <c r="H890" i="5"/>
  <c r="A891" i="5"/>
  <c r="B891" i="5"/>
  <c r="C891" i="5"/>
  <c r="D891" i="5"/>
  <c r="G891" i="5"/>
  <c r="H891" i="5"/>
  <c r="A892" i="5"/>
  <c r="B892" i="5"/>
  <c r="C892" i="5"/>
  <c r="D892" i="5"/>
  <c r="G892" i="5"/>
  <c r="H892" i="5"/>
  <c r="A893" i="5"/>
  <c r="B893" i="5"/>
  <c r="C893" i="5"/>
  <c r="D893" i="5"/>
  <c r="G893" i="5"/>
  <c r="H893" i="5"/>
  <c r="A894" i="5"/>
  <c r="B894" i="5"/>
  <c r="C894" i="5"/>
  <c r="D894" i="5"/>
  <c r="G894" i="5"/>
  <c r="H894" i="5"/>
  <c r="A895" i="5"/>
  <c r="B895" i="5"/>
  <c r="C895" i="5"/>
  <c r="D895" i="5"/>
  <c r="G895" i="5"/>
  <c r="H895" i="5"/>
  <c r="A896" i="5"/>
  <c r="B896" i="5"/>
  <c r="C896" i="5"/>
  <c r="D896" i="5"/>
  <c r="G896" i="5"/>
  <c r="H896" i="5"/>
  <c r="A897" i="5"/>
  <c r="B897" i="5"/>
  <c r="C897" i="5"/>
  <c r="D897" i="5"/>
  <c r="G897" i="5"/>
  <c r="H897" i="5"/>
  <c r="A898" i="5"/>
  <c r="B898" i="5"/>
  <c r="C898" i="5"/>
  <c r="D898" i="5"/>
  <c r="G898" i="5"/>
  <c r="H898" i="5"/>
  <c r="A899" i="5"/>
  <c r="B899" i="5"/>
  <c r="C899" i="5"/>
  <c r="D899" i="5"/>
  <c r="G899" i="5"/>
  <c r="H899" i="5"/>
  <c r="A900" i="5"/>
  <c r="B900" i="5"/>
  <c r="C900" i="5"/>
  <c r="D900" i="5"/>
  <c r="G900" i="5"/>
  <c r="H900" i="5"/>
  <c r="A901" i="5"/>
  <c r="B901" i="5"/>
  <c r="C901" i="5"/>
  <c r="D901" i="5"/>
  <c r="G901" i="5"/>
  <c r="H901" i="5"/>
  <c r="A902" i="5"/>
  <c r="B902" i="5"/>
  <c r="C902" i="5"/>
  <c r="D902" i="5"/>
  <c r="G902" i="5"/>
  <c r="H902" i="5"/>
  <c r="A903" i="5"/>
  <c r="B903" i="5"/>
  <c r="C903" i="5"/>
  <c r="D903" i="5"/>
  <c r="G903" i="5"/>
  <c r="H903" i="5"/>
  <c r="A904" i="5"/>
  <c r="B904" i="5"/>
  <c r="C904" i="5"/>
  <c r="D904" i="5"/>
  <c r="G904" i="5"/>
  <c r="H904" i="5"/>
  <c r="A905" i="5"/>
  <c r="B905" i="5"/>
  <c r="C905" i="5"/>
  <c r="D905" i="5"/>
  <c r="G905" i="5"/>
  <c r="H905" i="5"/>
  <c r="A906" i="5"/>
  <c r="B906" i="5"/>
  <c r="C906" i="5"/>
  <c r="D906" i="5"/>
  <c r="G906" i="5"/>
  <c r="H906" i="5"/>
  <c r="A907" i="5"/>
  <c r="B907" i="5"/>
  <c r="C907" i="5"/>
  <c r="D907" i="5"/>
  <c r="G907" i="5"/>
  <c r="H907" i="5"/>
  <c r="A908" i="5"/>
  <c r="B908" i="5"/>
  <c r="C908" i="5"/>
  <c r="D908" i="5"/>
  <c r="G908" i="5"/>
  <c r="H908" i="5"/>
  <c r="A909" i="5"/>
  <c r="B909" i="5"/>
  <c r="C909" i="5"/>
  <c r="D909" i="5"/>
  <c r="G909" i="5"/>
  <c r="H909" i="5"/>
  <c r="A910" i="5"/>
  <c r="B910" i="5"/>
  <c r="C910" i="5"/>
  <c r="D910" i="5"/>
  <c r="G910" i="5"/>
  <c r="H910" i="5"/>
  <c r="A911" i="5"/>
  <c r="B911" i="5"/>
  <c r="C911" i="5"/>
  <c r="D911" i="5"/>
  <c r="G911" i="5"/>
  <c r="H911" i="5"/>
  <c r="A912" i="5"/>
  <c r="B912" i="5"/>
  <c r="C912" i="5"/>
  <c r="D912" i="5"/>
  <c r="G912" i="5"/>
  <c r="H912" i="5"/>
  <c r="A913" i="5"/>
  <c r="B913" i="5"/>
  <c r="C913" i="5"/>
  <c r="D913" i="5"/>
  <c r="G913" i="5"/>
  <c r="H913" i="5"/>
  <c r="A914" i="5"/>
  <c r="B914" i="5"/>
  <c r="C914" i="5"/>
  <c r="D914" i="5"/>
  <c r="G914" i="5"/>
  <c r="H914" i="5"/>
  <c r="A915" i="5"/>
  <c r="B915" i="5"/>
  <c r="C915" i="5"/>
  <c r="D915" i="5"/>
  <c r="G915" i="5"/>
  <c r="H915" i="5"/>
  <c r="A916" i="5"/>
  <c r="B916" i="5"/>
  <c r="C916" i="5"/>
  <c r="D916" i="5"/>
  <c r="G916" i="5"/>
  <c r="H916" i="5"/>
  <c r="A917" i="5"/>
  <c r="B917" i="5"/>
  <c r="C917" i="5"/>
  <c r="D917" i="5"/>
  <c r="G917" i="5"/>
  <c r="H917" i="5"/>
  <c r="A918" i="5"/>
  <c r="B918" i="5"/>
  <c r="C918" i="5"/>
  <c r="D918" i="5"/>
  <c r="G918" i="5"/>
  <c r="H918" i="5"/>
  <c r="A919" i="5"/>
  <c r="B919" i="5"/>
  <c r="C919" i="5"/>
  <c r="D919" i="5"/>
  <c r="G919" i="5"/>
  <c r="H919" i="5"/>
  <c r="A920" i="5"/>
  <c r="B920" i="5"/>
  <c r="C920" i="5"/>
  <c r="D920" i="5"/>
  <c r="G920" i="5"/>
  <c r="H920" i="5"/>
  <c r="A921" i="5"/>
  <c r="B921" i="5"/>
  <c r="C921" i="5"/>
  <c r="D921" i="5"/>
  <c r="G921" i="5"/>
  <c r="H921" i="5"/>
  <c r="A922" i="5"/>
  <c r="B922" i="5"/>
  <c r="C922" i="5"/>
  <c r="D922" i="5"/>
  <c r="G922" i="5"/>
  <c r="H922" i="5"/>
  <c r="A923" i="5"/>
  <c r="B923" i="5"/>
  <c r="C923" i="5"/>
  <c r="D923" i="5"/>
  <c r="G923" i="5"/>
  <c r="H923" i="5"/>
  <c r="A924" i="5"/>
  <c r="B924" i="5"/>
  <c r="C924" i="5"/>
  <c r="D924" i="5"/>
  <c r="G924" i="5"/>
  <c r="H924" i="5"/>
  <c r="A925" i="5"/>
  <c r="B925" i="5"/>
  <c r="C925" i="5"/>
  <c r="D925" i="5"/>
  <c r="G925" i="5"/>
  <c r="H925" i="5"/>
  <c r="A926" i="5"/>
  <c r="B926" i="5"/>
  <c r="C926" i="5"/>
  <c r="D926" i="5"/>
  <c r="G926" i="5"/>
  <c r="H926" i="5"/>
  <c r="A927" i="5"/>
  <c r="B927" i="5"/>
  <c r="C927" i="5"/>
  <c r="D927" i="5"/>
  <c r="G927" i="5"/>
  <c r="H927" i="5"/>
  <c r="A928" i="5"/>
  <c r="B928" i="5"/>
  <c r="C928" i="5"/>
  <c r="D928" i="5"/>
  <c r="G928" i="5"/>
  <c r="H928" i="5"/>
  <c r="A929" i="5"/>
  <c r="B929" i="5"/>
  <c r="C929" i="5"/>
  <c r="D929" i="5"/>
  <c r="G929" i="5"/>
  <c r="H929" i="5"/>
  <c r="A930" i="5"/>
  <c r="B930" i="5"/>
  <c r="C930" i="5"/>
  <c r="D930" i="5"/>
  <c r="G930" i="5"/>
  <c r="H930" i="5"/>
  <c r="A931" i="5"/>
  <c r="B931" i="5"/>
  <c r="C931" i="5"/>
  <c r="D931" i="5"/>
  <c r="G931" i="5"/>
  <c r="H931" i="5"/>
  <c r="A932" i="5"/>
  <c r="B932" i="5"/>
  <c r="C932" i="5"/>
  <c r="D932" i="5"/>
  <c r="G932" i="5"/>
  <c r="H932" i="5"/>
  <c r="A933" i="5"/>
  <c r="B933" i="5"/>
  <c r="C933" i="5"/>
  <c r="D933" i="5"/>
  <c r="G933" i="5"/>
  <c r="H933" i="5"/>
  <c r="A934" i="5"/>
  <c r="B934" i="5"/>
  <c r="C934" i="5"/>
  <c r="D934" i="5"/>
  <c r="G934" i="5"/>
  <c r="H934" i="5"/>
  <c r="A935" i="5"/>
  <c r="B935" i="5"/>
  <c r="C935" i="5"/>
  <c r="D935" i="5"/>
  <c r="G935" i="5"/>
  <c r="H935" i="5"/>
  <c r="A936" i="5"/>
  <c r="B936" i="5"/>
  <c r="C936" i="5"/>
  <c r="D936" i="5"/>
  <c r="G936" i="5"/>
  <c r="H936" i="5"/>
  <c r="A937" i="5"/>
  <c r="B937" i="5"/>
  <c r="C937" i="5"/>
  <c r="D937" i="5"/>
  <c r="G937" i="5"/>
  <c r="H937" i="5"/>
  <c r="A938" i="5"/>
  <c r="B938" i="5"/>
  <c r="C938" i="5"/>
  <c r="D938" i="5"/>
  <c r="G938" i="5"/>
  <c r="H938" i="5"/>
  <c r="A939" i="5"/>
  <c r="B939" i="5"/>
  <c r="C939" i="5"/>
  <c r="D939" i="5"/>
  <c r="G939" i="5"/>
  <c r="H939" i="5"/>
  <c r="A940" i="5"/>
  <c r="B940" i="5"/>
  <c r="C940" i="5"/>
  <c r="D940" i="5"/>
  <c r="G940" i="5"/>
  <c r="H940" i="5"/>
  <c r="A941" i="5"/>
  <c r="B941" i="5"/>
  <c r="C941" i="5"/>
  <c r="D941" i="5"/>
  <c r="G941" i="5"/>
  <c r="H941" i="5"/>
  <c r="A942" i="5"/>
  <c r="B942" i="5"/>
  <c r="C942" i="5"/>
  <c r="D942" i="5"/>
  <c r="G942" i="5"/>
  <c r="H942" i="5"/>
  <c r="A943" i="5"/>
  <c r="B943" i="5"/>
  <c r="C943" i="5"/>
  <c r="D943" i="5"/>
  <c r="G943" i="5"/>
  <c r="H943" i="5"/>
  <c r="A944" i="5"/>
  <c r="B944" i="5"/>
  <c r="C944" i="5"/>
  <c r="D944" i="5"/>
  <c r="G944" i="5"/>
  <c r="H944" i="5"/>
  <c r="A945" i="5"/>
  <c r="B945" i="5"/>
  <c r="C945" i="5"/>
  <c r="D945" i="5"/>
  <c r="G945" i="5"/>
  <c r="H945" i="5"/>
  <c r="A946" i="5"/>
  <c r="B946" i="5"/>
  <c r="C946" i="5"/>
  <c r="D946" i="5"/>
  <c r="G946" i="5"/>
  <c r="H946" i="5"/>
  <c r="A947" i="5"/>
  <c r="B947" i="5"/>
  <c r="C947" i="5"/>
  <c r="D947" i="5"/>
  <c r="G947" i="5"/>
  <c r="H947" i="5"/>
  <c r="A948" i="5"/>
  <c r="B948" i="5"/>
  <c r="C948" i="5"/>
  <c r="D948" i="5"/>
  <c r="G948" i="5"/>
  <c r="H948" i="5"/>
  <c r="A949" i="5"/>
  <c r="B949" i="5"/>
  <c r="C949" i="5"/>
  <c r="D949" i="5"/>
  <c r="G949" i="5"/>
  <c r="H949" i="5"/>
  <c r="A950" i="5"/>
  <c r="B950" i="5"/>
  <c r="C950" i="5"/>
  <c r="D950" i="5"/>
  <c r="G950" i="5"/>
  <c r="H950" i="5"/>
  <c r="A951" i="5"/>
  <c r="B951" i="5"/>
  <c r="C951" i="5"/>
  <c r="D951" i="5"/>
  <c r="G951" i="5"/>
  <c r="H951" i="5"/>
  <c r="A952" i="5"/>
  <c r="B952" i="5"/>
  <c r="C952" i="5"/>
  <c r="D952" i="5"/>
  <c r="G952" i="5"/>
  <c r="H952" i="5"/>
  <c r="A953" i="5"/>
  <c r="B953" i="5"/>
  <c r="C953" i="5"/>
  <c r="D953" i="5"/>
  <c r="G953" i="5"/>
  <c r="H953" i="5"/>
  <c r="A954" i="5"/>
  <c r="B954" i="5"/>
  <c r="C954" i="5"/>
  <c r="D954" i="5"/>
  <c r="G954" i="5"/>
  <c r="H954" i="5"/>
  <c r="A955" i="5"/>
  <c r="B955" i="5"/>
  <c r="C955" i="5"/>
  <c r="D955" i="5"/>
  <c r="G955" i="5"/>
  <c r="H955" i="5"/>
  <c r="A956" i="5"/>
  <c r="B956" i="5"/>
  <c r="C956" i="5"/>
  <c r="D956" i="5"/>
  <c r="G956" i="5"/>
  <c r="H956" i="5"/>
  <c r="A957" i="5"/>
  <c r="B957" i="5"/>
  <c r="C957" i="5"/>
  <c r="D957" i="5"/>
  <c r="G957" i="5"/>
  <c r="H957" i="5"/>
  <c r="A958" i="5"/>
  <c r="B958" i="5"/>
  <c r="C958" i="5"/>
  <c r="D958" i="5"/>
  <c r="G958" i="5"/>
  <c r="H958" i="5"/>
  <c r="A959" i="5"/>
  <c r="B959" i="5"/>
  <c r="C959" i="5"/>
  <c r="D959" i="5"/>
  <c r="G959" i="5"/>
  <c r="H959" i="5"/>
  <c r="A960" i="5"/>
  <c r="B960" i="5"/>
  <c r="C960" i="5"/>
  <c r="D960" i="5"/>
  <c r="G960" i="5"/>
  <c r="H960" i="5"/>
  <c r="A961" i="5"/>
  <c r="B961" i="5"/>
  <c r="C961" i="5"/>
  <c r="D961" i="5"/>
  <c r="G961" i="5"/>
  <c r="H961" i="5"/>
  <c r="A962" i="5"/>
  <c r="B962" i="5"/>
  <c r="C962" i="5"/>
  <c r="D962" i="5"/>
  <c r="G962" i="5"/>
  <c r="H962" i="5"/>
  <c r="A963" i="5"/>
  <c r="B963" i="5"/>
  <c r="C963" i="5"/>
  <c r="D963" i="5"/>
  <c r="G963" i="5"/>
  <c r="H963" i="5"/>
  <c r="A964" i="5"/>
  <c r="B964" i="5"/>
  <c r="C964" i="5"/>
  <c r="D964" i="5"/>
  <c r="G964" i="5"/>
  <c r="H964" i="5"/>
  <c r="A965" i="5"/>
  <c r="B965" i="5"/>
  <c r="C965" i="5"/>
  <c r="D965" i="5"/>
  <c r="G965" i="5"/>
  <c r="H965" i="5"/>
  <c r="A966" i="5"/>
  <c r="B966" i="5"/>
  <c r="C966" i="5"/>
  <c r="D966" i="5"/>
  <c r="G966" i="5"/>
  <c r="H966" i="5"/>
  <c r="A967" i="5"/>
  <c r="B967" i="5"/>
  <c r="C967" i="5"/>
  <c r="D967" i="5"/>
  <c r="G967" i="5"/>
  <c r="H967" i="5"/>
  <c r="A968" i="5"/>
  <c r="B968" i="5"/>
  <c r="C968" i="5"/>
  <c r="D968" i="5"/>
  <c r="G968" i="5"/>
  <c r="H968" i="5"/>
  <c r="A969" i="5"/>
  <c r="B969" i="5"/>
  <c r="C969" i="5"/>
  <c r="D969" i="5"/>
  <c r="G969" i="5"/>
  <c r="H969" i="5"/>
  <c r="A970" i="5"/>
  <c r="B970" i="5"/>
  <c r="C970" i="5"/>
  <c r="D970" i="5"/>
  <c r="G970" i="5"/>
  <c r="H970" i="5"/>
  <c r="A971" i="5"/>
  <c r="B971" i="5"/>
  <c r="C971" i="5"/>
  <c r="D971" i="5"/>
  <c r="G971" i="5"/>
  <c r="H971" i="5"/>
  <c r="A972" i="5"/>
  <c r="B972" i="5"/>
  <c r="C972" i="5"/>
  <c r="D972" i="5"/>
  <c r="G972" i="5"/>
  <c r="H972" i="5"/>
  <c r="A973" i="5"/>
  <c r="B973" i="5"/>
  <c r="C973" i="5"/>
  <c r="D973" i="5"/>
  <c r="G973" i="5"/>
  <c r="H973" i="5"/>
  <c r="A974" i="5"/>
  <c r="B974" i="5"/>
  <c r="C974" i="5"/>
  <c r="D974" i="5"/>
  <c r="G974" i="5"/>
  <c r="H974" i="5"/>
  <c r="A975" i="5"/>
  <c r="B975" i="5"/>
  <c r="C975" i="5"/>
  <c r="D975" i="5"/>
  <c r="G975" i="5"/>
  <c r="H975" i="5"/>
  <c r="A976" i="5"/>
  <c r="B976" i="5"/>
  <c r="C976" i="5"/>
  <c r="D976" i="5"/>
  <c r="G976" i="5"/>
  <c r="H976" i="5"/>
  <c r="A977" i="5"/>
  <c r="B977" i="5"/>
  <c r="C977" i="5"/>
  <c r="D977" i="5"/>
  <c r="G977" i="5"/>
  <c r="H977" i="5"/>
  <c r="A978" i="5"/>
  <c r="B978" i="5"/>
  <c r="C978" i="5"/>
  <c r="D978" i="5"/>
  <c r="G978" i="5"/>
  <c r="H978" i="5"/>
  <c r="A979" i="5"/>
  <c r="B979" i="5"/>
  <c r="C979" i="5"/>
  <c r="D979" i="5"/>
  <c r="G979" i="5"/>
  <c r="H979" i="5"/>
  <c r="A980" i="5"/>
  <c r="B980" i="5"/>
  <c r="C980" i="5"/>
  <c r="D980" i="5"/>
  <c r="G980" i="5"/>
  <c r="H980" i="5"/>
  <c r="A981" i="5"/>
  <c r="B981" i="5"/>
  <c r="C981" i="5"/>
  <c r="D981" i="5"/>
  <c r="G981" i="5"/>
  <c r="H981" i="5"/>
  <c r="A982" i="5"/>
  <c r="B982" i="5"/>
  <c r="C982" i="5"/>
  <c r="D982" i="5"/>
  <c r="G982" i="5"/>
  <c r="H982" i="5"/>
  <c r="A983" i="5"/>
  <c r="B983" i="5"/>
  <c r="C983" i="5"/>
  <c r="D983" i="5"/>
  <c r="G983" i="5"/>
  <c r="H983" i="5"/>
  <c r="A984" i="5"/>
  <c r="B984" i="5"/>
  <c r="C984" i="5"/>
  <c r="D984" i="5"/>
  <c r="G984" i="5"/>
  <c r="H984" i="5"/>
  <c r="A985" i="5"/>
  <c r="B985" i="5"/>
  <c r="C985" i="5"/>
  <c r="D985" i="5"/>
  <c r="G985" i="5"/>
  <c r="H985" i="5"/>
  <c r="A986" i="5"/>
  <c r="B986" i="5"/>
  <c r="C986" i="5"/>
  <c r="D986" i="5"/>
  <c r="G986" i="5"/>
  <c r="H986" i="5"/>
  <c r="A987" i="5"/>
  <c r="B987" i="5"/>
  <c r="C987" i="5"/>
  <c r="D987" i="5"/>
  <c r="G987" i="5"/>
  <c r="H987" i="5"/>
  <c r="A988" i="5"/>
  <c r="B988" i="5"/>
  <c r="C988" i="5"/>
  <c r="D988" i="5"/>
  <c r="G988" i="5"/>
  <c r="H988" i="5"/>
  <c r="A989" i="5"/>
  <c r="B989" i="5"/>
  <c r="C989" i="5"/>
  <c r="D989" i="5"/>
  <c r="G989" i="5"/>
  <c r="H989" i="5"/>
  <c r="A990" i="5"/>
  <c r="B990" i="5"/>
  <c r="C990" i="5"/>
  <c r="D990" i="5"/>
  <c r="G990" i="5"/>
  <c r="H990" i="5"/>
  <c r="A991" i="5"/>
  <c r="B991" i="5"/>
  <c r="C991" i="5"/>
  <c r="D991" i="5"/>
  <c r="G991" i="5"/>
  <c r="H991" i="5"/>
  <c r="A992" i="5"/>
  <c r="B992" i="5"/>
  <c r="C992" i="5"/>
  <c r="D992" i="5"/>
  <c r="G992" i="5"/>
  <c r="H992" i="5"/>
  <c r="A993" i="5"/>
  <c r="B993" i="5"/>
  <c r="C993" i="5"/>
  <c r="D993" i="5"/>
  <c r="G993" i="5"/>
  <c r="H993" i="5"/>
  <c r="A994" i="5"/>
  <c r="B994" i="5"/>
  <c r="C994" i="5"/>
  <c r="D994" i="5"/>
  <c r="G994" i="5"/>
  <c r="H994" i="5"/>
  <c r="A995" i="5"/>
  <c r="B995" i="5"/>
  <c r="C995" i="5"/>
  <c r="D995" i="5"/>
  <c r="G995" i="5"/>
  <c r="H995" i="5"/>
  <c r="A996" i="5"/>
  <c r="B996" i="5"/>
  <c r="C996" i="5"/>
  <c r="D996" i="5"/>
  <c r="G996" i="5"/>
  <c r="H996" i="5"/>
  <c r="A997" i="5"/>
  <c r="B997" i="5"/>
  <c r="C997" i="5"/>
  <c r="D997" i="5"/>
  <c r="G997" i="5"/>
  <c r="H997" i="5"/>
  <c r="A998" i="5"/>
  <c r="B998" i="5"/>
  <c r="C998" i="5"/>
  <c r="D998" i="5"/>
  <c r="G998" i="5"/>
  <c r="H998" i="5"/>
  <c r="A999" i="5"/>
  <c r="B999" i="5"/>
  <c r="C999" i="5"/>
  <c r="D999" i="5"/>
  <c r="G999" i="5"/>
  <c r="H999" i="5"/>
  <c r="A1000" i="5"/>
  <c r="B1000" i="5"/>
  <c r="C1000" i="5"/>
  <c r="D1000" i="5"/>
  <c r="G1000" i="5"/>
  <c r="H1000" i="5"/>
  <c r="A1001" i="5"/>
  <c r="B1001" i="5"/>
  <c r="C1001" i="5"/>
  <c r="D1001" i="5"/>
  <c r="G1001" i="5"/>
  <c r="H1001" i="5"/>
  <c r="A1002" i="5"/>
  <c r="B1002" i="5"/>
  <c r="C1002" i="5"/>
  <c r="D1002" i="5"/>
  <c r="G1002" i="5"/>
  <c r="H1002" i="5"/>
  <c r="A1003" i="5"/>
  <c r="B1003" i="5"/>
  <c r="C1003" i="5"/>
  <c r="D1003" i="5"/>
  <c r="G1003" i="5"/>
  <c r="H1003" i="5"/>
  <c r="A1004" i="5"/>
  <c r="B1004" i="5"/>
  <c r="C1004" i="5"/>
  <c r="D1004" i="5"/>
  <c r="G1004" i="5"/>
  <c r="H1004" i="5"/>
  <c r="A1005" i="5"/>
  <c r="B1005" i="5"/>
  <c r="C1005" i="5"/>
  <c r="D1005" i="5"/>
  <c r="G1005" i="5"/>
  <c r="H1005" i="5"/>
  <c r="A1006" i="5"/>
  <c r="B1006" i="5"/>
  <c r="C1006" i="5"/>
  <c r="D1006" i="5"/>
  <c r="G1006" i="5"/>
  <c r="H1006" i="5"/>
  <c r="A1007" i="5"/>
  <c r="B1007" i="5"/>
  <c r="C1007" i="5"/>
  <c r="D1007" i="5"/>
  <c r="G1007" i="5"/>
  <c r="H1007" i="5"/>
  <c r="A1008" i="5"/>
  <c r="B1008" i="5"/>
  <c r="C1008" i="5"/>
  <c r="D1008" i="5"/>
  <c r="G1008" i="5"/>
  <c r="H1008" i="5"/>
  <c r="A1009" i="5"/>
  <c r="B1009" i="5"/>
  <c r="C1009" i="5"/>
  <c r="D1009" i="5"/>
  <c r="G1009" i="5"/>
  <c r="H1009" i="5"/>
  <c r="A1010" i="5"/>
  <c r="B1010" i="5"/>
  <c r="C1010" i="5"/>
  <c r="D1010" i="5"/>
  <c r="G1010" i="5"/>
  <c r="H1010" i="5"/>
  <c r="A1011" i="5"/>
  <c r="B1011" i="5"/>
  <c r="C1011" i="5"/>
  <c r="D1011" i="5"/>
  <c r="G1011" i="5"/>
  <c r="H1011" i="5"/>
  <c r="A1012" i="5"/>
  <c r="B1012" i="5"/>
  <c r="C1012" i="5"/>
  <c r="D1012" i="5"/>
  <c r="G1012" i="5"/>
  <c r="H1012" i="5"/>
  <c r="A1013" i="5"/>
  <c r="B1013" i="5"/>
  <c r="C1013" i="5"/>
  <c r="D1013" i="5"/>
  <c r="G1013" i="5"/>
  <c r="H1013" i="5"/>
  <c r="A1014" i="5"/>
  <c r="B1014" i="5"/>
  <c r="C1014" i="5"/>
  <c r="D1014" i="5"/>
  <c r="G1014" i="5"/>
  <c r="H1014" i="5"/>
  <c r="A1015" i="5"/>
  <c r="B1015" i="5"/>
  <c r="C1015" i="5"/>
  <c r="D1015" i="5"/>
  <c r="G1015" i="5"/>
  <c r="H1015" i="5"/>
  <c r="A1016" i="5"/>
  <c r="B1016" i="5"/>
  <c r="C1016" i="5"/>
  <c r="D1016" i="5"/>
  <c r="G1016" i="5"/>
  <c r="H1016" i="5"/>
  <c r="A1017" i="5"/>
  <c r="B1017" i="5"/>
  <c r="C1017" i="5"/>
  <c r="D1017" i="5"/>
  <c r="G1017" i="5"/>
  <c r="H1017" i="5"/>
  <c r="A1018" i="5"/>
  <c r="B1018" i="5"/>
  <c r="C1018" i="5"/>
  <c r="D1018" i="5"/>
  <c r="G1018" i="5"/>
  <c r="H1018" i="5"/>
  <c r="A1019" i="5"/>
  <c r="B1019" i="5"/>
  <c r="C1019" i="5"/>
  <c r="D1019" i="5"/>
  <c r="G1019" i="5"/>
  <c r="H1019" i="5"/>
  <c r="A1020" i="5"/>
  <c r="B1020" i="5"/>
  <c r="C1020" i="5"/>
  <c r="D1020" i="5"/>
  <c r="G1020" i="5"/>
  <c r="H1020" i="5"/>
  <c r="A1021" i="5"/>
  <c r="B1021" i="5"/>
  <c r="C1021" i="5"/>
  <c r="D1021" i="5"/>
  <c r="G1021" i="5"/>
  <c r="H1021" i="5"/>
  <c r="A1022" i="5"/>
  <c r="B1022" i="5"/>
  <c r="C1022" i="5"/>
  <c r="D1022" i="5"/>
  <c r="G1022" i="5"/>
  <c r="H1022" i="5"/>
  <c r="A1023" i="5"/>
  <c r="B1023" i="5"/>
  <c r="C1023" i="5"/>
  <c r="D1023" i="5"/>
  <c r="G1023" i="5"/>
  <c r="H1023" i="5"/>
  <c r="A1024" i="5"/>
  <c r="B1024" i="5"/>
  <c r="C1024" i="5"/>
  <c r="D1024" i="5"/>
  <c r="G1024" i="5"/>
  <c r="H1024" i="5"/>
  <c r="A1025" i="5"/>
  <c r="B1025" i="5"/>
  <c r="C1025" i="5"/>
  <c r="D1025" i="5"/>
  <c r="G1025" i="5"/>
  <c r="H1025" i="5"/>
  <c r="A1026" i="5"/>
  <c r="B1026" i="5"/>
  <c r="C1026" i="5"/>
  <c r="D1026" i="5"/>
  <c r="G1026" i="5"/>
  <c r="H1026" i="5"/>
  <c r="A1027" i="5"/>
  <c r="B1027" i="5"/>
  <c r="C1027" i="5"/>
  <c r="D1027" i="5"/>
  <c r="G1027" i="5"/>
  <c r="H1027" i="5"/>
  <c r="A1028" i="5"/>
  <c r="B1028" i="5"/>
  <c r="C1028" i="5"/>
  <c r="D1028" i="5"/>
  <c r="G1028" i="5"/>
  <c r="H1028" i="5"/>
  <c r="A1029" i="5"/>
  <c r="B1029" i="5"/>
  <c r="C1029" i="5"/>
  <c r="D1029" i="5"/>
  <c r="G1029" i="5"/>
  <c r="H1029" i="5"/>
  <c r="A1030" i="5"/>
  <c r="B1030" i="5"/>
  <c r="C1030" i="5"/>
  <c r="D1030" i="5"/>
  <c r="G1030" i="5"/>
  <c r="H1030" i="5"/>
  <c r="A1031" i="5"/>
  <c r="B1031" i="5"/>
  <c r="C1031" i="5"/>
  <c r="D1031" i="5"/>
  <c r="G1031" i="5"/>
  <c r="H1031" i="5"/>
  <c r="A1032" i="5"/>
  <c r="B1032" i="5"/>
  <c r="C1032" i="5"/>
  <c r="D1032" i="5"/>
  <c r="G1032" i="5"/>
  <c r="H1032" i="5"/>
  <c r="A1033" i="5"/>
  <c r="B1033" i="5"/>
  <c r="C1033" i="5"/>
  <c r="D1033" i="5"/>
  <c r="G1033" i="5"/>
  <c r="H1033" i="5"/>
  <c r="A1034" i="5"/>
  <c r="B1034" i="5"/>
  <c r="C1034" i="5"/>
  <c r="D1034" i="5"/>
  <c r="G1034" i="5"/>
  <c r="H1034" i="5"/>
  <c r="A1035" i="5"/>
  <c r="B1035" i="5"/>
  <c r="C1035" i="5"/>
  <c r="D1035" i="5"/>
  <c r="G1035" i="5"/>
  <c r="H1035" i="5"/>
  <c r="A1036" i="5"/>
  <c r="B1036" i="5"/>
  <c r="C1036" i="5"/>
  <c r="D1036" i="5"/>
  <c r="G1036" i="5"/>
  <c r="H1036" i="5"/>
  <c r="A1037" i="5"/>
  <c r="B1037" i="5"/>
  <c r="C1037" i="5"/>
  <c r="D1037" i="5"/>
  <c r="G1037" i="5"/>
  <c r="H1037" i="5"/>
  <c r="A1038" i="5"/>
  <c r="B1038" i="5"/>
  <c r="C1038" i="5"/>
  <c r="D1038" i="5"/>
  <c r="G1038" i="5"/>
  <c r="H1038" i="5"/>
  <c r="A1039" i="5"/>
  <c r="B1039" i="5"/>
  <c r="C1039" i="5"/>
  <c r="D1039" i="5"/>
  <c r="G1039" i="5"/>
  <c r="H1039" i="5"/>
  <c r="A1040" i="5"/>
  <c r="B1040" i="5"/>
  <c r="C1040" i="5"/>
  <c r="D1040" i="5"/>
  <c r="G1040" i="5"/>
  <c r="H1040" i="5"/>
  <c r="A1041" i="5"/>
  <c r="B1041" i="5"/>
  <c r="C1041" i="5"/>
  <c r="D1041" i="5"/>
  <c r="G1041" i="5"/>
  <c r="H1041" i="5"/>
  <c r="A1042" i="5"/>
  <c r="B1042" i="5"/>
  <c r="C1042" i="5"/>
  <c r="D1042" i="5"/>
  <c r="G1042" i="5"/>
  <c r="H1042" i="5"/>
  <c r="A1043" i="5"/>
  <c r="B1043" i="5"/>
  <c r="C1043" i="5"/>
  <c r="D1043" i="5"/>
  <c r="G1043" i="5"/>
  <c r="H1043" i="5"/>
  <c r="A1044" i="5"/>
  <c r="B1044" i="5"/>
  <c r="C1044" i="5"/>
  <c r="D1044" i="5"/>
  <c r="G1044" i="5"/>
  <c r="H1044" i="5"/>
  <c r="A1045" i="5"/>
  <c r="B1045" i="5"/>
  <c r="C1045" i="5"/>
  <c r="D1045" i="5"/>
  <c r="G1045" i="5"/>
  <c r="H1045" i="5"/>
  <c r="A1046" i="5"/>
  <c r="B1046" i="5"/>
  <c r="C1046" i="5"/>
  <c r="D1046" i="5"/>
  <c r="G1046" i="5"/>
  <c r="H1046" i="5"/>
  <c r="A1047" i="5"/>
  <c r="B1047" i="5"/>
  <c r="C1047" i="5"/>
  <c r="D1047" i="5"/>
  <c r="G1047" i="5"/>
  <c r="H1047" i="5"/>
  <c r="A1048" i="5"/>
  <c r="B1048" i="5"/>
  <c r="C1048" i="5"/>
  <c r="D1048" i="5"/>
  <c r="G1048" i="5"/>
  <c r="H1048" i="5"/>
  <c r="A1049" i="5"/>
  <c r="B1049" i="5"/>
  <c r="C1049" i="5"/>
  <c r="D1049" i="5"/>
  <c r="G1049" i="5"/>
  <c r="H1049" i="5"/>
  <c r="A1050" i="5"/>
  <c r="B1050" i="5"/>
  <c r="C1050" i="5"/>
  <c r="D1050" i="5"/>
  <c r="G1050" i="5"/>
  <c r="H1050" i="5"/>
  <c r="A1051" i="5"/>
  <c r="B1051" i="5"/>
  <c r="C1051" i="5"/>
  <c r="D1051" i="5"/>
  <c r="G1051" i="5"/>
  <c r="H1051" i="5"/>
  <c r="A1052" i="5"/>
  <c r="B1052" i="5"/>
  <c r="C1052" i="5"/>
  <c r="D1052" i="5"/>
  <c r="E123" i="9"/>
  <c r="D123" i="9"/>
  <c r="F123" i="9"/>
  <c r="E122" i="9"/>
  <c r="D122" i="9"/>
  <c r="F122" i="9"/>
  <c r="E121" i="9"/>
  <c r="D121" i="9"/>
  <c r="F121" i="9"/>
  <c r="E120" i="9"/>
  <c r="D120" i="9"/>
  <c r="F120" i="9"/>
  <c r="E119" i="9"/>
  <c r="D119" i="9"/>
  <c r="F119" i="9"/>
  <c r="D118" i="9"/>
  <c r="E117" i="9"/>
  <c r="D117" i="9"/>
  <c r="F117" i="9"/>
  <c r="E116" i="9"/>
  <c r="D116" i="9"/>
  <c r="F116" i="9"/>
  <c r="E115" i="9"/>
  <c r="D115" i="9"/>
  <c r="F115" i="9"/>
  <c r="E114" i="9"/>
  <c r="D114" i="9"/>
  <c r="F114" i="9"/>
  <c r="E113" i="9"/>
  <c r="D113" i="9"/>
  <c r="F113" i="9"/>
  <c r="E112" i="9"/>
  <c r="D112" i="9"/>
  <c r="F112" i="9"/>
  <c r="E111" i="9"/>
  <c r="D111" i="9"/>
  <c r="F111" i="9"/>
  <c r="E110" i="9"/>
  <c r="D110" i="9"/>
  <c r="F110" i="9"/>
  <c r="E109" i="9"/>
  <c r="D109" i="9"/>
  <c r="F109" i="9"/>
  <c r="E108" i="9"/>
  <c r="D108" i="9"/>
  <c r="F108" i="9"/>
  <c r="E107" i="9"/>
  <c r="D107" i="9"/>
  <c r="F107" i="9"/>
  <c r="E106" i="9"/>
  <c r="D106" i="9"/>
  <c r="F106" i="9"/>
  <c r="D105" i="9"/>
  <c r="D104" i="9"/>
  <c r="E103" i="9"/>
  <c r="D103" i="9"/>
  <c r="F103" i="9"/>
  <c r="E102" i="9"/>
  <c r="D102" i="9"/>
  <c r="F102" i="9"/>
  <c r="D101" i="9"/>
  <c r="E100" i="9"/>
  <c r="D100" i="9"/>
  <c r="F100" i="9"/>
  <c r="E99" i="9"/>
  <c r="D99" i="9"/>
  <c r="F99" i="9"/>
  <c r="E98" i="9"/>
  <c r="D98" i="9"/>
  <c r="F98" i="9"/>
  <c r="E97" i="9"/>
  <c r="D97" i="9"/>
  <c r="F97" i="9"/>
  <c r="E96" i="9"/>
  <c r="D96" i="9"/>
  <c r="F96" i="9"/>
  <c r="E95" i="9"/>
  <c r="D95" i="9"/>
  <c r="F95" i="9"/>
  <c r="E94" i="9"/>
  <c r="D94" i="9"/>
  <c r="F94" i="9"/>
  <c r="E93" i="9"/>
  <c r="D93" i="9"/>
  <c r="F93" i="9"/>
  <c r="E92" i="9"/>
  <c r="D92" i="9"/>
  <c r="F92" i="9"/>
  <c r="D91" i="9"/>
  <c r="E90" i="9"/>
  <c r="D90" i="9"/>
  <c r="F90" i="9"/>
  <c r="E89" i="9"/>
  <c r="D89" i="9"/>
  <c r="F89" i="9"/>
  <c r="E88" i="9"/>
  <c r="D88" i="9"/>
  <c r="F88" i="9"/>
  <c r="E87" i="9"/>
  <c r="D87" i="9"/>
  <c r="F87" i="9"/>
  <c r="E86" i="9"/>
  <c r="D86" i="9"/>
  <c r="E85" i="9"/>
  <c r="D85" i="9"/>
  <c r="F85" i="9"/>
  <c r="E84" i="9"/>
  <c r="D84" i="9"/>
  <c r="F84" i="9"/>
  <c r="D83" i="9"/>
  <c r="D82" i="9"/>
  <c r="E81" i="9"/>
  <c r="D81" i="9"/>
  <c r="F81" i="9"/>
  <c r="D80" i="9"/>
  <c r="D79" i="9"/>
  <c r="E78" i="9"/>
  <c r="D78" i="9"/>
  <c r="F78" i="9"/>
  <c r="E77" i="9"/>
  <c r="D77" i="9"/>
  <c r="F77" i="9"/>
  <c r="E76" i="9"/>
  <c r="D76" i="9"/>
  <c r="F76" i="9"/>
  <c r="D75" i="9"/>
  <c r="E74" i="9"/>
  <c r="D74" i="9"/>
  <c r="F74" i="9"/>
  <c r="D73" i="9"/>
  <c r="E72" i="9"/>
  <c r="D72" i="9"/>
  <c r="F72" i="9"/>
  <c r="E71" i="9"/>
  <c r="D71" i="9"/>
  <c r="F71" i="9"/>
  <c r="D70" i="9"/>
  <c r="E69" i="9"/>
  <c r="D69" i="9"/>
  <c r="F69" i="9"/>
  <c r="E68" i="9"/>
  <c r="D68" i="9"/>
  <c r="F68" i="9"/>
  <c r="D67" i="9"/>
  <c r="E66" i="9"/>
  <c r="D66" i="9"/>
  <c r="F66" i="9"/>
  <c r="E65" i="9"/>
  <c r="D65" i="9"/>
  <c r="F65" i="9"/>
  <c r="D64" i="9"/>
  <c r="D63" i="9"/>
  <c r="E62" i="9"/>
  <c r="D62" i="9"/>
  <c r="F62" i="9"/>
  <c r="D61" i="9"/>
  <c r="E60" i="9"/>
  <c r="D60" i="9"/>
  <c r="F60" i="9"/>
  <c r="D59" i="9"/>
  <c r="D58" i="9"/>
  <c r="E57" i="9"/>
  <c r="D57" i="9"/>
  <c r="F57" i="9"/>
  <c r="E56" i="9"/>
  <c r="D56" i="9"/>
  <c r="F56" i="9"/>
  <c r="D55" i="9"/>
  <c r="E54" i="9"/>
  <c r="D54" i="9"/>
  <c r="F54" i="9"/>
  <c r="E53" i="9"/>
  <c r="D53" i="9"/>
  <c r="F53" i="9"/>
  <c r="D52" i="9"/>
  <c r="D39" i="9"/>
  <c r="D38" i="9"/>
  <c r="D37" i="9"/>
  <c r="E36" i="9"/>
  <c r="D36" i="9"/>
  <c r="F36" i="9"/>
  <c r="D35" i="9"/>
  <c r="D34" i="9"/>
  <c r="E33" i="9"/>
  <c r="D33" i="9"/>
  <c r="F33" i="9"/>
  <c r="D32" i="9"/>
  <c r="D31" i="9"/>
  <c r="E30" i="9"/>
  <c r="D30" i="9"/>
  <c r="F30" i="9"/>
  <c r="D29" i="9"/>
  <c r="D28" i="9"/>
  <c r="D27" i="9"/>
  <c r="D26" i="9"/>
  <c r="D25" i="9"/>
  <c r="E24" i="9"/>
  <c r="D24" i="9"/>
  <c r="F24" i="9"/>
  <c r="D23" i="9"/>
  <c r="D22" i="9"/>
  <c r="E21" i="9"/>
  <c r="D21" i="9"/>
  <c r="F21" i="9"/>
  <c r="D20" i="9"/>
  <c r="D19" i="9"/>
  <c r="E18" i="9"/>
  <c r="D18" i="9"/>
  <c r="F18" i="9"/>
  <c r="D17" i="9"/>
  <c r="D16" i="9"/>
  <c r="E15" i="9"/>
  <c r="D15" i="9"/>
  <c r="F15" i="9"/>
  <c r="D14" i="9"/>
  <c r="D13" i="9"/>
  <c r="E12" i="9"/>
  <c r="D12" i="9"/>
  <c r="F12" i="9"/>
  <c r="D11" i="9"/>
  <c r="D10" i="9"/>
  <c r="E9" i="9"/>
  <c r="D9" i="9"/>
  <c r="F9" i="9"/>
  <c r="D8" i="9"/>
  <c r="D7" i="9"/>
  <c r="E6" i="9"/>
  <c r="D6" i="9"/>
  <c r="F6" i="9"/>
  <c r="D5" i="9"/>
  <c r="D4" i="9"/>
  <c r="Q1028" i="7"/>
  <c r="Q988" i="7"/>
  <c r="Q827" i="7"/>
  <c r="Q819" i="7"/>
  <c r="Q25" i="7"/>
  <c r="T4" i="7"/>
  <c r="U4" i="7"/>
  <c r="V4" i="7"/>
  <c r="T5" i="7"/>
  <c r="U5" i="7"/>
  <c r="V5" i="7"/>
  <c r="T9" i="7"/>
  <c r="U9" i="7"/>
  <c r="V9" i="7"/>
  <c r="T10" i="7"/>
  <c r="U10" i="7"/>
  <c r="V10" i="7"/>
  <c r="T11" i="7"/>
  <c r="U11" i="7"/>
  <c r="V11" i="7"/>
  <c r="T12" i="7"/>
  <c r="U12" i="7"/>
  <c r="V12" i="7"/>
  <c r="T13" i="7"/>
  <c r="U13" i="7"/>
  <c r="V13" i="7"/>
  <c r="T14" i="7"/>
  <c r="U14" i="7"/>
  <c r="V14" i="7"/>
  <c r="T15" i="7"/>
  <c r="U15" i="7"/>
  <c r="V15" i="7"/>
  <c r="T16" i="7"/>
  <c r="U16" i="7"/>
  <c r="V16" i="7"/>
  <c r="T17" i="7"/>
  <c r="U17" i="7"/>
  <c r="V17" i="7"/>
  <c r="T19" i="7"/>
  <c r="U19" i="7"/>
  <c r="V19" i="7"/>
  <c r="T20" i="7"/>
  <c r="U20" i="7"/>
  <c r="V20" i="7"/>
  <c r="T21" i="7"/>
  <c r="U21" i="7"/>
  <c r="V21" i="7"/>
  <c r="T22" i="7"/>
  <c r="U22" i="7"/>
  <c r="V22" i="7"/>
  <c r="T23" i="7"/>
  <c r="U23" i="7"/>
  <c r="V23" i="7"/>
  <c r="T24" i="7"/>
  <c r="U24" i="7"/>
  <c r="V24" i="7"/>
  <c r="T28" i="7"/>
  <c r="U28" i="7"/>
  <c r="V28" i="7"/>
  <c r="T29" i="7"/>
  <c r="U29" i="7"/>
  <c r="V29" i="7"/>
  <c r="T30" i="7"/>
  <c r="U30" i="7"/>
  <c r="V30" i="7"/>
  <c r="T31" i="7"/>
  <c r="U31" i="7"/>
  <c r="V31" i="7"/>
  <c r="T32" i="7"/>
  <c r="U32" i="7"/>
  <c r="V32" i="7"/>
  <c r="T33" i="7"/>
  <c r="U33" i="7"/>
  <c r="V33" i="7"/>
  <c r="T34" i="7"/>
  <c r="U34" i="7"/>
  <c r="V34" i="7"/>
  <c r="T35" i="7"/>
  <c r="U35" i="7"/>
  <c r="V35" i="7"/>
  <c r="T36" i="7"/>
  <c r="U36" i="7"/>
  <c r="V36" i="7"/>
  <c r="T37" i="7"/>
  <c r="U37" i="7"/>
  <c r="V37" i="7"/>
  <c r="T38" i="7"/>
  <c r="U38" i="7"/>
  <c r="V38" i="7"/>
  <c r="T39" i="7"/>
  <c r="U39" i="7"/>
  <c r="V39" i="7"/>
  <c r="T40" i="7"/>
  <c r="U40" i="7"/>
  <c r="V40" i="7"/>
  <c r="T41" i="7"/>
  <c r="U41" i="7"/>
  <c r="V41" i="7"/>
  <c r="T42" i="7"/>
  <c r="U42" i="7"/>
  <c r="V42" i="7"/>
  <c r="T43" i="7"/>
  <c r="U43" i="7"/>
  <c r="V43" i="7"/>
  <c r="T44" i="7"/>
  <c r="U44" i="7"/>
  <c r="V44" i="7"/>
  <c r="T45" i="7"/>
  <c r="U45" i="7"/>
  <c r="V45" i="7"/>
  <c r="T46" i="7"/>
  <c r="U46" i="7"/>
  <c r="V46" i="7"/>
  <c r="T47" i="7"/>
  <c r="U47" i="7"/>
  <c r="V47" i="7"/>
  <c r="T48" i="7"/>
  <c r="U48" i="7"/>
  <c r="V48" i="7"/>
  <c r="T49" i="7"/>
  <c r="U49" i="7"/>
  <c r="V49" i="7"/>
  <c r="T50" i="7"/>
  <c r="U50" i="7"/>
  <c r="V50" i="7"/>
  <c r="T51" i="7"/>
  <c r="U51" i="7"/>
  <c r="V51" i="7"/>
  <c r="T52" i="7"/>
  <c r="U52" i="7"/>
  <c r="V52" i="7"/>
  <c r="T53" i="7"/>
  <c r="U53" i="7"/>
  <c r="V53" i="7"/>
  <c r="T54" i="7"/>
  <c r="U54" i="7"/>
  <c r="V54" i="7"/>
  <c r="T55" i="7"/>
  <c r="U55" i="7"/>
  <c r="V55" i="7"/>
  <c r="T56" i="7"/>
  <c r="U56" i="7"/>
  <c r="V56" i="7"/>
  <c r="T57" i="7"/>
  <c r="U57" i="7"/>
  <c r="V57" i="7"/>
  <c r="T58" i="7"/>
  <c r="U58" i="7"/>
  <c r="V58" i="7"/>
  <c r="T59" i="7"/>
  <c r="U59" i="7"/>
  <c r="V59" i="7"/>
  <c r="T60" i="7"/>
  <c r="U60" i="7"/>
  <c r="V60" i="7"/>
  <c r="T61" i="7"/>
  <c r="U61" i="7"/>
  <c r="V61" i="7"/>
  <c r="T62" i="7"/>
  <c r="U62" i="7"/>
  <c r="V62" i="7"/>
  <c r="T63" i="7"/>
  <c r="U63" i="7"/>
  <c r="V63" i="7"/>
  <c r="T64" i="7"/>
  <c r="U64" i="7"/>
  <c r="V64" i="7"/>
  <c r="T65" i="7"/>
  <c r="U65" i="7"/>
  <c r="V65" i="7"/>
  <c r="T66" i="7"/>
  <c r="U66" i="7"/>
  <c r="V66" i="7"/>
  <c r="T67" i="7"/>
  <c r="U67" i="7"/>
  <c r="V67" i="7"/>
  <c r="T68" i="7"/>
  <c r="U68" i="7"/>
  <c r="V68" i="7"/>
  <c r="T69" i="7"/>
  <c r="U69" i="7"/>
  <c r="V69" i="7"/>
  <c r="T70" i="7"/>
  <c r="U70" i="7"/>
  <c r="V70" i="7"/>
  <c r="T71" i="7"/>
  <c r="U71" i="7"/>
  <c r="V71" i="7"/>
  <c r="T72" i="7"/>
  <c r="U72" i="7"/>
  <c r="V72" i="7"/>
  <c r="T73" i="7"/>
  <c r="U73" i="7"/>
  <c r="V73" i="7"/>
  <c r="T74" i="7"/>
  <c r="U74" i="7"/>
  <c r="V74" i="7"/>
  <c r="T75" i="7"/>
  <c r="U75" i="7"/>
  <c r="V75" i="7"/>
  <c r="T76" i="7"/>
  <c r="U76" i="7"/>
  <c r="V76" i="7"/>
  <c r="T77" i="7"/>
  <c r="U77" i="7"/>
  <c r="V77" i="7"/>
  <c r="T78" i="7"/>
  <c r="U78" i="7"/>
  <c r="V78" i="7"/>
  <c r="T79" i="7"/>
  <c r="U79" i="7"/>
  <c r="V79" i="7"/>
  <c r="T80" i="7"/>
  <c r="U80" i="7"/>
  <c r="V80" i="7"/>
  <c r="T81" i="7"/>
  <c r="U81" i="7"/>
  <c r="V81" i="7"/>
  <c r="T82" i="7"/>
  <c r="U82" i="7"/>
  <c r="V82" i="7"/>
  <c r="T83" i="7"/>
  <c r="U83" i="7"/>
  <c r="V83" i="7"/>
  <c r="T84" i="7"/>
  <c r="U84" i="7"/>
  <c r="V84" i="7"/>
  <c r="T85" i="7"/>
  <c r="U85" i="7"/>
  <c r="V85" i="7"/>
  <c r="T86" i="7"/>
  <c r="U86" i="7"/>
  <c r="V86" i="7"/>
  <c r="T87" i="7"/>
  <c r="U87" i="7"/>
  <c r="V87" i="7"/>
  <c r="T88" i="7"/>
  <c r="U88" i="7"/>
  <c r="V88" i="7"/>
  <c r="T89" i="7"/>
  <c r="U89" i="7"/>
  <c r="V89" i="7"/>
  <c r="T90" i="7"/>
  <c r="U90" i="7"/>
  <c r="V90" i="7"/>
  <c r="T91" i="7"/>
  <c r="U91" i="7"/>
  <c r="V91" i="7"/>
  <c r="T92" i="7"/>
  <c r="U92" i="7"/>
  <c r="V92" i="7"/>
  <c r="T93" i="7"/>
  <c r="U93" i="7"/>
  <c r="V93" i="7"/>
  <c r="T94" i="7"/>
  <c r="U94" i="7"/>
  <c r="V94" i="7"/>
  <c r="T95" i="7"/>
  <c r="U95" i="7"/>
  <c r="V95" i="7"/>
  <c r="T96" i="7"/>
  <c r="U96" i="7"/>
  <c r="V96" i="7"/>
  <c r="T97" i="7"/>
  <c r="U97" i="7"/>
  <c r="V97" i="7"/>
  <c r="T98" i="7"/>
  <c r="U98" i="7"/>
  <c r="V98" i="7"/>
  <c r="T99" i="7"/>
  <c r="U99" i="7"/>
  <c r="V99" i="7"/>
  <c r="T100" i="7"/>
  <c r="U100" i="7"/>
  <c r="V100" i="7"/>
  <c r="T101" i="7"/>
  <c r="U101" i="7"/>
  <c r="V101" i="7"/>
  <c r="T102" i="7"/>
  <c r="T103" i="7"/>
  <c r="T104" i="7"/>
  <c r="T105" i="7"/>
  <c r="T106" i="7"/>
  <c r="T107" i="7"/>
  <c r="T108" i="7"/>
  <c r="T109" i="7"/>
  <c r="T110" i="7"/>
  <c r="T111" i="7"/>
  <c r="T112" i="7"/>
  <c r="T113" i="7"/>
  <c r="T114" i="7"/>
  <c r="T115" i="7"/>
  <c r="T116" i="7"/>
  <c r="T117" i="7"/>
  <c r="T118" i="7"/>
  <c r="T119" i="7"/>
  <c r="T120" i="7"/>
  <c r="T121" i="7"/>
  <c r="T122" i="7"/>
  <c r="T123" i="7"/>
  <c r="T124" i="7"/>
  <c r="T125" i="7"/>
  <c r="T126" i="7"/>
  <c r="T127" i="7"/>
  <c r="T128" i="7"/>
  <c r="T129" i="7"/>
  <c r="T130" i="7"/>
  <c r="T131" i="7"/>
  <c r="T132" i="7"/>
  <c r="T133" i="7"/>
  <c r="T134" i="7"/>
  <c r="T135" i="7"/>
  <c r="T136" i="7"/>
  <c r="U136" i="7"/>
  <c r="V136" i="7"/>
  <c r="T137" i="7"/>
  <c r="T138" i="7"/>
  <c r="T139" i="7"/>
  <c r="T140" i="7"/>
  <c r="T141" i="7"/>
  <c r="T142" i="7"/>
  <c r="T143" i="7"/>
  <c r="T144" i="7"/>
  <c r="T145" i="7"/>
  <c r="T146" i="7"/>
  <c r="T147" i="7"/>
  <c r="T148" i="7"/>
  <c r="T149" i="7"/>
  <c r="T150" i="7"/>
  <c r="T151" i="7"/>
  <c r="T152" i="7"/>
  <c r="T153" i="7"/>
  <c r="T154" i="7"/>
  <c r="T155" i="7"/>
  <c r="T156" i="7"/>
  <c r="T157" i="7"/>
  <c r="U157" i="7"/>
  <c r="V157" i="7"/>
  <c r="T158" i="7"/>
  <c r="T159" i="7"/>
  <c r="T160" i="7"/>
  <c r="T161" i="7"/>
  <c r="T162" i="7"/>
  <c r="T163" i="7"/>
  <c r="T164" i="7"/>
  <c r="T165" i="7"/>
  <c r="T166" i="7"/>
  <c r="T167" i="7"/>
  <c r="T168" i="7"/>
  <c r="T169" i="7"/>
  <c r="T170" i="7"/>
  <c r="T171" i="7"/>
  <c r="T172" i="7"/>
  <c r="T173" i="7"/>
  <c r="U173" i="7"/>
  <c r="V173" i="7"/>
  <c r="T174" i="7"/>
  <c r="T175" i="7"/>
  <c r="T176" i="7"/>
  <c r="T177" i="7"/>
  <c r="T178" i="7"/>
  <c r="T179" i="7"/>
  <c r="T180" i="7"/>
  <c r="T181" i="7"/>
  <c r="T182" i="7"/>
  <c r="T183" i="7"/>
  <c r="T184" i="7"/>
  <c r="T185" i="7"/>
  <c r="T186" i="7"/>
  <c r="T187" i="7"/>
  <c r="T188" i="7"/>
  <c r="T189" i="7"/>
  <c r="U189" i="7"/>
  <c r="V189" i="7"/>
  <c r="T190" i="7"/>
  <c r="T191" i="7"/>
  <c r="T192" i="7"/>
  <c r="T193" i="7"/>
  <c r="T194" i="7"/>
  <c r="T195" i="7"/>
  <c r="T196" i="7"/>
  <c r="T197" i="7"/>
  <c r="T198" i="7"/>
  <c r="T199" i="7"/>
  <c r="T200" i="7"/>
  <c r="T201" i="7"/>
  <c r="T202" i="7"/>
  <c r="T203" i="7"/>
  <c r="T204" i="7"/>
  <c r="T205" i="7"/>
  <c r="U205" i="7"/>
  <c r="V205" i="7"/>
  <c r="T206" i="7"/>
  <c r="T207" i="7"/>
  <c r="T208" i="7"/>
  <c r="T209" i="7"/>
  <c r="T210" i="7"/>
  <c r="T211" i="7"/>
  <c r="T212" i="7"/>
  <c r="T213" i="7"/>
  <c r="T214" i="7"/>
  <c r="T215" i="7"/>
  <c r="T216" i="7"/>
  <c r="T217" i="7"/>
  <c r="T218" i="7"/>
  <c r="T219" i="7"/>
  <c r="T220" i="7"/>
  <c r="T221" i="7"/>
  <c r="U221" i="7"/>
  <c r="V221" i="7"/>
  <c r="T222" i="7"/>
  <c r="T223" i="7"/>
  <c r="T224" i="7"/>
  <c r="T225" i="7"/>
  <c r="T226" i="7"/>
  <c r="T227" i="7"/>
  <c r="T228" i="7"/>
  <c r="T229" i="7"/>
  <c r="T230" i="7"/>
  <c r="T231" i="7"/>
  <c r="T232" i="7"/>
  <c r="T233" i="7"/>
  <c r="T234" i="7"/>
  <c r="T235" i="7"/>
  <c r="T236" i="7"/>
  <c r="T237" i="7"/>
  <c r="U237" i="7"/>
  <c r="V237" i="7"/>
  <c r="T238" i="7"/>
  <c r="T239" i="7"/>
  <c r="T240" i="7"/>
  <c r="T241" i="7"/>
  <c r="T242" i="7"/>
  <c r="T243" i="7"/>
  <c r="T244" i="7"/>
  <c r="T245" i="7"/>
  <c r="T246" i="7"/>
  <c r="T247" i="7"/>
  <c r="T248" i="7"/>
  <c r="T249" i="7"/>
  <c r="T250" i="7"/>
  <c r="T251" i="7"/>
  <c r="T252" i="7"/>
  <c r="T253" i="7"/>
  <c r="U253" i="7"/>
  <c r="V253" i="7"/>
  <c r="T254" i="7"/>
  <c r="T255" i="7"/>
  <c r="T256" i="7"/>
  <c r="T257" i="7"/>
  <c r="T258" i="7"/>
  <c r="T259" i="7"/>
  <c r="T260" i="7"/>
  <c r="T261" i="7"/>
  <c r="T262" i="7"/>
  <c r="T263" i="7"/>
  <c r="T264" i="7"/>
  <c r="T265" i="7"/>
  <c r="T266" i="7"/>
  <c r="T267" i="7"/>
  <c r="T268" i="7"/>
  <c r="T269" i="7"/>
  <c r="U269" i="7"/>
  <c r="V269" i="7"/>
  <c r="T270" i="7"/>
  <c r="T271" i="7"/>
  <c r="T272" i="7"/>
  <c r="T273" i="7"/>
  <c r="T274" i="7"/>
  <c r="T275" i="7"/>
  <c r="T276" i="7"/>
  <c r="T277" i="7"/>
  <c r="T278" i="7"/>
  <c r="T279" i="7"/>
  <c r="T280" i="7"/>
  <c r="T281" i="7"/>
  <c r="T282" i="7"/>
  <c r="T283" i="7"/>
  <c r="T284" i="7"/>
  <c r="T285" i="7"/>
  <c r="U285" i="7"/>
  <c r="V285" i="7"/>
  <c r="T286" i="7"/>
  <c r="T287" i="7"/>
  <c r="T288" i="7"/>
  <c r="T289" i="7"/>
  <c r="T290" i="7"/>
  <c r="T291" i="7"/>
  <c r="T292" i="7"/>
  <c r="T293" i="7"/>
  <c r="T294" i="7"/>
  <c r="U294" i="7"/>
  <c r="V294" i="7"/>
  <c r="T295" i="7"/>
  <c r="T296" i="7"/>
  <c r="T297" i="7"/>
  <c r="T298" i="7"/>
  <c r="T299" i="7"/>
  <c r="T300" i="7"/>
  <c r="T301" i="7"/>
  <c r="T302" i="7"/>
  <c r="T303" i="7"/>
  <c r="U303" i="7"/>
  <c r="V303" i="7"/>
  <c r="T304" i="7"/>
  <c r="T305" i="7"/>
  <c r="T306" i="7"/>
  <c r="T307" i="7"/>
  <c r="T308" i="7"/>
  <c r="T309" i="7"/>
  <c r="T310" i="7"/>
  <c r="T311" i="7"/>
  <c r="T312" i="7"/>
  <c r="T313" i="7"/>
  <c r="T314" i="7"/>
  <c r="T315" i="7"/>
  <c r="T316" i="7"/>
  <c r="T317" i="7"/>
  <c r="T318" i="7"/>
  <c r="T319" i="7"/>
  <c r="U319" i="7"/>
  <c r="V319" i="7"/>
  <c r="T320" i="7"/>
  <c r="T321" i="7"/>
  <c r="T322" i="7"/>
  <c r="T323" i="7"/>
  <c r="T324" i="7"/>
  <c r="T325" i="7"/>
  <c r="T326" i="7"/>
  <c r="T327" i="7"/>
  <c r="T328" i="7"/>
  <c r="T329" i="7"/>
  <c r="T330" i="7"/>
  <c r="T331" i="7"/>
  <c r="T332" i="7"/>
  <c r="T333" i="7"/>
  <c r="T334" i="7"/>
  <c r="T335" i="7"/>
  <c r="U335" i="7"/>
  <c r="V335" i="7"/>
  <c r="T336" i="7"/>
  <c r="T337" i="7"/>
  <c r="T338" i="7"/>
  <c r="T339" i="7"/>
  <c r="T340" i="7"/>
  <c r="T341" i="7"/>
  <c r="T342" i="7"/>
  <c r="T343" i="7"/>
  <c r="T344" i="7"/>
  <c r="T345" i="7"/>
  <c r="T346" i="7"/>
  <c r="T347" i="7"/>
  <c r="T348" i="7"/>
  <c r="T349" i="7"/>
  <c r="T350" i="7"/>
  <c r="T351" i="7"/>
  <c r="U351" i="7"/>
  <c r="V351" i="7"/>
  <c r="T352" i="7"/>
  <c r="T353" i="7"/>
  <c r="T354" i="7"/>
  <c r="T355" i="7"/>
  <c r="T356" i="7"/>
  <c r="T357" i="7"/>
  <c r="T358" i="7"/>
  <c r="T359" i="7"/>
  <c r="T360" i="7"/>
  <c r="T361" i="7"/>
  <c r="T362" i="7"/>
  <c r="T363" i="7"/>
  <c r="T364" i="7"/>
  <c r="T365" i="7"/>
  <c r="T366" i="7"/>
  <c r="T367" i="7"/>
  <c r="U367" i="7"/>
  <c r="V367" i="7"/>
  <c r="T368" i="7"/>
  <c r="T369" i="7"/>
  <c r="T370" i="7"/>
  <c r="T371" i="7"/>
  <c r="T372" i="7"/>
  <c r="T373" i="7"/>
  <c r="T374" i="7"/>
  <c r="T375" i="7"/>
  <c r="T376" i="7"/>
  <c r="T377" i="7"/>
  <c r="T378" i="7"/>
  <c r="T379" i="7"/>
  <c r="T380" i="7"/>
  <c r="T381" i="7"/>
  <c r="T382" i="7"/>
  <c r="T383" i="7"/>
  <c r="U383" i="7"/>
  <c r="V383" i="7"/>
  <c r="T384" i="7"/>
  <c r="T385" i="7"/>
  <c r="T386" i="7"/>
  <c r="T387" i="7"/>
  <c r="T388" i="7"/>
  <c r="T389" i="7"/>
  <c r="T390" i="7"/>
  <c r="T391" i="7"/>
  <c r="T392" i="7"/>
  <c r="T393" i="7"/>
  <c r="T394" i="7"/>
  <c r="T395" i="7"/>
  <c r="T396" i="7"/>
  <c r="T397" i="7"/>
  <c r="T398" i="7"/>
  <c r="T399" i="7"/>
  <c r="U399" i="7"/>
  <c r="V399" i="7"/>
  <c r="T400" i="7"/>
  <c r="T401" i="7"/>
  <c r="T402" i="7"/>
  <c r="T403" i="7"/>
  <c r="T404" i="7"/>
  <c r="T405" i="7"/>
  <c r="T406" i="7"/>
  <c r="T407" i="7"/>
  <c r="T408" i="7"/>
  <c r="T409" i="7"/>
  <c r="T410" i="7"/>
  <c r="T411" i="7"/>
  <c r="T412" i="7"/>
  <c r="T413" i="7"/>
  <c r="T414" i="7"/>
  <c r="T415" i="7"/>
  <c r="U415" i="7"/>
  <c r="V415" i="7"/>
  <c r="T416" i="7"/>
  <c r="T417" i="7"/>
  <c r="T418" i="7"/>
  <c r="T419" i="7"/>
  <c r="T420" i="7"/>
  <c r="T421" i="7"/>
  <c r="T422" i="7"/>
  <c r="T423" i="7"/>
  <c r="T424" i="7"/>
  <c r="T425" i="7"/>
  <c r="T426" i="7"/>
  <c r="T427" i="7"/>
  <c r="T428" i="7"/>
  <c r="T429" i="7"/>
  <c r="T430" i="7"/>
  <c r="T431" i="7"/>
  <c r="U431" i="7"/>
  <c r="V431" i="7"/>
  <c r="T432" i="7"/>
  <c r="T433" i="7"/>
  <c r="T434" i="7"/>
  <c r="T435" i="7"/>
  <c r="T436" i="7"/>
  <c r="T437" i="7"/>
  <c r="T438" i="7"/>
  <c r="T439" i="7"/>
  <c r="T440" i="7"/>
  <c r="T441" i="7"/>
  <c r="T442" i="7"/>
  <c r="T443" i="7"/>
  <c r="T444" i="7"/>
  <c r="T445" i="7"/>
  <c r="T446" i="7"/>
  <c r="T447" i="7"/>
  <c r="U447" i="7"/>
  <c r="V447" i="7"/>
  <c r="T448" i="7"/>
  <c r="T449" i="7"/>
  <c r="T450" i="7"/>
  <c r="T451" i="7"/>
  <c r="T452" i="7"/>
  <c r="T453" i="7"/>
  <c r="T454" i="7"/>
  <c r="T455" i="7"/>
  <c r="T456" i="7"/>
  <c r="T457" i="7"/>
  <c r="T458" i="7"/>
  <c r="T459" i="7"/>
  <c r="T460" i="7"/>
  <c r="T461" i="7"/>
  <c r="T462" i="7"/>
  <c r="T463" i="7"/>
  <c r="U463" i="7"/>
  <c r="V463" i="7"/>
  <c r="T464" i="7"/>
  <c r="T465" i="7"/>
  <c r="T466" i="7"/>
  <c r="T467" i="7"/>
  <c r="T468" i="7"/>
  <c r="T469" i="7"/>
  <c r="T470" i="7"/>
  <c r="T471" i="7"/>
  <c r="T472" i="7"/>
  <c r="T473" i="7"/>
  <c r="T474" i="7"/>
  <c r="T475" i="7"/>
  <c r="T476" i="7"/>
  <c r="T477" i="7"/>
  <c r="T478" i="7"/>
  <c r="T479" i="7"/>
  <c r="U479" i="7"/>
  <c r="V479" i="7"/>
  <c r="T480" i="7"/>
  <c r="T481" i="7"/>
  <c r="T482" i="7"/>
  <c r="T483" i="7"/>
  <c r="T484" i="7"/>
  <c r="T485" i="7"/>
  <c r="T486" i="7"/>
  <c r="T487" i="7"/>
  <c r="T488" i="7"/>
  <c r="T489" i="7"/>
  <c r="T490" i="7"/>
  <c r="T491" i="7"/>
  <c r="T492" i="7"/>
  <c r="T493" i="7"/>
  <c r="T494" i="7"/>
  <c r="T495" i="7"/>
  <c r="U495" i="7"/>
  <c r="V495" i="7"/>
  <c r="T496" i="7"/>
  <c r="T497" i="7"/>
  <c r="T498" i="7"/>
  <c r="T499" i="7"/>
  <c r="T500" i="7"/>
  <c r="T501" i="7"/>
  <c r="T502" i="7"/>
  <c r="T503" i="7"/>
  <c r="T504" i="7"/>
  <c r="T505" i="7"/>
  <c r="T506" i="7"/>
  <c r="T507" i="7"/>
  <c r="T508" i="7"/>
  <c r="T509" i="7"/>
  <c r="T510" i="7"/>
  <c r="T511" i="7"/>
  <c r="U511" i="7"/>
  <c r="V511" i="7"/>
  <c r="T512" i="7"/>
  <c r="T513" i="7"/>
  <c r="T514" i="7"/>
  <c r="T515" i="7"/>
  <c r="T516" i="7"/>
  <c r="T517" i="7"/>
  <c r="T518" i="7"/>
  <c r="T519" i="7"/>
  <c r="T520" i="7"/>
  <c r="T521" i="7"/>
  <c r="T522" i="7"/>
  <c r="T523" i="7"/>
  <c r="T524" i="7"/>
  <c r="T525" i="7"/>
  <c r="T526" i="7"/>
  <c r="T527" i="7"/>
  <c r="U527" i="7"/>
  <c r="V527" i="7"/>
  <c r="T528" i="7"/>
  <c r="T529" i="7"/>
  <c r="T530" i="7"/>
  <c r="T531" i="7"/>
  <c r="T532" i="7"/>
  <c r="T533" i="7"/>
  <c r="T534" i="7"/>
  <c r="T535" i="7"/>
  <c r="T537" i="7"/>
  <c r="T538" i="7"/>
  <c r="T539" i="7"/>
  <c r="T540" i="7"/>
  <c r="T541" i="7"/>
  <c r="T542" i="7"/>
  <c r="T543" i="7"/>
  <c r="U543" i="7"/>
  <c r="V543" i="7"/>
  <c r="T544" i="7"/>
  <c r="T545" i="7"/>
  <c r="T546" i="7"/>
  <c r="T547" i="7"/>
  <c r="T548" i="7"/>
  <c r="T549" i="7"/>
  <c r="T550" i="7"/>
  <c r="T551" i="7"/>
  <c r="T552" i="7"/>
  <c r="T553" i="7"/>
  <c r="T554" i="7"/>
  <c r="T555" i="7"/>
  <c r="T556" i="7"/>
  <c r="T557" i="7"/>
  <c r="T558" i="7"/>
  <c r="T559" i="7"/>
  <c r="U559" i="7"/>
  <c r="V559" i="7"/>
  <c r="T560" i="7"/>
  <c r="T561" i="7"/>
  <c r="T562" i="7"/>
  <c r="T563" i="7"/>
  <c r="T564" i="7"/>
  <c r="T565" i="7"/>
  <c r="T566" i="7"/>
  <c r="T567" i="7"/>
  <c r="T568" i="7"/>
  <c r="T569" i="7"/>
  <c r="T570" i="7"/>
  <c r="T571" i="7"/>
  <c r="T572" i="7"/>
  <c r="T573" i="7"/>
  <c r="T574" i="7"/>
  <c r="T575" i="7"/>
  <c r="T576" i="7"/>
  <c r="T577" i="7"/>
  <c r="T578" i="7"/>
  <c r="T579" i="7"/>
  <c r="T580" i="7"/>
  <c r="T581" i="7"/>
  <c r="T582" i="7"/>
  <c r="T583" i="7"/>
  <c r="T584" i="7"/>
  <c r="T585" i="7"/>
  <c r="T586" i="7"/>
  <c r="T587" i="7"/>
  <c r="T588" i="7"/>
  <c r="T589" i="7"/>
  <c r="T590" i="7"/>
  <c r="T591" i="7"/>
  <c r="T592" i="7"/>
  <c r="T593" i="7"/>
  <c r="T594" i="7"/>
  <c r="T595" i="7"/>
  <c r="T596" i="7"/>
  <c r="T597" i="7"/>
  <c r="T598" i="7"/>
  <c r="T599" i="7"/>
  <c r="T600" i="7"/>
  <c r="T601" i="7"/>
  <c r="T602" i="7"/>
  <c r="T603" i="7"/>
  <c r="T604" i="7"/>
  <c r="T605" i="7"/>
  <c r="U605" i="7"/>
  <c r="V605" i="7"/>
  <c r="T606" i="7"/>
  <c r="T607" i="7"/>
  <c r="U607" i="7"/>
  <c r="V607" i="7"/>
  <c r="T608" i="7"/>
  <c r="T609" i="7"/>
  <c r="U609" i="7"/>
  <c r="V609" i="7"/>
  <c r="T610" i="7"/>
  <c r="T611" i="7"/>
  <c r="T612" i="7"/>
  <c r="T613" i="7"/>
  <c r="T614" i="7"/>
  <c r="T615" i="7"/>
  <c r="T616" i="7"/>
  <c r="T617" i="7"/>
  <c r="T618" i="7"/>
  <c r="T619" i="7"/>
  <c r="T620" i="7"/>
  <c r="T621" i="7"/>
  <c r="T622" i="7"/>
  <c r="T623" i="7"/>
  <c r="T624" i="7"/>
  <c r="T625" i="7"/>
  <c r="T626" i="7"/>
  <c r="T627" i="7"/>
  <c r="T628" i="7"/>
  <c r="T629" i="7"/>
  <c r="T630" i="7"/>
  <c r="T631" i="7"/>
  <c r="T632" i="7"/>
  <c r="T633" i="7"/>
  <c r="T634" i="7"/>
  <c r="T635" i="7"/>
  <c r="T636" i="7"/>
  <c r="T637" i="7"/>
  <c r="T638" i="7"/>
  <c r="U638" i="7"/>
  <c r="V638" i="7"/>
  <c r="T639" i="7"/>
  <c r="T640" i="7"/>
  <c r="U640" i="7"/>
  <c r="V640" i="7"/>
  <c r="T641" i="7"/>
  <c r="T642" i="7"/>
  <c r="T643" i="7"/>
  <c r="T644" i="7"/>
  <c r="T645" i="7"/>
  <c r="T646" i="7"/>
  <c r="T647" i="7"/>
  <c r="T648" i="7"/>
  <c r="T649" i="7"/>
  <c r="T650" i="7"/>
  <c r="T651" i="7"/>
  <c r="T652" i="7"/>
  <c r="T653" i="7"/>
  <c r="T654" i="7"/>
  <c r="T655" i="7"/>
  <c r="T656" i="7"/>
  <c r="T657" i="7"/>
  <c r="T658" i="7"/>
  <c r="T659" i="7"/>
  <c r="T660" i="7"/>
  <c r="T661" i="7"/>
  <c r="T662" i="7"/>
  <c r="T663" i="7"/>
  <c r="T664" i="7"/>
  <c r="T665" i="7"/>
  <c r="T666" i="7"/>
  <c r="T667" i="7"/>
  <c r="T668" i="7"/>
  <c r="T669" i="7"/>
  <c r="U669" i="7"/>
  <c r="V669" i="7"/>
  <c r="T670" i="7"/>
  <c r="T671" i="7"/>
  <c r="U671" i="7"/>
  <c r="V671" i="7"/>
  <c r="T672" i="7"/>
  <c r="T673" i="7"/>
  <c r="U673" i="7"/>
  <c r="V673" i="7"/>
  <c r="T674" i="7"/>
  <c r="T675" i="7"/>
  <c r="T676" i="7"/>
  <c r="T677" i="7"/>
  <c r="T678" i="7"/>
  <c r="T679" i="7"/>
  <c r="T680" i="7"/>
  <c r="T681" i="7"/>
  <c r="T682" i="7"/>
  <c r="T683" i="7"/>
  <c r="T684" i="7"/>
  <c r="T685" i="7"/>
  <c r="T686" i="7"/>
  <c r="T687" i="7"/>
  <c r="T688" i="7"/>
  <c r="T689" i="7"/>
  <c r="T690" i="7"/>
  <c r="T691" i="7"/>
  <c r="T692" i="7"/>
  <c r="T693" i="7"/>
  <c r="T694" i="7"/>
  <c r="T695" i="7"/>
  <c r="T696" i="7"/>
  <c r="T697" i="7"/>
  <c r="T698" i="7"/>
  <c r="T699" i="7"/>
  <c r="T700" i="7"/>
  <c r="T701" i="7"/>
  <c r="T702" i="7"/>
  <c r="U702" i="7"/>
  <c r="V702" i="7"/>
  <c r="T703" i="7"/>
  <c r="T704" i="7"/>
  <c r="U704" i="7"/>
  <c r="V704" i="7"/>
  <c r="T705" i="7"/>
  <c r="T706" i="7"/>
  <c r="T707" i="7"/>
  <c r="T708" i="7"/>
  <c r="T709" i="7"/>
  <c r="T710" i="7"/>
  <c r="T711" i="7"/>
  <c r="T712" i="7"/>
  <c r="T713" i="7"/>
  <c r="T714" i="7"/>
  <c r="T715" i="7"/>
  <c r="T716" i="7"/>
  <c r="T717" i="7"/>
  <c r="T718" i="7"/>
  <c r="T719" i="7"/>
  <c r="T720" i="7"/>
  <c r="T721" i="7"/>
  <c r="T722" i="7"/>
  <c r="T723" i="7"/>
  <c r="T724" i="7"/>
  <c r="T725" i="7"/>
  <c r="T726" i="7"/>
  <c r="T727" i="7"/>
  <c r="T728" i="7"/>
  <c r="T729" i="7"/>
  <c r="T730" i="7"/>
  <c r="T731" i="7"/>
  <c r="T732" i="7"/>
  <c r="T733" i="7"/>
  <c r="T734" i="7"/>
  <c r="T735" i="7"/>
  <c r="T736" i="7"/>
  <c r="T737" i="7"/>
  <c r="T738" i="7"/>
  <c r="T739" i="7"/>
  <c r="T740" i="7"/>
  <c r="T741" i="7"/>
  <c r="T742" i="7"/>
  <c r="T743" i="7"/>
  <c r="T744" i="7"/>
  <c r="T745" i="7"/>
  <c r="T746" i="7"/>
  <c r="T747" i="7"/>
  <c r="T748" i="7"/>
  <c r="T749" i="7"/>
  <c r="T750" i="7"/>
  <c r="T751" i="7"/>
  <c r="U751" i="7"/>
  <c r="V751" i="7"/>
  <c r="T752" i="7"/>
  <c r="T753" i="7"/>
  <c r="T754" i="7"/>
  <c r="T755" i="7"/>
  <c r="T756" i="7"/>
  <c r="T757" i="7"/>
  <c r="T758" i="7"/>
  <c r="T759" i="7"/>
  <c r="T760" i="7"/>
  <c r="T761" i="7"/>
  <c r="T762" i="7"/>
  <c r="T763" i="7"/>
  <c r="T764" i="7"/>
  <c r="T765" i="7"/>
  <c r="T766" i="7"/>
  <c r="T767" i="7"/>
  <c r="T768" i="7"/>
  <c r="T769" i="7"/>
  <c r="T770" i="7"/>
  <c r="T771" i="7"/>
  <c r="T772" i="7"/>
  <c r="T773" i="7"/>
  <c r="T774" i="7"/>
  <c r="U774" i="7"/>
  <c r="V774" i="7"/>
  <c r="T775" i="7"/>
  <c r="T776" i="7"/>
  <c r="T777" i="7"/>
  <c r="T778" i="7"/>
  <c r="T779" i="7"/>
  <c r="T780" i="7"/>
  <c r="T781" i="7"/>
  <c r="T782" i="7"/>
  <c r="T783" i="7"/>
  <c r="T784" i="7"/>
  <c r="T785" i="7"/>
  <c r="T786" i="7"/>
  <c r="T787" i="7"/>
  <c r="T788" i="7"/>
  <c r="T789" i="7"/>
  <c r="T790" i="7"/>
  <c r="T792" i="7"/>
  <c r="T793" i="7"/>
  <c r="T794" i="7"/>
  <c r="T795" i="7"/>
  <c r="T796" i="7"/>
  <c r="T797" i="7"/>
  <c r="T798" i="7"/>
  <c r="T799" i="7"/>
  <c r="U799" i="7"/>
  <c r="V799" i="7"/>
  <c r="T800" i="7"/>
  <c r="T801" i="7"/>
  <c r="T804" i="7"/>
  <c r="T805" i="7"/>
  <c r="T806" i="7"/>
  <c r="T807" i="7"/>
  <c r="T808" i="7"/>
  <c r="T809" i="7"/>
  <c r="T810" i="7"/>
  <c r="T812" i="7"/>
  <c r="T813" i="7"/>
  <c r="T814" i="7"/>
  <c r="T815" i="7"/>
  <c r="T816" i="7"/>
  <c r="T817" i="7"/>
  <c r="U817" i="7"/>
  <c r="V817" i="7"/>
  <c r="T818" i="7"/>
  <c r="T822" i="7"/>
  <c r="T824" i="7"/>
  <c r="T825" i="7"/>
  <c r="T826" i="7"/>
  <c r="T829" i="7"/>
  <c r="T830" i="7"/>
  <c r="T831" i="7"/>
  <c r="T832" i="7"/>
  <c r="T833" i="7"/>
  <c r="U833" i="7"/>
  <c r="V833" i="7"/>
  <c r="T834" i="7"/>
  <c r="T835" i="7"/>
  <c r="T836" i="7"/>
  <c r="T837" i="7"/>
  <c r="T838" i="7"/>
  <c r="T839" i="7"/>
  <c r="T840" i="7"/>
  <c r="T841" i="7"/>
  <c r="T842" i="7"/>
  <c r="T843" i="7"/>
  <c r="T844" i="7"/>
  <c r="T845" i="7"/>
  <c r="T846" i="7"/>
  <c r="T847" i="7"/>
  <c r="T848" i="7"/>
  <c r="T849" i="7"/>
  <c r="U849" i="7"/>
  <c r="V849" i="7"/>
  <c r="T850" i="7"/>
  <c r="T851" i="7"/>
  <c r="T852" i="7"/>
  <c r="T853" i="7"/>
  <c r="T854" i="7"/>
  <c r="T855" i="7"/>
  <c r="T856" i="7"/>
  <c r="T857" i="7"/>
  <c r="T858" i="7"/>
  <c r="T859" i="7"/>
  <c r="T860" i="7"/>
  <c r="T861" i="7"/>
  <c r="T862" i="7"/>
  <c r="T863" i="7"/>
  <c r="T864" i="7"/>
  <c r="T865" i="7"/>
  <c r="U865" i="7"/>
  <c r="V865" i="7"/>
  <c r="T866" i="7"/>
  <c r="T867" i="7"/>
  <c r="T868" i="7"/>
  <c r="T869" i="7"/>
  <c r="T870" i="7"/>
  <c r="T871" i="7"/>
  <c r="T872" i="7"/>
  <c r="T873" i="7"/>
  <c r="T874" i="7"/>
  <c r="T875" i="7"/>
  <c r="T876" i="7"/>
  <c r="T877" i="7"/>
  <c r="T878" i="7"/>
  <c r="T879" i="7"/>
  <c r="T880" i="7"/>
  <c r="T881" i="7"/>
  <c r="U881" i="7"/>
  <c r="V881" i="7"/>
  <c r="T882" i="7"/>
  <c r="T883" i="7"/>
  <c r="T884" i="7"/>
  <c r="T885" i="7"/>
  <c r="T886" i="7"/>
  <c r="T887" i="7"/>
  <c r="T888" i="7"/>
  <c r="T889" i="7"/>
  <c r="T890" i="7"/>
  <c r="T891" i="7"/>
  <c r="T892" i="7"/>
  <c r="T893" i="7"/>
  <c r="T894" i="7"/>
  <c r="T895" i="7"/>
  <c r="T896" i="7"/>
  <c r="T897" i="7"/>
  <c r="U897" i="7"/>
  <c r="V897" i="7"/>
  <c r="T898" i="7"/>
  <c r="T899" i="7"/>
  <c r="T900" i="7"/>
  <c r="T901" i="7"/>
  <c r="T902" i="7"/>
  <c r="T903" i="7"/>
  <c r="T904" i="7"/>
  <c r="T905" i="7"/>
  <c r="T906" i="7"/>
  <c r="T907" i="7"/>
  <c r="T908" i="7"/>
  <c r="T909" i="7"/>
  <c r="T910" i="7"/>
  <c r="T911" i="7"/>
  <c r="T912" i="7"/>
  <c r="T913" i="7"/>
  <c r="T914" i="7"/>
  <c r="T915" i="7"/>
  <c r="T916" i="7"/>
  <c r="T917" i="7"/>
  <c r="T918" i="7"/>
  <c r="T919" i="7"/>
  <c r="T920" i="7"/>
  <c r="T921" i="7"/>
  <c r="T922" i="7"/>
  <c r="T923" i="7"/>
  <c r="T924" i="7"/>
  <c r="T925" i="7"/>
  <c r="T926" i="7"/>
  <c r="T927" i="7"/>
  <c r="T928" i="7"/>
  <c r="T929" i="7"/>
  <c r="T930" i="7"/>
  <c r="T931" i="7"/>
  <c r="T932" i="7"/>
  <c r="T933" i="7"/>
  <c r="T934" i="7"/>
  <c r="T935" i="7"/>
  <c r="T936" i="7"/>
  <c r="T937" i="7"/>
  <c r="T938" i="7"/>
  <c r="T939" i="7"/>
  <c r="T940" i="7"/>
  <c r="T941" i="7"/>
  <c r="T942" i="7"/>
  <c r="T943" i="7"/>
  <c r="T944" i="7"/>
  <c r="T945" i="7"/>
  <c r="T946" i="7"/>
  <c r="T947" i="7"/>
  <c r="T948" i="7"/>
  <c r="T949" i="7"/>
  <c r="T950" i="7"/>
  <c r="T951" i="7"/>
  <c r="T952" i="7"/>
  <c r="T953" i="7"/>
  <c r="T954" i="7"/>
  <c r="T955" i="7"/>
  <c r="T956" i="7"/>
  <c r="T957" i="7"/>
  <c r="T958" i="7"/>
  <c r="T959" i="7"/>
  <c r="T960" i="7"/>
  <c r="T961" i="7"/>
  <c r="T962" i="7"/>
  <c r="T963" i="7"/>
  <c r="T964" i="7"/>
  <c r="T965" i="7"/>
  <c r="T966" i="7"/>
  <c r="T967" i="7"/>
  <c r="T968" i="7"/>
  <c r="T969" i="7"/>
  <c r="T970" i="7"/>
  <c r="T971" i="7"/>
  <c r="T972" i="7"/>
  <c r="T973" i="7"/>
  <c r="T974" i="7"/>
  <c r="T975" i="7"/>
  <c r="T976" i="7"/>
  <c r="T977" i="7"/>
  <c r="T978" i="7"/>
  <c r="T979" i="7"/>
  <c r="T980" i="7"/>
  <c r="U980" i="7"/>
  <c r="V980" i="7"/>
  <c r="T981" i="7"/>
  <c r="T982" i="7"/>
  <c r="T983" i="7"/>
  <c r="T984" i="7"/>
  <c r="T985" i="7"/>
  <c r="T990" i="7"/>
  <c r="T991" i="7"/>
  <c r="T992" i="7"/>
  <c r="T993" i="7"/>
  <c r="T994" i="7"/>
  <c r="T995" i="7"/>
  <c r="T996" i="7"/>
  <c r="T997" i="7"/>
  <c r="T998" i="7"/>
  <c r="T999" i="7"/>
  <c r="T1000" i="7"/>
  <c r="T1001" i="7"/>
  <c r="T1002" i="7"/>
  <c r="T1003" i="7"/>
  <c r="T1004" i="7"/>
  <c r="T1005" i="7"/>
  <c r="T1006" i="7"/>
  <c r="U1006" i="7"/>
  <c r="V1006" i="7"/>
  <c r="T1007" i="7"/>
  <c r="T1009" i="7"/>
  <c r="T1010" i="7"/>
  <c r="T1011" i="7"/>
  <c r="T1012" i="7"/>
  <c r="T1013" i="7"/>
  <c r="T1014" i="7"/>
  <c r="T1015" i="7"/>
  <c r="T1016" i="7"/>
  <c r="T1017" i="7"/>
  <c r="T1018" i="7"/>
  <c r="T1019" i="7"/>
  <c r="T1020" i="7"/>
  <c r="T1021" i="7"/>
  <c r="T1022" i="7"/>
  <c r="T1023" i="7"/>
  <c r="T1024" i="7"/>
  <c r="T1025" i="7"/>
  <c r="T1026" i="7"/>
  <c r="T1027" i="7"/>
  <c r="T1031" i="7"/>
  <c r="U1031" i="7"/>
  <c r="V1031" i="7"/>
  <c r="T1032" i="7"/>
  <c r="U1032" i="7"/>
  <c r="V1032" i="7"/>
  <c r="T1033" i="7"/>
  <c r="T1034" i="7"/>
  <c r="T1035" i="7"/>
  <c r="T1036" i="7"/>
  <c r="U1036" i="7"/>
  <c r="V1036" i="7"/>
  <c r="T1037" i="7"/>
  <c r="U1037" i="7"/>
  <c r="V1037" i="7"/>
  <c r="T1038" i="7"/>
  <c r="T1039" i="7"/>
  <c r="U1039" i="7"/>
  <c r="V1039" i="7"/>
  <c r="T1040" i="7"/>
  <c r="U1040" i="7"/>
  <c r="V1040" i="7"/>
  <c r="T1041" i="7"/>
  <c r="T1042" i="7"/>
  <c r="T1043" i="7"/>
  <c r="T1044" i="7"/>
  <c r="T1045" i="7"/>
  <c r="U1045" i="7"/>
  <c r="V1045" i="7"/>
  <c r="T1046" i="7"/>
  <c r="U1046" i="7"/>
  <c r="V1046" i="7"/>
  <c r="T1047" i="7"/>
  <c r="U1047" i="7"/>
  <c r="V1047" i="7"/>
  <c r="T1048" i="7"/>
  <c r="U1048" i="7"/>
  <c r="V1048" i="7"/>
  <c r="T1049" i="7"/>
  <c r="T1050" i="7"/>
  <c r="T1051" i="7"/>
  <c r="T1052" i="7"/>
  <c r="U1052" i="7"/>
  <c r="V1052" i="7"/>
  <c r="T1053" i="7"/>
  <c r="U1053" i="7"/>
  <c r="V1053" i="7"/>
  <c r="T1054" i="7"/>
  <c r="U1054" i="7"/>
  <c r="V1054" i="7"/>
  <c r="T3" i="7"/>
  <c r="U3" i="7"/>
  <c r="V3" i="7"/>
  <c r="I111" i="7"/>
  <c r="I105" i="7"/>
  <c r="I99" i="7"/>
  <c r="I92" i="7"/>
  <c r="I85" i="7"/>
  <c r="I78" i="7"/>
  <c r="I71" i="7"/>
  <c r="I64" i="7"/>
  <c r="I57" i="7"/>
  <c r="I50" i="7"/>
  <c r="I43" i="7"/>
  <c r="I36" i="7"/>
  <c r="I29" i="7"/>
  <c r="I1050" i="7"/>
  <c r="I1044" i="7"/>
  <c r="I1038" i="7"/>
  <c r="I1032" i="7"/>
  <c r="I1033" i="7"/>
  <c r="I982" i="7"/>
  <c r="I981" i="7"/>
  <c r="I980" i="7"/>
  <c r="I979" i="7"/>
  <c r="I978" i="7"/>
  <c r="I977" i="7"/>
  <c r="I976" i="7"/>
  <c r="I975" i="7"/>
  <c r="I974" i="7"/>
  <c r="I973" i="7"/>
  <c r="I972" i="7"/>
  <c r="I971" i="7"/>
  <c r="I970" i="7"/>
  <c r="I969" i="7"/>
  <c r="I744" i="7"/>
  <c r="I1025" i="7"/>
  <c r="I1024" i="7"/>
  <c r="I1023" i="7"/>
  <c r="I1022" i="7"/>
  <c r="I968" i="7"/>
  <c r="I967" i="7"/>
  <c r="I966" i="7"/>
  <c r="I965" i="7"/>
  <c r="I964" i="7"/>
  <c r="I963" i="7"/>
  <c r="I962" i="7"/>
  <c r="I961" i="7"/>
  <c r="I960" i="7"/>
  <c r="I959" i="7"/>
  <c r="I958" i="7"/>
  <c r="I957" i="7"/>
  <c r="I956" i="7"/>
  <c r="I955" i="7"/>
  <c r="I738" i="7"/>
  <c r="I737" i="7"/>
  <c r="I736" i="7"/>
  <c r="I735" i="7"/>
  <c r="I734" i="7"/>
  <c r="I733" i="7"/>
  <c r="I732" i="7"/>
  <c r="I731" i="7"/>
  <c r="I730" i="7"/>
  <c r="I729" i="7"/>
  <c r="I728" i="7"/>
  <c r="I727" i="7"/>
  <c r="I726" i="7"/>
  <c r="I725" i="7"/>
  <c r="I724" i="7"/>
  <c r="I723" i="7"/>
  <c r="I722" i="7"/>
  <c r="I721" i="7"/>
  <c r="I720" i="7"/>
  <c r="I719" i="7"/>
  <c r="I718" i="7"/>
  <c r="I717" i="7"/>
  <c r="I716" i="7"/>
  <c r="I715" i="7"/>
  <c r="I714" i="7"/>
  <c r="I713" i="7"/>
  <c r="I712" i="7"/>
  <c r="I711" i="7"/>
  <c r="I710" i="7"/>
  <c r="I709" i="7"/>
  <c r="I708" i="7"/>
  <c r="I707" i="7"/>
  <c r="I706" i="7"/>
  <c r="I705" i="7"/>
  <c r="I704" i="7"/>
  <c r="I703" i="7"/>
  <c r="I168" i="7"/>
  <c r="I167" i="7"/>
  <c r="I166" i="7"/>
  <c r="I165" i="7"/>
  <c r="I164" i="7"/>
  <c r="I163" i="7"/>
  <c r="I162" i="7"/>
  <c r="I161" i="7"/>
  <c r="I160" i="7"/>
  <c r="I159" i="7"/>
  <c r="I158" i="7"/>
  <c r="I157" i="7"/>
  <c r="I156" i="7"/>
  <c r="I1021" i="7"/>
  <c r="I1020" i="7"/>
  <c r="I1019" i="7"/>
  <c r="I1018" i="7"/>
  <c r="I954" i="7"/>
  <c r="I953" i="7"/>
  <c r="I952" i="7"/>
  <c r="I951" i="7"/>
  <c r="I950" i="7"/>
  <c r="I949" i="7"/>
  <c r="I948" i="7"/>
  <c r="I947" i="7"/>
  <c r="I946" i="7"/>
  <c r="I945" i="7"/>
  <c r="I944" i="7"/>
  <c r="I943" i="7"/>
  <c r="I942" i="7"/>
  <c r="I941" i="7"/>
  <c r="I702" i="7"/>
  <c r="I701" i="7"/>
  <c r="I700" i="7"/>
  <c r="I699" i="7"/>
  <c r="I698" i="7"/>
  <c r="I697" i="7"/>
  <c r="I696" i="7"/>
  <c r="I695" i="7"/>
  <c r="I694" i="7"/>
  <c r="I693" i="7"/>
  <c r="I692" i="7"/>
  <c r="I691" i="7"/>
  <c r="I690" i="7"/>
  <c r="I689" i="7"/>
  <c r="I688" i="7"/>
  <c r="I687" i="7"/>
  <c r="I686" i="7"/>
  <c r="I685" i="7"/>
  <c r="I684" i="7"/>
  <c r="I683" i="7"/>
  <c r="I682" i="7"/>
  <c r="I681" i="7"/>
  <c r="I680" i="7"/>
  <c r="I679" i="7"/>
  <c r="I678" i="7"/>
  <c r="I677" i="7"/>
  <c r="I676" i="7"/>
  <c r="I675" i="7"/>
  <c r="I674" i="7"/>
  <c r="I673" i="7"/>
  <c r="I672" i="7"/>
  <c r="I671" i="7"/>
  <c r="I670" i="7"/>
  <c r="I669" i="7"/>
  <c r="I668" i="7"/>
  <c r="I667" i="7"/>
  <c r="I155" i="7"/>
  <c r="I154" i="7"/>
  <c r="I153" i="7"/>
  <c r="I152" i="7"/>
  <c r="I151" i="7"/>
  <c r="I150" i="7"/>
  <c r="I149" i="7"/>
  <c r="I148" i="7"/>
  <c r="I147" i="7"/>
  <c r="I146" i="7"/>
  <c r="I145" i="7"/>
  <c r="I144" i="7"/>
  <c r="I143" i="7"/>
  <c r="I1017" i="7"/>
  <c r="I1016" i="7"/>
  <c r="I1015" i="7"/>
  <c r="I1014" i="7"/>
  <c r="I940" i="7"/>
  <c r="I939" i="7"/>
  <c r="I938" i="7"/>
  <c r="I937" i="7"/>
  <c r="I936" i="7"/>
  <c r="I935" i="7"/>
  <c r="I934" i="7"/>
  <c r="I933" i="7"/>
  <c r="I932" i="7"/>
  <c r="I931" i="7"/>
  <c r="I930" i="7"/>
  <c r="I929" i="7"/>
  <c r="I928" i="7"/>
  <c r="I927" i="7"/>
  <c r="I666" i="7"/>
  <c r="I665" i="7"/>
  <c r="I664" i="7"/>
  <c r="I663" i="7"/>
  <c r="I662" i="7"/>
  <c r="I661" i="7"/>
  <c r="I660" i="7"/>
  <c r="I659" i="7"/>
  <c r="I658" i="7"/>
  <c r="I657" i="7"/>
  <c r="I656" i="7"/>
  <c r="I655" i="7"/>
  <c r="I654" i="7"/>
  <c r="I653" i="7"/>
  <c r="I652" i="7"/>
  <c r="I651" i="7"/>
  <c r="I650" i="7"/>
  <c r="I649" i="7"/>
  <c r="I648" i="7"/>
  <c r="I647" i="7"/>
  <c r="I646" i="7"/>
  <c r="I645" i="7"/>
  <c r="I644" i="7"/>
  <c r="I643" i="7"/>
  <c r="I642" i="7"/>
  <c r="I641" i="7"/>
  <c r="I640" i="7"/>
  <c r="I639" i="7"/>
  <c r="I638" i="7"/>
  <c r="I637" i="7"/>
  <c r="I636" i="7"/>
  <c r="I635" i="7"/>
  <c r="I634" i="7"/>
  <c r="I633" i="7"/>
  <c r="I632" i="7"/>
  <c r="I631" i="7"/>
  <c r="I142" i="7"/>
  <c r="I141" i="7"/>
  <c r="I140" i="7"/>
  <c r="I139" i="7"/>
  <c r="I138" i="7"/>
  <c r="I137" i="7"/>
  <c r="I136" i="7"/>
  <c r="I135" i="7"/>
  <c r="I134" i="7"/>
  <c r="I133" i="7"/>
  <c r="I132" i="7"/>
  <c r="I131" i="7"/>
  <c r="I130" i="7"/>
  <c r="I1013" i="7"/>
  <c r="I1012" i="7"/>
  <c r="I1011" i="7"/>
  <c r="I1010" i="7"/>
  <c r="I926" i="7"/>
  <c r="I925" i="7"/>
  <c r="I924" i="7"/>
  <c r="I923" i="7"/>
  <c r="I922" i="7"/>
  <c r="I921" i="7"/>
  <c r="I920" i="7"/>
  <c r="I919" i="7"/>
  <c r="I918" i="7"/>
  <c r="I917" i="7"/>
  <c r="I916" i="7"/>
  <c r="I915" i="7"/>
  <c r="I914" i="7"/>
  <c r="I913" i="7"/>
  <c r="I630" i="7"/>
  <c r="I629" i="7"/>
  <c r="I628" i="7"/>
  <c r="I627" i="7"/>
  <c r="I626" i="7"/>
  <c r="I625" i="7"/>
  <c r="I624" i="7"/>
  <c r="I623" i="7"/>
  <c r="I622" i="7"/>
  <c r="I621" i="7"/>
  <c r="I620" i="7"/>
  <c r="I619" i="7"/>
  <c r="I618" i="7"/>
  <c r="I617" i="7"/>
  <c r="I616" i="7"/>
  <c r="I615" i="7"/>
  <c r="I614" i="7"/>
  <c r="I613" i="7"/>
  <c r="I612" i="7"/>
  <c r="I611" i="7"/>
  <c r="I610" i="7"/>
  <c r="I609" i="7"/>
  <c r="I608" i="7"/>
  <c r="I607" i="7"/>
  <c r="I606" i="7"/>
  <c r="I605" i="7"/>
  <c r="I604" i="7"/>
  <c r="I603" i="7"/>
  <c r="I602" i="7"/>
  <c r="I601" i="7"/>
  <c r="I600" i="7"/>
  <c r="I599" i="7"/>
  <c r="I598" i="7"/>
  <c r="I597" i="7"/>
  <c r="I596" i="7"/>
  <c r="I595" i="7"/>
  <c r="I129" i="7"/>
  <c r="I128" i="7"/>
  <c r="I127" i="7"/>
  <c r="I126" i="7"/>
  <c r="I125" i="7"/>
  <c r="I124" i="7"/>
  <c r="I123" i="7"/>
  <c r="I122" i="7"/>
  <c r="I121" i="7"/>
  <c r="I120" i="7"/>
  <c r="I119" i="7"/>
  <c r="I118" i="7"/>
  <c r="I117" i="7"/>
  <c r="F86" i="9"/>
  <c r="F295" i="5"/>
  <c r="F775" i="5"/>
  <c r="F137" i="5"/>
  <c r="F674" i="5"/>
  <c r="F610" i="5"/>
  <c r="F705" i="5"/>
  <c r="F641" i="5"/>
  <c r="F528" i="5"/>
  <c r="F512" i="5"/>
  <c r="F496" i="5"/>
  <c r="F480" i="5"/>
  <c r="F464" i="5"/>
  <c r="F448" i="5"/>
  <c r="F432" i="5"/>
  <c r="F416" i="5"/>
  <c r="F400" i="5"/>
  <c r="F384" i="5"/>
  <c r="F368" i="5"/>
  <c r="F352" i="5"/>
  <c r="F336" i="5"/>
  <c r="F320" i="5"/>
  <c r="F304" i="5"/>
  <c r="F752" i="5"/>
  <c r="F672" i="5"/>
  <c r="F608" i="5"/>
  <c r="F560" i="5"/>
  <c r="F544" i="5"/>
  <c r="F703" i="5"/>
  <c r="F639" i="5"/>
  <c r="F286" i="5"/>
  <c r="F270" i="5"/>
  <c r="F254" i="5"/>
  <c r="F238" i="5"/>
  <c r="F222" i="5"/>
  <c r="F190" i="5"/>
  <c r="F174" i="5"/>
  <c r="F158" i="5"/>
  <c r="F670" i="5"/>
  <c r="F606" i="5"/>
  <c r="F1046" i="5"/>
  <c r="F1038" i="5"/>
  <c r="J124" i="9"/>
  <c r="E58" i="9"/>
  <c r="F58" i="9"/>
  <c r="F206" i="5"/>
  <c r="E22" i="9"/>
  <c r="F22" i="9"/>
  <c r="E20" i="9"/>
  <c r="F20" i="9"/>
  <c r="J831" i="5"/>
  <c r="K831" i="5"/>
  <c r="J544" i="5"/>
  <c r="J1043" i="5"/>
  <c r="K1043" i="5"/>
  <c r="U1043" i="7"/>
  <c r="V1043" i="7"/>
  <c r="F1044" i="5"/>
  <c r="J1041" i="5"/>
  <c r="K1041" i="5"/>
  <c r="U1024" i="7"/>
  <c r="V1024" i="7"/>
  <c r="J1022" i="5"/>
  <c r="K1022" i="5"/>
  <c r="U1007" i="7"/>
  <c r="V1007" i="7"/>
  <c r="J1005" i="5"/>
  <c r="K1005" i="5"/>
  <c r="U991" i="7"/>
  <c r="V991" i="7"/>
  <c r="U971" i="7"/>
  <c r="V971" i="7"/>
  <c r="J969" i="5"/>
  <c r="K969" i="5"/>
  <c r="U955" i="7"/>
  <c r="V955" i="7"/>
  <c r="J953" i="5"/>
  <c r="K953" i="5"/>
  <c r="U939" i="7"/>
  <c r="V939" i="7"/>
  <c r="J937" i="5"/>
  <c r="K937" i="5"/>
  <c r="U923" i="7"/>
  <c r="V923" i="7"/>
  <c r="J921" i="5"/>
  <c r="K921" i="5"/>
  <c r="U907" i="7"/>
  <c r="V907" i="7"/>
  <c r="J905" i="5"/>
  <c r="K905" i="5"/>
  <c r="U891" i="7"/>
  <c r="V891" i="7"/>
  <c r="J889" i="5"/>
  <c r="K889" i="5"/>
  <c r="U875" i="7"/>
  <c r="V875" i="7"/>
  <c r="J873" i="5"/>
  <c r="K873" i="5"/>
  <c r="U859" i="7"/>
  <c r="V859" i="7"/>
  <c r="J857" i="5"/>
  <c r="K857" i="5"/>
  <c r="U843" i="7"/>
  <c r="V843" i="7"/>
  <c r="J841" i="5"/>
  <c r="K841" i="5"/>
  <c r="U825" i="7"/>
  <c r="V825" i="7"/>
  <c r="J823" i="5"/>
  <c r="K823" i="5"/>
  <c r="U804" i="7"/>
  <c r="V804" i="7"/>
  <c r="J802" i="5"/>
  <c r="K802" i="5"/>
  <c r="U785" i="7"/>
  <c r="V785" i="7"/>
  <c r="J786" i="5"/>
  <c r="K786" i="5"/>
  <c r="U769" i="7"/>
  <c r="V769" i="7"/>
  <c r="J770" i="5"/>
  <c r="K770" i="5"/>
  <c r="U753" i="7"/>
  <c r="V753" i="7"/>
  <c r="J754" i="5"/>
  <c r="K754" i="5"/>
  <c r="U737" i="7"/>
  <c r="V737" i="7"/>
  <c r="J738" i="5"/>
  <c r="K738" i="5"/>
  <c r="U721" i="7"/>
  <c r="V721" i="7"/>
  <c r="J722" i="5"/>
  <c r="K722" i="5"/>
  <c r="U705" i="7"/>
  <c r="V705" i="7"/>
  <c r="J706" i="5"/>
  <c r="K706" i="5"/>
  <c r="U689" i="7"/>
  <c r="V689" i="7"/>
  <c r="J690" i="5"/>
  <c r="K690" i="5"/>
  <c r="U657" i="7"/>
  <c r="V657" i="7"/>
  <c r="J658" i="5"/>
  <c r="K658" i="5"/>
  <c r="U641" i="7"/>
  <c r="V641" i="7"/>
  <c r="J642" i="5"/>
  <c r="K642" i="5"/>
  <c r="U625" i="7"/>
  <c r="V625" i="7"/>
  <c r="J626" i="5"/>
  <c r="K626" i="5"/>
  <c r="U593" i="7"/>
  <c r="V593" i="7"/>
  <c r="J594" i="5"/>
  <c r="K594" i="5"/>
  <c r="U577" i="7"/>
  <c r="V577" i="7"/>
  <c r="J578" i="5"/>
  <c r="K578" i="5"/>
  <c r="U561" i="7"/>
  <c r="V561" i="7"/>
  <c r="J562" i="5"/>
  <c r="K562" i="5"/>
  <c r="U545" i="7"/>
  <c r="V545" i="7"/>
  <c r="J546" i="5"/>
  <c r="U528" i="7"/>
  <c r="V528" i="7"/>
  <c r="J529" i="5"/>
  <c r="K529" i="5"/>
  <c r="U512" i="7"/>
  <c r="V512" i="7"/>
  <c r="J513" i="5"/>
  <c r="K513" i="5"/>
  <c r="U496" i="7"/>
  <c r="V496" i="7"/>
  <c r="J497" i="5"/>
  <c r="K497" i="5"/>
  <c r="U480" i="7"/>
  <c r="V480" i="7"/>
  <c r="J481" i="5"/>
  <c r="K481" i="5"/>
  <c r="U464" i="7"/>
  <c r="V464" i="7"/>
  <c r="J465" i="5"/>
  <c r="K465" i="5"/>
  <c r="U448" i="7"/>
  <c r="V448" i="7"/>
  <c r="J449" i="5"/>
  <c r="K449" i="5"/>
  <c r="U432" i="7"/>
  <c r="V432" i="7"/>
  <c r="J433" i="5"/>
  <c r="K433" i="5"/>
  <c r="U416" i="7"/>
  <c r="V416" i="7"/>
  <c r="J417" i="5"/>
  <c r="K417" i="5"/>
  <c r="U400" i="7"/>
  <c r="V400" i="7"/>
  <c r="J401" i="5"/>
  <c r="K401" i="5"/>
  <c r="U384" i="7"/>
  <c r="V384" i="7"/>
  <c r="J385" i="5"/>
  <c r="U368" i="7"/>
  <c r="V368" i="7"/>
  <c r="J369" i="5"/>
  <c r="K369" i="5"/>
  <c r="U352" i="7"/>
  <c r="V352" i="7"/>
  <c r="J353" i="5"/>
  <c r="K353" i="5"/>
  <c r="U336" i="7"/>
  <c r="V336" i="7"/>
  <c r="J337" i="5"/>
  <c r="K337" i="5"/>
  <c r="U320" i="7"/>
  <c r="V320" i="7"/>
  <c r="J321" i="5"/>
  <c r="K321" i="5"/>
  <c r="U304" i="7"/>
  <c r="V304" i="7"/>
  <c r="J305" i="5"/>
  <c r="K305" i="5"/>
  <c r="U288" i="7"/>
  <c r="V288" i="7"/>
  <c r="J289" i="5"/>
  <c r="K289" i="5"/>
  <c r="U272" i="7"/>
  <c r="V272" i="7"/>
  <c r="J273" i="5"/>
  <c r="K273" i="5"/>
  <c r="U256" i="7"/>
  <c r="V256" i="7"/>
  <c r="J257" i="5"/>
  <c r="K257" i="5"/>
  <c r="U240" i="7"/>
  <c r="V240" i="7"/>
  <c r="J241" i="5"/>
  <c r="K241" i="5"/>
  <c r="U224" i="7"/>
  <c r="V224" i="7"/>
  <c r="J225" i="5"/>
  <c r="K225" i="5"/>
  <c r="U208" i="7"/>
  <c r="V208" i="7"/>
  <c r="J209" i="5"/>
  <c r="K209" i="5"/>
  <c r="U192" i="7"/>
  <c r="V192" i="7"/>
  <c r="J193" i="5"/>
  <c r="K193" i="5"/>
  <c r="U176" i="7"/>
  <c r="V176" i="7"/>
  <c r="J177" i="5"/>
  <c r="K177" i="5"/>
  <c r="U160" i="7"/>
  <c r="V160" i="7"/>
  <c r="J161" i="5"/>
  <c r="K161" i="5"/>
  <c r="U144" i="7"/>
  <c r="V144" i="7"/>
  <c r="J145" i="5"/>
  <c r="K145" i="5"/>
  <c r="U128" i="7"/>
  <c r="V128" i="7"/>
  <c r="J129" i="5"/>
  <c r="K129" i="5"/>
  <c r="U112" i="7"/>
  <c r="V112" i="7"/>
  <c r="J113" i="5"/>
  <c r="K113" i="5"/>
  <c r="J879" i="5"/>
  <c r="K879" i="5"/>
  <c r="J560" i="5"/>
  <c r="J304" i="5"/>
  <c r="K304" i="5"/>
  <c r="J286" i="5"/>
  <c r="K286" i="5"/>
  <c r="U1042" i="7"/>
  <c r="V1042" i="7"/>
  <c r="J1040" i="5"/>
  <c r="K1040" i="5"/>
  <c r="U1023" i="7"/>
  <c r="V1023" i="7"/>
  <c r="J1021" i="5"/>
  <c r="K1021" i="5"/>
  <c r="U990" i="7"/>
  <c r="V990" i="7"/>
  <c r="U970" i="7"/>
  <c r="V970" i="7"/>
  <c r="J968" i="5"/>
  <c r="K968" i="5"/>
  <c r="U954" i="7"/>
  <c r="V954" i="7"/>
  <c r="J952" i="5"/>
  <c r="K952" i="5"/>
  <c r="U938" i="7"/>
  <c r="V938" i="7"/>
  <c r="J936" i="5"/>
  <c r="K936" i="5"/>
  <c r="U922" i="7"/>
  <c r="V922" i="7"/>
  <c r="J920" i="5"/>
  <c r="K920" i="5"/>
  <c r="U906" i="7"/>
  <c r="V906" i="7"/>
  <c r="J904" i="5"/>
  <c r="K904" i="5"/>
  <c r="U890" i="7"/>
  <c r="V890" i="7"/>
  <c r="J888" i="5"/>
  <c r="K888" i="5"/>
  <c r="U874" i="7"/>
  <c r="V874" i="7"/>
  <c r="J872" i="5"/>
  <c r="K872" i="5"/>
  <c r="U858" i="7"/>
  <c r="V858" i="7"/>
  <c r="J856" i="5"/>
  <c r="K856" i="5"/>
  <c r="U842" i="7"/>
  <c r="V842" i="7"/>
  <c r="J840" i="5"/>
  <c r="K840" i="5"/>
  <c r="U824" i="7"/>
  <c r="V824" i="7"/>
  <c r="U801" i="7"/>
  <c r="V801" i="7"/>
  <c r="J801" i="5"/>
  <c r="K801" i="5"/>
  <c r="U784" i="7"/>
  <c r="V784" i="7"/>
  <c r="J785" i="5"/>
  <c r="K785" i="5"/>
  <c r="U768" i="7"/>
  <c r="V768" i="7"/>
  <c r="J769" i="5"/>
  <c r="K769" i="5"/>
  <c r="U752" i="7"/>
  <c r="V752" i="7"/>
  <c r="J753" i="5"/>
  <c r="K753" i="5"/>
  <c r="U736" i="7"/>
  <c r="V736" i="7"/>
  <c r="J737" i="5"/>
  <c r="K737" i="5"/>
  <c r="U720" i="7"/>
  <c r="V720" i="7"/>
  <c r="J721" i="5"/>
  <c r="K721" i="5"/>
  <c r="U688" i="7"/>
  <c r="V688" i="7"/>
  <c r="J689" i="5"/>
  <c r="K689" i="5"/>
  <c r="U672" i="7"/>
  <c r="V672" i="7"/>
  <c r="J673" i="5"/>
  <c r="K673" i="5"/>
  <c r="U656" i="7"/>
  <c r="V656" i="7"/>
  <c r="J657" i="5"/>
  <c r="K657" i="5"/>
  <c r="U624" i="7"/>
  <c r="V624" i="7"/>
  <c r="J625" i="5"/>
  <c r="K625" i="5"/>
  <c r="U608" i="7"/>
  <c r="V608" i="7"/>
  <c r="J609" i="5"/>
  <c r="K609" i="5"/>
  <c r="U592" i="7"/>
  <c r="V592" i="7"/>
  <c r="J593" i="5"/>
  <c r="K593" i="5"/>
  <c r="U576" i="7"/>
  <c r="V576" i="7"/>
  <c r="J577" i="5"/>
  <c r="K577" i="5"/>
  <c r="U560" i="7"/>
  <c r="V560" i="7"/>
  <c r="J561" i="5"/>
  <c r="U544" i="7"/>
  <c r="V544" i="7"/>
  <c r="J545" i="5"/>
  <c r="U287" i="7"/>
  <c r="V287" i="7"/>
  <c r="J288" i="5"/>
  <c r="K288" i="5"/>
  <c r="U271" i="7"/>
  <c r="V271" i="7"/>
  <c r="J272" i="5"/>
  <c r="K272" i="5"/>
  <c r="U255" i="7"/>
  <c r="V255" i="7"/>
  <c r="J256" i="5"/>
  <c r="K256" i="5"/>
  <c r="U239" i="7"/>
  <c r="V239" i="7"/>
  <c r="J240" i="5"/>
  <c r="K240" i="5"/>
  <c r="U223" i="7"/>
  <c r="V223" i="7"/>
  <c r="J224" i="5"/>
  <c r="K224" i="5"/>
  <c r="U207" i="7"/>
  <c r="V207" i="7"/>
  <c r="J208" i="5"/>
  <c r="K208" i="5"/>
  <c r="U191" i="7"/>
  <c r="V191" i="7"/>
  <c r="J192" i="5"/>
  <c r="K192" i="5"/>
  <c r="U175" i="7"/>
  <c r="V175" i="7"/>
  <c r="J176" i="5"/>
  <c r="K176" i="5"/>
  <c r="U159" i="7"/>
  <c r="V159" i="7"/>
  <c r="J160" i="5"/>
  <c r="K160" i="5"/>
  <c r="U143" i="7"/>
  <c r="V143" i="7"/>
  <c r="J144" i="5"/>
  <c r="K144" i="5"/>
  <c r="U127" i="7"/>
  <c r="V127" i="7"/>
  <c r="J128" i="5"/>
  <c r="K128" i="5"/>
  <c r="U111" i="7"/>
  <c r="V111" i="7"/>
  <c r="J112" i="5"/>
  <c r="K112" i="5"/>
  <c r="J863" i="5"/>
  <c r="K863" i="5"/>
  <c r="J270" i="5"/>
  <c r="K270" i="5"/>
  <c r="U1041" i="7"/>
  <c r="V1041" i="7"/>
  <c r="J1039" i="5"/>
  <c r="K1039" i="5"/>
  <c r="U1022" i="7"/>
  <c r="V1022" i="7"/>
  <c r="J1020" i="5"/>
  <c r="K1020" i="5"/>
  <c r="U1005" i="7"/>
  <c r="V1005" i="7"/>
  <c r="J1003" i="5"/>
  <c r="K1003" i="5"/>
  <c r="U985" i="7"/>
  <c r="V985" i="7"/>
  <c r="J983" i="5"/>
  <c r="K983" i="5"/>
  <c r="U969" i="7"/>
  <c r="V969" i="7"/>
  <c r="J967" i="5"/>
  <c r="K967" i="5"/>
  <c r="U953" i="7"/>
  <c r="V953" i="7"/>
  <c r="J951" i="5"/>
  <c r="K951" i="5"/>
  <c r="U937" i="7"/>
  <c r="V937" i="7"/>
  <c r="J935" i="5"/>
  <c r="K935" i="5"/>
  <c r="U921" i="7"/>
  <c r="V921" i="7"/>
  <c r="J919" i="5"/>
  <c r="K919" i="5"/>
  <c r="U905" i="7"/>
  <c r="V905" i="7"/>
  <c r="J903" i="5"/>
  <c r="K903" i="5"/>
  <c r="U889" i="7"/>
  <c r="V889" i="7"/>
  <c r="J887" i="5"/>
  <c r="K887" i="5"/>
  <c r="U873" i="7"/>
  <c r="V873" i="7"/>
  <c r="J871" i="5"/>
  <c r="K871" i="5"/>
  <c r="U857" i="7"/>
  <c r="V857" i="7"/>
  <c r="J855" i="5"/>
  <c r="K855" i="5"/>
  <c r="U841" i="7"/>
  <c r="V841" i="7"/>
  <c r="J839" i="5"/>
  <c r="K839" i="5"/>
  <c r="U822" i="7"/>
  <c r="V822" i="7"/>
  <c r="U800" i="7"/>
  <c r="V800" i="7"/>
  <c r="J800" i="5"/>
  <c r="K800" i="5"/>
  <c r="U783" i="7"/>
  <c r="V783" i="7"/>
  <c r="J784" i="5"/>
  <c r="K784" i="5"/>
  <c r="U767" i="7"/>
  <c r="V767" i="7"/>
  <c r="J768" i="5"/>
  <c r="K768" i="5"/>
  <c r="U735" i="7"/>
  <c r="V735" i="7"/>
  <c r="J736" i="5"/>
  <c r="K736" i="5"/>
  <c r="U719" i="7"/>
  <c r="V719" i="7"/>
  <c r="J720" i="5"/>
  <c r="K720" i="5"/>
  <c r="U703" i="7"/>
  <c r="V703" i="7"/>
  <c r="J704" i="5"/>
  <c r="K704" i="5"/>
  <c r="U687" i="7"/>
  <c r="V687" i="7"/>
  <c r="J688" i="5"/>
  <c r="K688" i="5"/>
  <c r="U655" i="7"/>
  <c r="V655" i="7"/>
  <c r="J656" i="5"/>
  <c r="K656" i="5"/>
  <c r="U639" i="7"/>
  <c r="V639" i="7"/>
  <c r="J640" i="5"/>
  <c r="K640" i="5"/>
  <c r="U623" i="7"/>
  <c r="V623" i="7"/>
  <c r="J624" i="5"/>
  <c r="K624" i="5"/>
  <c r="U591" i="7"/>
  <c r="V591" i="7"/>
  <c r="J592" i="5"/>
  <c r="K592" i="5"/>
  <c r="U575" i="7"/>
  <c r="V575" i="7"/>
  <c r="J576" i="5"/>
  <c r="K576" i="5"/>
  <c r="U526" i="7"/>
  <c r="V526" i="7"/>
  <c r="J527" i="5"/>
  <c r="K527" i="5"/>
  <c r="U510" i="7"/>
  <c r="V510" i="7"/>
  <c r="J511" i="5"/>
  <c r="K511" i="5"/>
  <c r="U494" i="7"/>
  <c r="V494" i="7"/>
  <c r="J495" i="5"/>
  <c r="K495" i="5"/>
  <c r="U478" i="7"/>
  <c r="V478" i="7"/>
  <c r="J479" i="5"/>
  <c r="K479" i="5"/>
  <c r="U462" i="7"/>
  <c r="V462" i="7"/>
  <c r="J463" i="5"/>
  <c r="K463" i="5"/>
  <c r="U446" i="7"/>
  <c r="V446" i="7"/>
  <c r="J447" i="5"/>
  <c r="K447" i="5"/>
  <c r="U430" i="7"/>
  <c r="V430" i="7"/>
  <c r="J431" i="5"/>
  <c r="K431" i="5"/>
  <c r="U414" i="7"/>
  <c r="V414" i="7"/>
  <c r="J415" i="5"/>
  <c r="K415" i="5"/>
  <c r="U398" i="7"/>
  <c r="V398" i="7"/>
  <c r="J399" i="5"/>
  <c r="K399" i="5"/>
  <c r="U382" i="7"/>
  <c r="V382" i="7"/>
  <c r="J383" i="5"/>
  <c r="U366" i="7"/>
  <c r="V366" i="7"/>
  <c r="J367" i="5"/>
  <c r="K367" i="5"/>
  <c r="U350" i="7"/>
  <c r="V350" i="7"/>
  <c r="J351" i="5"/>
  <c r="K351" i="5"/>
  <c r="U334" i="7"/>
  <c r="V334" i="7"/>
  <c r="J335" i="5"/>
  <c r="K335" i="5"/>
  <c r="U318" i="7"/>
  <c r="V318" i="7"/>
  <c r="J319" i="5"/>
  <c r="K319" i="5"/>
  <c r="U302" i="7"/>
  <c r="V302" i="7"/>
  <c r="J303" i="5"/>
  <c r="K303" i="5"/>
  <c r="U286" i="7"/>
  <c r="V286" i="7"/>
  <c r="J287" i="5"/>
  <c r="K287" i="5"/>
  <c r="U270" i="7"/>
  <c r="V270" i="7"/>
  <c r="J271" i="5"/>
  <c r="K271" i="5"/>
  <c r="U254" i="7"/>
  <c r="V254" i="7"/>
  <c r="J255" i="5"/>
  <c r="K255" i="5"/>
  <c r="U238" i="7"/>
  <c r="V238" i="7"/>
  <c r="J239" i="5"/>
  <c r="K239" i="5"/>
  <c r="U222" i="7"/>
  <c r="V222" i="7"/>
  <c r="J223" i="5"/>
  <c r="K223" i="5"/>
  <c r="U206" i="7"/>
  <c r="V206" i="7"/>
  <c r="J207" i="5"/>
  <c r="K207" i="5"/>
  <c r="U190" i="7"/>
  <c r="V190" i="7"/>
  <c r="J191" i="5"/>
  <c r="K191" i="5"/>
  <c r="U174" i="7"/>
  <c r="V174" i="7"/>
  <c r="J175" i="5"/>
  <c r="K175" i="5"/>
  <c r="U158" i="7"/>
  <c r="V158" i="7"/>
  <c r="J159" i="5"/>
  <c r="K159" i="5"/>
  <c r="U142" i="7"/>
  <c r="V142" i="7"/>
  <c r="J143" i="5"/>
  <c r="K143" i="5"/>
  <c r="U126" i="7"/>
  <c r="V126" i="7"/>
  <c r="J127" i="5"/>
  <c r="K127" i="5"/>
  <c r="U110" i="7"/>
  <c r="V110" i="7"/>
  <c r="J111" i="5"/>
  <c r="K111" i="5"/>
  <c r="J1038" i="5"/>
  <c r="K1038" i="5"/>
  <c r="J847" i="5"/>
  <c r="K847" i="5"/>
  <c r="J703" i="5"/>
  <c r="K703" i="5"/>
  <c r="J528" i="5"/>
  <c r="K528" i="5"/>
  <c r="J254" i="5"/>
  <c r="K254" i="5"/>
  <c r="U1021" i="7"/>
  <c r="V1021" i="7"/>
  <c r="J1019" i="5"/>
  <c r="K1019" i="5"/>
  <c r="U968" i="7"/>
  <c r="V968" i="7"/>
  <c r="J966" i="5"/>
  <c r="K966" i="5"/>
  <c r="U904" i="7"/>
  <c r="V904" i="7"/>
  <c r="J902" i="5"/>
  <c r="K902" i="5"/>
  <c r="U872" i="7"/>
  <c r="V872" i="7"/>
  <c r="J870" i="5"/>
  <c r="K870" i="5"/>
  <c r="U840" i="7"/>
  <c r="V840" i="7"/>
  <c r="J838" i="5"/>
  <c r="K838" i="5"/>
  <c r="U818" i="7"/>
  <c r="V818" i="7"/>
  <c r="J816" i="5"/>
  <c r="K816" i="5"/>
  <c r="U750" i="7"/>
  <c r="V750" i="7"/>
  <c r="J751" i="5"/>
  <c r="K751" i="5"/>
  <c r="U734" i="7"/>
  <c r="V734" i="7"/>
  <c r="J735" i="5"/>
  <c r="K735" i="5"/>
  <c r="U686" i="7"/>
  <c r="V686" i="7"/>
  <c r="J687" i="5"/>
  <c r="K687" i="5"/>
  <c r="U622" i="7"/>
  <c r="V622" i="7"/>
  <c r="J623" i="5"/>
  <c r="K623" i="5"/>
  <c r="U509" i="7"/>
  <c r="V509" i="7"/>
  <c r="J510" i="5"/>
  <c r="K510" i="5"/>
  <c r="U397" i="7"/>
  <c r="V397" i="7"/>
  <c r="J398" i="5"/>
  <c r="K398" i="5"/>
  <c r="U125" i="7"/>
  <c r="V125" i="7"/>
  <c r="J126" i="5"/>
  <c r="K126" i="5"/>
  <c r="J705" i="5"/>
  <c r="K705" i="5"/>
  <c r="J606" i="5"/>
  <c r="K606" i="5"/>
  <c r="J512" i="5"/>
  <c r="K512" i="5"/>
  <c r="J238" i="5"/>
  <c r="K238" i="5"/>
  <c r="J158" i="5"/>
  <c r="K158" i="5"/>
  <c r="J1004" i="5"/>
  <c r="K1004" i="5"/>
  <c r="J978" i="5"/>
  <c r="K978" i="5"/>
  <c r="J815" i="5"/>
  <c r="K815" i="5"/>
  <c r="J608" i="5"/>
  <c r="K608" i="5"/>
  <c r="J496" i="5"/>
  <c r="K496" i="5"/>
  <c r="J222" i="5"/>
  <c r="K222" i="5"/>
  <c r="J1050" i="5"/>
  <c r="K1050" i="5"/>
  <c r="J1045" i="5"/>
  <c r="K1045" i="5"/>
  <c r="J799" i="5"/>
  <c r="K799" i="5"/>
  <c r="J610" i="5"/>
  <c r="K610" i="5"/>
  <c r="J480" i="5"/>
  <c r="K480" i="5"/>
  <c r="J206" i="5"/>
  <c r="K206" i="5"/>
  <c r="U798" i="7"/>
  <c r="V798" i="7"/>
  <c r="J798" i="5"/>
  <c r="K798" i="5"/>
  <c r="U733" i="7"/>
  <c r="V733" i="7"/>
  <c r="J734" i="5"/>
  <c r="K734" i="5"/>
  <c r="U621" i="7"/>
  <c r="V621" i="7"/>
  <c r="J622" i="5"/>
  <c r="K622" i="5"/>
  <c r="J1035" i="5"/>
  <c r="K1035" i="5"/>
  <c r="J464" i="5"/>
  <c r="K464" i="5"/>
  <c r="J190" i="5"/>
  <c r="K190" i="5"/>
  <c r="U1038" i="7"/>
  <c r="V1038" i="7"/>
  <c r="J1036" i="5"/>
  <c r="K1036" i="5"/>
  <c r="U1019" i="7"/>
  <c r="V1019" i="7"/>
  <c r="J1017" i="5"/>
  <c r="K1017" i="5"/>
  <c r="U1002" i="7"/>
  <c r="V1002" i="7"/>
  <c r="J1000" i="5"/>
  <c r="K1000" i="5"/>
  <c r="U982" i="7"/>
  <c r="V982" i="7"/>
  <c r="J980" i="5"/>
  <c r="K980" i="5"/>
  <c r="U966" i="7"/>
  <c r="V966" i="7"/>
  <c r="J964" i="5"/>
  <c r="K964" i="5"/>
  <c r="U950" i="7"/>
  <c r="V950" i="7"/>
  <c r="J948" i="5"/>
  <c r="K948" i="5"/>
  <c r="U934" i="7"/>
  <c r="V934" i="7"/>
  <c r="J932" i="5"/>
  <c r="K932" i="5"/>
  <c r="U918" i="7"/>
  <c r="V918" i="7"/>
  <c r="J916" i="5"/>
  <c r="K916" i="5"/>
  <c r="U902" i="7"/>
  <c r="V902" i="7"/>
  <c r="J900" i="5"/>
  <c r="K900" i="5"/>
  <c r="U886" i="7"/>
  <c r="V886" i="7"/>
  <c r="J884" i="5"/>
  <c r="K884" i="5"/>
  <c r="U870" i="7"/>
  <c r="V870" i="7"/>
  <c r="J868" i="5"/>
  <c r="K868" i="5"/>
  <c r="U854" i="7"/>
  <c r="V854" i="7"/>
  <c r="J852" i="5"/>
  <c r="K852" i="5"/>
  <c r="U838" i="7"/>
  <c r="V838" i="7"/>
  <c r="J836" i="5"/>
  <c r="K836" i="5"/>
  <c r="U816" i="7"/>
  <c r="V816" i="7"/>
  <c r="J814" i="5"/>
  <c r="K814" i="5"/>
  <c r="U797" i="7"/>
  <c r="V797" i="7"/>
  <c r="J797" i="5"/>
  <c r="K797" i="5"/>
  <c r="U780" i="7"/>
  <c r="V780" i="7"/>
  <c r="J781" i="5"/>
  <c r="K781" i="5"/>
  <c r="U764" i="7"/>
  <c r="V764" i="7"/>
  <c r="J765" i="5"/>
  <c r="K765" i="5"/>
  <c r="U748" i="7"/>
  <c r="V748" i="7"/>
  <c r="J749" i="5"/>
  <c r="K749" i="5"/>
  <c r="U732" i="7"/>
  <c r="V732" i="7"/>
  <c r="J733" i="5"/>
  <c r="K733" i="5"/>
  <c r="U716" i="7"/>
  <c r="V716" i="7"/>
  <c r="J717" i="5"/>
  <c r="K717" i="5"/>
  <c r="U700" i="7"/>
  <c r="V700" i="7"/>
  <c r="J701" i="5"/>
  <c r="K701" i="5"/>
  <c r="U684" i="7"/>
  <c r="V684" i="7"/>
  <c r="J685" i="5"/>
  <c r="K685" i="5"/>
  <c r="U668" i="7"/>
  <c r="V668" i="7"/>
  <c r="J669" i="5"/>
  <c r="K669" i="5"/>
  <c r="U652" i="7"/>
  <c r="V652" i="7"/>
  <c r="J653" i="5"/>
  <c r="K653" i="5"/>
  <c r="U636" i="7"/>
  <c r="V636" i="7"/>
  <c r="J637" i="5"/>
  <c r="K637" i="5"/>
  <c r="U620" i="7"/>
  <c r="V620" i="7"/>
  <c r="J621" i="5"/>
  <c r="K621" i="5"/>
  <c r="U604" i="7"/>
  <c r="V604" i="7"/>
  <c r="J605" i="5"/>
  <c r="K605" i="5"/>
  <c r="U588" i="7"/>
  <c r="V588" i="7"/>
  <c r="J589" i="5"/>
  <c r="K589" i="5"/>
  <c r="U572" i="7"/>
  <c r="V572" i="7"/>
  <c r="J573" i="5"/>
  <c r="K573" i="5"/>
  <c r="U556" i="7"/>
  <c r="V556" i="7"/>
  <c r="J557" i="5"/>
  <c r="U540" i="7"/>
  <c r="V540" i="7"/>
  <c r="J541" i="5"/>
  <c r="K541" i="5"/>
  <c r="U523" i="7"/>
  <c r="V523" i="7"/>
  <c r="J524" i="5"/>
  <c r="K524" i="5"/>
  <c r="U507" i="7"/>
  <c r="V507" i="7"/>
  <c r="J508" i="5"/>
  <c r="K508" i="5"/>
  <c r="U491" i="7"/>
  <c r="V491" i="7"/>
  <c r="J492" i="5"/>
  <c r="K492" i="5"/>
  <c r="U475" i="7"/>
  <c r="V475" i="7"/>
  <c r="J476" i="5"/>
  <c r="K476" i="5"/>
  <c r="U459" i="7"/>
  <c r="V459" i="7"/>
  <c r="J460" i="5"/>
  <c r="K460" i="5"/>
  <c r="U443" i="7"/>
  <c r="V443" i="7"/>
  <c r="J444" i="5"/>
  <c r="K444" i="5"/>
  <c r="U427" i="7"/>
  <c r="V427" i="7"/>
  <c r="J428" i="5"/>
  <c r="K428" i="5"/>
  <c r="U411" i="7"/>
  <c r="V411" i="7"/>
  <c r="J412" i="5"/>
  <c r="K412" i="5"/>
  <c r="U395" i="7"/>
  <c r="V395" i="7"/>
  <c r="J396" i="5"/>
  <c r="K396" i="5"/>
  <c r="U379" i="7"/>
  <c r="V379" i="7"/>
  <c r="J380" i="5"/>
  <c r="U363" i="7"/>
  <c r="V363" i="7"/>
  <c r="J364" i="5"/>
  <c r="K364" i="5"/>
  <c r="U347" i="7"/>
  <c r="V347" i="7"/>
  <c r="J348" i="5"/>
  <c r="K348" i="5"/>
  <c r="U331" i="7"/>
  <c r="V331" i="7"/>
  <c r="J332" i="5"/>
  <c r="K332" i="5"/>
  <c r="U315" i="7"/>
  <c r="V315" i="7"/>
  <c r="J316" i="5"/>
  <c r="K316" i="5"/>
  <c r="U299" i="7"/>
  <c r="V299" i="7"/>
  <c r="J300" i="5"/>
  <c r="K300" i="5"/>
  <c r="U283" i="7"/>
  <c r="V283" i="7"/>
  <c r="J284" i="5"/>
  <c r="K284" i="5"/>
  <c r="U267" i="7"/>
  <c r="V267" i="7"/>
  <c r="J268" i="5"/>
  <c r="K268" i="5"/>
  <c r="U251" i="7"/>
  <c r="V251" i="7"/>
  <c r="J252" i="5"/>
  <c r="K252" i="5"/>
  <c r="U235" i="7"/>
  <c r="V235" i="7"/>
  <c r="J236" i="5"/>
  <c r="K236" i="5"/>
  <c r="U219" i="7"/>
  <c r="V219" i="7"/>
  <c r="J220" i="5"/>
  <c r="K220" i="5"/>
  <c r="U203" i="7"/>
  <c r="V203" i="7"/>
  <c r="J204" i="5"/>
  <c r="K204" i="5"/>
  <c r="U187" i="7"/>
  <c r="V187" i="7"/>
  <c r="J188" i="5"/>
  <c r="K188" i="5"/>
  <c r="U171" i="7"/>
  <c r="V171" i="7"/>
  <c r="J172" i="5"/>
  <c r="K172" i="5"/>
  <c r="U155" i="7"/>
  <c r="V155" i="7"/>
  <c r="J156" i="5"/>
  <c r="K156" i="5"/>
  <c r="U139" i="7"/>
  <c r="V139" i="7"/>
  <c r="J140" i="5"/>
  <c r="K140" i="5"/>
  <c r="U123" i="7"/>
  <c r="V123" i="7"/>
  <c r="J124" i="5"/>
  <c r="K124" i="5"/>
  <c r="U107" i="7"/>
  <c r="V107" i="7"/>
  <c r="J108" i="5"/>
  <c r="K108" i="5"/>
  <c r="U1018" i="7"/>
  <c r="V1018" i="7"/>
  <c r="J1016" i="5"/>
  <c r="K1016" i="5"/>
  <c r="U1001" i="7"/>
  <c r="V1001" i="7"/>
  <c r="J999" i="5"/>
  <c r="K999" i="5"/>
  <c r="U981" i="7"/>
  <c r="V981" i="7"/>
  <c r="J979" i="5"/>
  <c r="K979" i="5"/>
  <c r="U965" i="7"/>
  <c r="V965" i="7"/>
  <c r="J963" i="5"/>
  <c r="K963" i="5"/>
  <c r="U949" i="7"/>
  <c r="V949" i="7"/>
  <c r="J947" i="5"/>
  <c r="K947" i="5"/>
  <c r="U933" i="7"/>
  <c r="V933" i="7"/>
  <c r="J931" i="5"/>
  <c r="K931" i="5"/>
  <c r="U917" i="7"/>
  <c r="V917" i="7"/>
  <c r="J915" i="5"/>
  <c r="K915" i="5"/>
  <c r="U901" i="7"/>
  <c r="V901" i="7"/>
  <c r="J899" i="5"/>
  <c r="K899" i="5"/>
  <c r="U885" i="7"/>
  <c r="V885" i="7"/>
  <c r="J883" i="5"/>
  <c r="K883" i="5"/>
  <c r="U869" i="7"/>
  <c r="V869" i="7"/>
  <c r="J867" i="5"/>
  <c r="K867" i="5"/>
  <c r="U853" i="7"/>
  <c r="V853" i="7"/>
  <c r="J851" i="5"/>
  <c r="K851" i="5"/>
  <c r="U837" i="7"/>
  <c r="V837" i="7"/>
  <c r="J835" i="5"/>
  <c r="K835" i="5"/>
  <c r="U815" i="7"/>
  <c r="V815" i="7"/>
  <c r="J813" i="5"/>
  <c r="K813" i="5"/>
  <c r="U796" i="7"/>
  <c r="V796" i="7"/>
  <c r="J796" i="5"/>
  <c r="K796" i="5"/>
  <c r="U779" i="7"/>
  <c r="V779" i="7"/>
  <c r="J780" i="5"/>
  <c r="K780" i="5"/>
  <c r="U763" i="7"/>
  <c r="V763" i="7"/>
  <c r="J764" i="5"/>
  <c r="K764" i="5"/>
  <c r="U747" i="7"/>
  <c r="V747" i="7"/>
  <c r="J748" i="5"/>
  <c r="K748" i="5"/>
  <c r="U731" i="7"/>
  <c r="V731" i="7"/>
  <c r="J732" i="5"/>
  <c r="K732" i="5"/>
  <c r="U715" i="7"/>
  <c r="V715" i="7"/>
  <c r="J716" i="5"/>
  <c r="K716" i="5"/>
  <c r="U699" i="7"/>
  <c r="V699" i="7"/>
  <c r="J700" i="5"/>
  <c r="K700" i="5"/>
  <c r="U683" i="7"/>
  <c r="V683" i="7"/>
  <c r="J684" i="5"/>
  <c r="K684" i="5"/>
  <c r="U667" i="7"/>
  <c r="V667" i="7"/>
  <c r="J668" i="5"/>
  <c r="K668" i="5"/>
  <c r="U651" i="7"/>
  <c r="V651" i="7"/>
  <c r="J652" i="5"/>
  <c r="K652" i="5"/>
  <c r="U635" i="7"/>
  <c r="V635" i="7"/>
  <c r="J636" i="5"/>
  <c r="K636" i="5"/>
  <c r="U619" i="7"/>
  <c r="V619" i="7"/>
  <c r="J620" i="5"/>
  <c r="K620" i="5"/>
  <c r="U603" i="7"/>
  <c r="V603" i="7"/>
  <c r="J604" i="5"/>
  <c r="K604" i="5"/>
  <c r="U587" i="7"/>
  <c r="V587" i="7"/>
  <c r="J588" i="5"/>
  <c r="K588" i="5"/>
  <c r="U571" i="7"/>
  <c r="V571" i="7"/>
  <c r="J572" i="5"/>
  <c r="K572" i="5"/>
  <c r="U555" i="7"/>
  <c r="V555" i="7"/>
  <c r="J556" i="5"/>
  <c r="U539" i="7"/>
  <c r="V539" i="7"/>
  <c r="J540" i="5"/>
  <c r="K540" i="5"/>
  <c r="U522" i="7"/>
  <c r="V522" i="7"/>
  <c r="J523" i="5"/>
  <c r="K523" i="5"/>
  <c r="U506" i="7"/>
  <c r="V506" i="7"/>
  <c r="J507" i="5"/>
  <c r="K507" i="5"/>
  <c r="U490" i="7"/>
  <c r="V490" i="7"/>
  <c r="J491" i="5"/>
  <c r="K491" i="5"/>
  <c r="U474" i="7"/>
  <c r="V474" i="7"/>
  <c r="J475" i="5"/>
  <c r="K475" i="5"/>
  <c r="U458" i="7"/>
  <c r="V458" i="7"/>
  <c r="J459" i="5"/>
  <c r="K459" i="5"/>
  <c r="U442" i="7"/>
  <c r="V442" i="7"/>
  <c r="J443" i="5"/>
  <c r="K443" i="5"/>
  <c r="U426" i="7"/>
  <c r="V426" i="7"/>
  <c r="J427" i="5"/>
  <c r="K427" i="5"/>
  <c r="U410" i="7"/>
  <c r="V410" i="7"/>
  <c r="J411" i="5"/>
  <c r="K411" i="5"/>
  <c r="U394" i="7"/>
  <c r="V394" i="7"/>
  <c r="J395" i="5"/>
  <c r="K395" i="5"/>
  <c r="U378" i="7"/>
  <c r="V378" i="7"/>
  <c r="J379" i="5"/>
  <c r="U362" i="7"/>
  <c r="V362" i="7"/>
  <c r="J363" i="5"/>
  <c r="K363" i="5"/>
  <c r="U346" i="7"/>
  <c r="V346" i="7"/>
  <c r="J347" i="5"/>
  <c r="K347" i="5"/>
  <c r="U330" i="7"/>
  <c r="V330" i="7"/>
  <c r="J331" i="5"/>
  <c r="K331" i="5"/>
  <c r="U314" i="7"/>
  <c r="V314" i="7"/>
  <c r="J315" i="5"/>
  <c r="K315" i="5"/>
  <c r="U298" i="7"/>
  <c r="V298" i="7"/>
  <c r="J299" i="5"/>
  <c r="K299" i="5"/>
  <c r="U282" i="7"/>
  <c r="V282" i="7"/>
  <c r="J283" i="5"/>
  <c r="K283" i="5"/>
  <c r="U266" i="7"/>
  <c r="V266" i="7"/>
  <c r="J267" i="5"/>
  <c r="K267" i="5"/>
  <c r="U250" i="7"/>
  <c r="V250" i="7"/>
  <c r="J251" i="5"/>
  <c r="K251" i="5"/>
  <c r="U234" i="7"/>
  <c r="V234" i="7"/>
  <c r="J235" i="5"/>
  <c r="K235" i="5"/>
  <c r="U218" i="7"/>
  <c r="V218" i="7"/>
  <c r="J219" i="5"/>
  <c r="K219" i="5"/>
  <c r="U202" i="7"/>
  <c r="V202" i="7"/>
  <c r="J203" i="5"/>
  <c r="K203" i="5"/>
  <c r="U186" i="7"/>
  <c r="V186" i="7"/>
  <c r="J187" i="5"/>
  <c r="K187" i="5"/>
  <c r="U170" i="7"/>
  <c r="V170" i="7"/>
  <c r="J171" i="5"/>
  <c r="K171" i="5"/>
  <c r="U154" i="7"/>
  <c r="V154" i="7"/>
  <c r="J155" i="5"/>
  <c r="K155" i="5"/>
  <c r="U138" i="7"/>
  <c r="V138" i="7"/>
  <c r="J139" i="5"/>
  <c r="K139" i="5"/>
  <c r="U122" i="7"/>
  <c r="V122" i="7"/>
  <c r="J123" i="5"/>
  <c r="K123" i="5"/>
  <c r="U106" i="7"/>
  <c r="V106" i="7"/>
  <c r="J107" i="5"/>
  <c r="K107" i="5"/>
  <c r="U1017" i="7"/>
  <c r="V1017" i="7"/>
  <c r="J1015" i="5"/>
  <c r="K1015" i="5"/>
  <c r="U1000" i="7"/>
  <c r="V1000" i="7"/>
  <c r="J998" i="5"/>
  <c r="K998" i="5"/>
  <c r="U964" i="7"/>
  <c r="V964" i="7"/>
  <c r="J962" i="5"/>
  <c r="K962" i="5"/>
  <c r="U948" i="7"/>
  <c r="V948" i="7"/>
  <c r="J946" i="5"/>
  <c r="K946" i="5"/>
  <c r="U932" i="7"/>
  <c r="V932" i="7"/>
  <c r="J930" i="5"/>
  <c r="K930" i="5"/>
  <c r="U916" i="7"/>
  <c r="V916" i="7"/>
  <c r="J914" i="5"/>
  <c r="K914" i="5"/>
  <c r="U900" i="7"/>
  <c r="V900" i="7"/>
  <c r="J898" i="5"/>
  <c r="K898" i="5"/>
  <c r="U884" i="7"/>
  <c r="V884" i="7"/>
  <c r="J882" i="5"/>
  <c r="K882" i="5"/>
  <c r="U868" i="7"/>
  <c r="V868" i="7"/>
  <c r="J866" i="5"/>
  <c r="K866" i="5"/>
  <c r="U852" i="7"/>
  <c r="V852" i="7"/>
  <c r="J850" i="5"/>
  <c r="K850" i="5"/>
  <c r="U836" i="7"/>
  <c r="V836" i="7"/>
  <c r="J834" i="5"/>
  <c r="K834" i="5"/>
  <c r="U814" i="7"/>
  <c r="V814" i="7"/>
  <c r="U795" i="7"/>
  <c r="V795" i="7"/>
  <c r="J795" i="5"/>
  <c r="K795" i="5"/>
  <c r="U778" i="7"/>
  <c r="V778" i="7"/>
  <c r="J779" i="5"/>
  <c r="K779" i="5"/>
  <c r="U762" i="7"/>
  <c r="V762" i="7"/>
  <c r="J763" i="5"/>
  <c r="K763" i="5"/>
  <c r="U746" i="7"/>
  <c r="V746" i="7"/>
  <c r="J747" i="5"/>
  <c r="K747" i="5"/>
  <c r="U730" i="7"/>
  <c r="V730" i="7"/>
  <c r="J731" i="5"/>
  <c r="K731" i="5"/>
  <c r="U714" i="7"/>
  <c r="V714" i="7"/>
  <c r="J715" i="5"/>
  <c r="K715" i="5"/>
  <c r="U698" i="7"/>
  <c r="V698" i="7"/>
  <c r="J699" i="5"/>
  <c r="K699" i="5"/>
  <c r="U682" i="7"/>
  <c r="V682" i="7"/>
  <c r="J683" i="5"/>
  <c r="K683" i="5"/>
  <c r="U666" i="7"/>
  <c r="V666" i="7"/>
  <c r="J667" i="5"/>
  <c r="K667" i="5"/>
  <c r="U650" i="7"/>
  <c r="V650" i="7"/>
  <c r="J651" i="5"/>
  <c r="K651" i="5"/>
  <c r="U634" i="7"/>
  <c r="V634" i="7"/>
  <c r="J635" i="5"/>
  <c r="K635" i="5"/>
  <c r="U618" i="7"/>
  <c r="V618" i="7"/>
  <c r="J619" i="5"/>
  <c r="K619" i="5"/>
  <c r="U602" i="7"/>
  <c r="V602" i="7"/>
  <c r="J603" i="5"/>
  <c r="K603" i="5"/>
  <c r="U586" i="7"/>
  <c r="V586" i="7"/>
  <c r="J587" i="5"/>
  <c r="K587" i="5"/>
  <c r="U570" i="7"/>
  <c r="V570" i="7"/>
  <c r="J571" i="5"/>
  <c r="K571" i="5"/>
  <c r="U554" i="7"/>
  <c r="V554" i="7"/>
  <c r="J555" i="5"/>
  <c r="U538" i="7"/>
  <c r="V538" i="7"/>
  <c r="J539" i="5"/>
  <c r="K539" i="5"/>
  <c r="U521" i="7"/>
  <c r="V521" i="7"/>
  <c r="J522" i="5"/>
  <c r="K522" i="5"/>
  <c r="U505" i="7"/>
  <c r="V505" i="7"/>
  <c r="J506" i="5"/>
  <c r="K506" i="5"/>
  <c r="U489" i="7"/>
  <c r="V489" i="7"/>
  <c r="J490" i="5"/>
  <c r="K490" i="5"/>
  <c r="U473" i="7"/>
  <c r="V473" i="7"/>
  <c r="J474" i="5"/>
  <c r="K474" i="5"/>
  <c r="U457" i="7"/>
  <c r="V457" i="7"/>
  <c r="J458" i="5"/>
  <c r="K458" i="5"/>
  <c r="U441" i="7"/>
  <c r="V441" i="7"/>
  <c r="J442" i="5"/>
  <c r="K442" i="5"/>
  <c r="U425" i="7"/>
  <c r="V425" i="7"/>
  <c r="J426" i="5"/>
  <c r="K426" i="5"/>
  <c r="U409" i="7"/>
  <c r="V409" i="7"/>
  <c r="J410" i="5"/>
  <c r="K410" i="5"/>
  <c r="U393" i="7"/>
  <c r="V393" i="7"/>
  <c r="J394" i="5"/>
  <c r="K394" i="5"/>
  <c r="U377" i="7"/>
  <c r="V377" i="7"/>
  <c r="J378" i="5"/>
  <c r="U361" i="7"/>
  <c r="V361" i="7"/>
  <c r="J362" i="5"/>
  <c r="K362" i="5"/>
  <c r="U345" i="7"/>
  <c r="V345" i="7"/>
  <c r="J346" i="5"/>
  <c r="K346" i="5"/>
  <c r="U329" i="7"/>
  <c r="V329" i="7"/>
  <c r="J330" i="5"/>
  <c r="K330" i="5"/>
  <c r="U313" i="7"/>
  <c r="V313" i="7"/>
  <c r="J314" i="5"/>
  <c r="K314" i="5"/>
  <c r="U297" i="7"/>
  <c r="V297" i="7"/>
  <c r="J298" i="5"/>
  <c r="K298" i="5"/>
  <c r="U281" i="7"/>
  <c r="V281" i="7"/>
  <c r="J282" i="5"/>
  <c r="K282" i="5"/>
  <c r="U265" i="7"/>
  <c r="V265" i="7"/>
  <c r="J266" i="5"/>
  <c r="K266" i="5"/>
  <c r="U249" i="7"/>
  <c r="V249" i="7"/>
  <c r="J250" i="5"/>
  <c r="K250" i="5"/>
  <c r="U233" i="7"/>
  <c r="V233" i="7"/>
  <c r="J234" i="5"/>
  <c r="K234" i="5"/>
  <c r="U217" i="7"/>
  <c r="V217" i="7"/>
  <c r="J218" i="5"/>
  <c r="K218" i="5"/>
  <c r="U201" i="7"/>
  <c r="V201" i="7"/>
  <c r="J202" i="5"/>
  <c r="K202" i="5"/>
  <c r="U185" i="7"/>
  <c r="V185" i="7"/>
  <c r="J186" i="5"/>
  <c r="K186" i="5"/>
  <c r="U169" i="7"/>
  <c r="V169" i="7"/>
  <c r="J170" i="5"/>
  <c r="K170" i="5"/>
  <c r="U153" i="7"/>
  <c r="V153" i="7"/>
  <c r="J154" i="5"/>
  <c r="K154" i="5"/>
  <c r="U137" i="7"/>
  <c r="V137" i="7"/>
  <c r="J138" i="5"/>
  <c r="K138" i="5"/>
  <c r="U121" i="7"/>
  <c r="V121" i="7"/>
  <c r="J122" i="5"/>
  <c r="K122" i="5"/>
  <c r="U105" i="7"/>
  <c r="V105" i="7"/>
  <c r="J106" i="5"/>
  <c r="K106" i="5"/>
  <c r="J1052" i="5"/>
  <c r="K1052" i="5"/>
  <c r="J775" i="5"/>
  <c r="K775" i="5"/>
  <c r="J448" i="5"/>
  <c r="K448" i="5"/>
  <c r="J174" i="5"/>
  <c r="K174" i="5"/>
  <c r="U1020" i="7"/>
  <c r="V1020" i="7"/>
  <c r="J1018" i="5"/>
  <c r="K1018" i="5"/>
  <c r="U935" i="7"/>
  <c r="V935" i="7"/>
  <c r="J933" i="5"/>
  <c r="K933" i="5"/>
  <c r="U887" i="7"/>
  <c r="V887" i="7"/>
  <c r="J885" i="5"/>
  <c r="K885" i="5"/>
  <c r="U765" i="7"/>
  <c r="V765" i="7"/>
  <c r="J766" i="5"/>
  <c r="K766" i="5"/>
  <c r="U541" i="7"/>
  <c r="V541" i="7"/>
  <c r="J542" i="5"/>
  <c r="K542" i="5"/>
  <c r="U524" i="7"/>
  <c r="V524" i="7"/>
  <c r="J525" i="5"/>
  <c r="K525" i="5"/>
  <c r="U476" i="7"/>
  <c r="V476" i="7"/>
  <c r="J477" i="5"/>
  <c r="K477" i="5"/>
  <c r="U444" i="7"/>
  <c r="V444" i="7"/>
  <c r="J445" i="5"/>
  <c r="K445" i="5"/>
  <c r="U412" i="7"/>
  <c r="V412" i="7"/>
  <c r="J413" i="5"/>
  <c r="K413" i="5"/>
  <c r="U380" i="7"/>
  <c r="V380" i="7"/>
  <c r="J381" i="5"/>
  <c r="U348" i="7"/>
  <c r="V348" i="7"/>
  <c r="J349" i="5"/>
  <c r="K349" i="5"/>
  <c r="U316" i="7"/>
  <c r="V316" i="7"/>
  <c r="J317" i="5"/>
  <c r="K317" i="5"/>
  <c r="U300" i="7"/>
  <c r="V300" i="7"/>
  <c r="J301" i="5"/>
  <c r="K301" i="5"/>
  <c r="U252" i="7"/>
  <c r="V252" i="7"/>
  <c r="J253" i="5"/>
  <c r="K253" i="5"/>
  <c r="U220" i="7"/>
  <c r="V220" i="7"/>
  <c r="J221" i="5"/>
  <c r="K221" i="5"/>
  <c r="U188" i="7"/>
  <c r="V188" i="7"/>
  <c r="J189" i="5"/>
  <c r="K189" i="5"/>
  <c r="U156" i="7"/>
  <c r="V156" i="7"/>
  <c r="J157" i="5"/>
  <c r="K157" i="5"/>
  <c r="U124" i="7"/>
  <c r="V124" i="7"/>
  <c r="J125" i="5"/>
  <c r="K125" i="5"/>
  <c r="U1051" i="7"/>
  <c r="V1051" i="7"/>
  <c r="J1049" i="5"/>
  <c r="K1049" i="5"/>
  <c r="U1035" i="7"/>
  <c r="V1035" i="7"/>
  <c r="J1033" i="5"/>
  <c r="K1033" i="5"/>
  <c r="U1016" i="7"/>
  <c r="V1016" i="7"/>
  <c r="J1014" i="5"/>
  <c r="K1014" i="5"/>
  <c r="U999" i="7"/>
  <c r="V999" i="7"/>
  <c r="J997" i="5"/>
  <c r="K997" i="5"/>
  <c r="U979" i="7"/>
  <c r="V979" i="7"/>
  <c r="J977" i="5"/>
  <c r="K977" i="5"/>
  <c r="U963" i="7"/>
  <c r="V963" i="7"/>
  <c r="J961" i="5"/>
  <c r="K961" i="5"/>
  <c r="U947" i="7"/>
  <c r="V947" i="7"/>
  <c r="J945" i="5"/>
  <c r="K945" i="5"/>
  <c r="U931" i="7"/>
  <c r="V931" i="7"/>
  <c r="J929" i="5"/>
  <c r="K929" i="5"/>
  <c r="U915" i="7"/>
  <c r="V915" i="7"/>
  <c r="J913" i="5"/>
  <c r="K913" i="5"/>
  <c r="U899" i="7"/>
  <c r="V899" i="7"/>
  <c r="J897" i="5"/>
  <c r="K897" i="5"/>
  <c r="U883" i="7"/>
  <c r="V883" i="7"/>
  <c r="J881" i="5"/>
  <c r="K881" i="5"/>
  <c r="U867" i="7"/>
  <c r="V867" i="7"/>
  <c r="J865" i="5"/>
  <c r="K865" i="5"/>
  <c r="U851" i="7"/>
  <c r="V851" i="7"/>
  <c r="J849" i="5"/>
  <c r="K849" i="5"/>
  <c r="U835" i="7"/>
  <c r="V835" i="7"/>
  <c r="J833" i="5"/>
  <c r="K833" i="5"/>
  <c r="U813" i="7"/>
  <c r="V813" i="7"/>
  <c r="J811" i="5"/>
  <c r="K811" i="5"/>
  <c r="U794" i="7"/>
  <c r="V794" i="7"/>
  <c r="J794" i="5"/>
  <c r="K794" i="5"/>
  <c r="U777" i="7"/>
  <c r="V777" i="7"/>
  <c r="J778" i="5"/>
  <c r="K778" i="5"/>
  <c r="U761" i="7"/>
  <c r="V761" i="7"/>
  <c r="J762" i="5"/>
  <c r="K762" i="5"/>
  <c r="U745" i="7"/>
  <c r="V745" i="7"/>
  <c r="J746" i="5"/>
  <c r="K746" i="5"/>
  <c r="U729" i="7"/>
  <c r="V729" i="7"/>
  <c r="J730" i="5"/>
  <c r="K730" i="5"/>
  <c r="U713" i="7"/>
  <c r="V713" i="7"/>
  <c r="J714" i="5"/>
  <c r="K714" i="5"/>
  <c r="U697" i="7"/>
  <c r="V697" i="7"/>
  <c r="J698" i="5"/>
  <c r="K698" i="5"/>
  <c r="U681" i="7"/>
  <c r="V681" i="7"/>
  <c r="J682" i="5"/>
  <c r="K682" i="5"/>
  <c r="U665" i="7"/>
  <c r="V665" i="7"/>
  <c r="J666" i="5"/>
  <c r="K666" i="5"/>
  <c r="U649" i="7"/>
  <c r="V649" i="7"/>
  <c r="J650" i="5"/>
  <c r="K650" i="5"/>
  <c r="U633" i="7"/>
  <c r="V633" i="7"/>
  <c r="J634" i="5"/>
  <c r="K634" i="5"/>
  <c r="U617" i="7"/>
  <c r="V617" i="7"/>
  <c r="J618" i="5"/>
  <c r="K618" i="5"/>
  <c r="U601" i="7"/>
  <c r="V601" i="7"/>
  <c r="J602" i="5"/>
  <c r="K602" i="5"/>
  <c r="U585" i="7"/>
  <c r="V585" i="7"/>
  <c r="J586" i="5"/>
  <c r="K586" i="5"/>
  <c r="U569" i="7"/>
  <c r="V569" i="7"/>
  <c r="J570" i="5"/>
  <c r="K570" i="5"/>
  <c r="U553" i="7"/>
  <c r="V553" i="7"/>
  <c r="J554" i="5"/>
  <c r="U537" i="7"/>
  <c r="V537" i="7"/>
  <c r="J538" i="5"/>
  <c r="K538" i="5"/>
  <c r="U520" i="7"/>
  <c r="V520" i="7"/>
  <c r="J521" i="5"/>
  <c r="K521" i="5"/>
  <c r="U504" i="7"/>
  <c r="V504" i="7"/>
  <c r="J505" i="5"/>
  <c r="K505" i="5"/>
  <c r="U488" i="7"/>
  <c r="V488" i="7"/>
  <c r="J489" i="5"/>
  <c r="K489" i="5"/>
  <c r="U472" i="7"/>
  <c r="V472" i="7"/>
  <c r="J473" i="5"/>
  <c r="K473" i="5"/>
  <c r="U456" i="7"/>
  <c r="V456" i="7"/>
  <c r="J457" i="5"/>
  <c r="K457" i="5"/>
  <c r="U440" i="7"/>
  <c r="V440" i="7"/>
  <c r="J441" i="5"/>
  <c r="K441" i="5"/>
  <c r="U424" i="7"/>
  <c r="V424" i="7"/>
  <c r="J425" i="5"/>
  <c r="K425" i="5"/>
  <c r="U408" i="7"/>
  <c r="V408" i="7"/>
  <c r="J409" i="5"/>
  <c r="K409" i="5"/>
  <c r="U392" i="7"/>
  <c r="V392" i="7"/>
  <c r="J393" i="5"/>
  <c r="K393" i="5"/>
  <c r="U376" i="7"/>
  <c r="V376" i="7"/>
  <c r="J377" i="5"/>
  <c r="U360" i="7"/>
  <c r="V360" i="7"/>
  <c r="J361" i="5"/>
  <c r="K361" i="5"/>
  <c r="U344" i="7"/>
  <c r="V344" i="7"/>
  <c r="J345" i="5"/>
  <c r="K345" i="5"/>
  <c r="U328" i="7"/>
  <c r="V328" i="7"/>
  <c r="J329" i="5"/>
  <c r="K329" i="5"/>
  <c r="U312" i="7"/>
  <c r="V312" i="7"/>
  <c r="J313" i="5"/>
  <c r="K313" i="5"/>
  <c r="U296" i="7"/>
  <c r="V296" i="7"/>
  <c r="J297" i="5"/>
  <c r="K297" i="5"/>
  <c r="U280" i="7"/>
  <c r="V280" i="7"/>
  <c r="J281" i="5"/>
  <c r="K281" i="5"/>
  <c r="U264" i="7"/>
  <c r="V264" i="7"/>
  <c r="J265" i="5"/>
  <c r="K265" i="5"/>
  <c r="U248" i="7"/>
  <c r="V248" i="7"/>
  <c r="J249" i="5"/>
  <c r="K249" i="5"/>
  <c r="U232" i="7"/>
  <c r="V232" i="7"/>
  <c r="J233" i="5"/>
  <c r="K233" i="5"/>
  <c r="U216" i="7"/>
  <c r="V216" i="7"/>
  <c r="J217" i="5"/>
  <c r="K217" i="5"/>
  <c r="U200" i="7"/>
  <c r="V200" i="7"/>
  <c r="J201" i="5"/>
  <c r="K201" i="5"/>
  <c r="U184" i="7"/>
  <c r="V184" i="7"/>
  <c r="J185" i="5"/>
  <c r="K185" i="5"/>
  <c r="U168" i="7"/>
  <c r="V168" i="7"/>
  <c r="J169" i="5"/>
  <c r="K169" i="5"/>
  <c r="U152" i="7"/>
  <c r="V152" i="7"/>
  <c r="J153" i="5"/>
  <c r="K153" i="5"/>
  <c r="U120" i="7"/>
  <c r="V120" i="7"/>
  <c r="J121" i="5"/>
  <c r="K121" i="5"/>
  <c r="U104" i="7"/>
  <c r="V104" i="7"/>
  <c r="J105" i="5"/>
  <c r="K105" i="5"/>
  <c r="J639" i="5"/>
  <c r="K639" i="5"/>
  <c r="J432" i="5"/>
  <c r="K432" i="5"/>
  <c r="J295" i="5"/>
  <c r="K295" i="5"/>
  <c r="J137" i="5"/>
  <c r="K137" i="5"/>
  <c r="U590" i="7"/>
  <c r="V590" i="7"/>
  <c r="J591" i="5"/>
  <c r="K591" i="5"/>
  <c r="U542" i="7"/>
  <c r="V542" i="7"/>
  <c r="J543" i="5"/>
  <c r="U477" i="7"/>
  <c r="V477" i="7"/>
  <c r="J478" i="5"/>
  <c r="K478" i="5"/>
  <c r="U461" i="7"/>
  <c r="V461" i="7"/>
  <c r="J462" i="5"/>
  <c r="K462" i="5"/>
  <c r="U429" i="7"/>
  <c r="V429" i="7"/>
  <c r="J430" i="5"/>
  <c r="K430" i="5"/>
  <c r="U365" i="7"/>
  <c r="V365" i="7"/>
  <c r="J366" i="5"/>
  <c r="K366" i="5"/>
  <c r="U109" i="7"/>
  <c r="V109" i="7"/>
  <c r="J110" i="5"/>
  <c r="K110" i="5"/>
  <c r="J1037" i="5"/>
  <c r="K1037" i="5"/>
  <c r="J752" i="5"/>
  <c r="K752" i="5"/>
  <c r="J641" i="5"/>
  <c r="K641" i="5"/>
  <c r="J416" i="5"/>
  <c r="K416" i="5"/>
  <c r="U983" i="7"/>
  <c r="V983" i="7"/>
  <c r="J981" i="5"/>
  <c r="K981" i="5"/>
  <c r="U951" i="7"/>
  <c r="V951" i="7"/>
  <c r="J949" i="5"/>
  <c r="K949" i="5"/>
  <c r="U919" i="7"/>
  <c r="V919" i="7"/>
  <c r="J917" i="5"/>
  <c r="K917" i="5"/>
  <c r="U903" i="7"/>
  <c r="V903" i="7"/>
  <c r="J901" i="5"/>
  <c r="K901" i="5"/>
  <c r="U871" i="7"/>
  <c r="V871" i="7"/>
  <c r="J869" i="5"/>
  <c r="K869" i="5"/>
  <c r="U839" i="7"/>
  <c r="V839" i="7"/>
  <c r="J837" i="5"/>
  <c r="K837" i="5"/>
  <c r="U781" i="7"/>
  <c r="V781" i="7"/>
  <c r="J782" i="5"/>
  <c r="K782" i="5"/>
  <c r="U749" i="7"/>
  <c r="V749" i="7"/>
  <c r="J750" i="5"/>
  <c r="K750" i="5"/>
  <c r="U717" i="7"/>
  <c r="V717" i="7"/>
  <c r="J718" i="5"/>
  <c r="K718" i="5"/>
  <c r="U701" i="7"/>
  <c r="V701" i="7"/>
  <c r="J702" i="5"/>
  <c r="K702" i="5"/>
  <c r="U685" i="7"/>
  <c r="V685" i="7"/>
  <c r="J686" i="5"/>
  <c r="K686" i="5"/>
  <c r="U653" i="7"/>
  <c r="V653" i="7"/>
  <c r="J654" i="5"/>
  <c r="K654" i="5"/>
  <c r="U589" i="7"/>
  <c r="V589" i="7"/>
  <c r="J590" i="5"/>
  <c r="K590" i="5"/>
  <c r="U492" i="7"/>
  <c r="V492" i="7"/>
  <c r="J493" i="5"/>
  <c r="K493" i="5"/>
  <c r="U284" i="7"/>
  <c r="V284" i="7"/>
  <c r="J285" i="5"/>
  <c r="K285" i="5"/>
  <c r="U998" i="7"/>
  <c r="V998" i="7"/>
  <c r="J996" i="5"/>
  <c r="K996" i="5"/>
  <c r="U1049" i="7"/>
  <c r="V1049" i="7"/>
  <c r="J1047" i="5"/>
  <c r="K1047" i="5"/>
  <c r="U1033" i="7"/>
  <c r="V1033" i="7"/>
  <c r="U1014" i="7"/>
  <c r="V1014" i="7"/>
  <c r="J1012" i="5"/>
  <c r="K1012" i="5"/>
  <c r="U997" i="7"/>
  <c r="V997" i="7"/>
  <c r="J995" i="5"/>
  <c r="K995" i="5"/>
  <c r="U977" i="7"/>
  <c r="V977" i="7"/>
  <c r="J975" i="5"/>
  <c r="K975" i="5"/>
  <c r="U961" i="7"/>
  <c r="V961" i="7"/>
  <c r="J959" i="5"/>
  <c r="K959" i="5"/>
  <c r="U945" i="7"/>
  <c r="V945" i="7"/>
  <c r="J943" i="5"/>
  <c r="K943" i="5"/>
  <c r="U929" i="7"/>
  <c r="V929" i="7"/>
  <c r="J927" i="5"/>
  <c r="K927" i="5"/>
  <c r="U913" i="7"/>
  <c r="V913" i="7"/>
  <c r="J911" i="5"/>
  <c r="K911" i="5"/>
  <c r="U810" i="7"/>
  <c r="V810" i="7"/>
  <c r="J808" i="5"/>
  <c r="K808" i="5"/>
  <c r="U792" i="7"/>
  <c r="V792" i="7"/>
  <c r="J792" i="5"/>
  <c r="K792" i="5"/>
  <c r="U775" i="7"/>
  <c r="V775" i="7"/>
  <c r="J776" i="5"/>
  <c r="K776" i="5"/>
  <c r="U759" i="7"/>
  <c r="V759" i="7"/>
  <c r="J760" i="5"/>
  <c r="K760" i="5"/>
  <c r="U743" i="7"/>
  <c r="V743" i="7"/>
  <c r="J744" i="5"/>
  <c r="K744" i="5"/>
  <c r="U727" i="7"/>
  <c r="V727" i="7"/>
  <c r="J728" i="5"/>
  <c r="K728" i="5"/>
  <c r="U711" i="7"/>
  <c r="V711" i="7"/>
  <c r="J712" i="5"/>
  <c r="K712" i="5"/>
  <c r="U695" i="7"/>
  <c r="V695" i="7"/>
  <c r="J696" i="5"/>
  <c r="K696" i="5"/>
  <c r="U679" i="7"/>
  <c r="V679" i="7"/>
  <c r="J680" i="5"/>
  <c r="K680" i="5"/>
  <c r="U663" i="7"/>
  <c r="V663" i="7"/>
  <c r="J664" i="5"/>
  <c r="K664" i="5"/>
  <c r="U647" i="7"/>
  <c r="V647" i="7"/>
  <c r="J648" i="5"/>
  <c r="K648" i="5"/>
  <c r="U631" i="7"/>
  <c r="V631" i="7"/>
  <c r="J632" i="5"/>
  <c r="K632" i="5"/>
  <c r="U615" i="7"/>
  <c r="V615" i="7"/>
  <c r="J616" i="5"/>
  <c r="K616" i="5"/>
  <c r="U599" i="7"/>
  <c r="V599" i="7"/>
  <c r="J600" i="5"/>
  <c r="K600" i="5"/>
  <c r="U583" i="7"/>
  <c r="V583" i="7"/>
  <c r="J584" i="5"/>
  <c r="K584" i="5"/>
  <c r="U567" i="7"/>
  <c r="V567" i="7"/>
  <c r="J568" i="5"/>
  <c r="K568" i="5"/>
  <c r="U551" i="7"/>
  <c r="V551" i="7"/>
  <c r="J552" i="5"/>
  <c r="U534" i="7"/>
  <c r="V534" i="7"/>
  <c r="J535" i="5"/>
  <c r="K535" i="5"/>
  <c r="U518" i="7"/>
  <c r="V518" i="7"/>
  <c r="J519" i="5"/>
  <c r="K519" i="5"/>
  <c r="U502" i="7"/>
  <c r="V502" i="7"/>
  <c r="J503" i="5"/>
  <c r="K503" i="5"/>
  <c r="U486" i="7"/>
  <c r="V486" i="7"/>
  <c r="J487" i="5"/>
  <c r="K487" i="5"/>
  <c r="U470" i="7"/>
  <c r="V470" i="7"/>
  <c r="J471" i="5"/>
  <c r="K471" i="5"/>
  <c r="U454" i="7"/>
  <c r="V454" i="7"/>
  <c r="J455" i="5"/>
  <c r="K455" i="5"/>
  <c r="U438" i="7"/>
  <c r="V438" i="7"/>
  <c r="J439" i="5"/>
  <c r="K439" i="5"/>
  <c r="U422" i="7"/>
  <c r="V422" i="7"/>
  <c r="J423" i="5"/>
  <c r="K423" i="5"/>
  <c r="U406" i="7"/>
  <c r="V406" i="7"/>
  <c r="J407" i="5"/>
  <c r="K407" i="5"/>
  <c r="U390" i="7"/>
  <c r="V390" i="7"/>
  <c r="J391" i="5"/>
  <c r="K391" i="5"/>
  <c r="U374" i="7"/>
  <c r="V374" i="7"/>
  <c r="J375" i="5"/>
  <c r="U358" i="7"/>
  <c r="V358" i="7"/>
  <c r="J359" i="5"/>
  <c r="K359" i="5"/>
  <c r="U342" i="7"/>
  <c r="V342" i="7"/>
  <c r="J343" i="5"/>
  <c r="K343" i="5"/>
  <c r="U326" i="7"/>
  <c r="V326" i="7"/>
  <c r="J327" i="5"/>
  <c r="K327" i="5"/>
  <c r="U310" i="7"/>
  <c r="V310" i="7"/>
  <c r="J311" i="5"/>
  <c r="K311" i="5"/>
  <c r="U278" i="7"/>
  <c r="V278" i="7"/>
  <c r="J279" i="5"/>
  <c r="K279" i="5"/>
  <c r="U262" i="7"/>
  <c r="V262" i="7"/>
  <c r="J263" i="5"/>
  <c r="K263" i="5"/>
  <c r="U246" i="7"/>
  <c r="V246" i="7"/>
  <c r="J247" i="5"/>
  <c r="K247" i="5"/>
  <c r="U230" i="7"/>
  <c r="V230" i="7"/>
  <c r="J231" i="5"/>
  <c r="K231" i="5"/>
  <c r="U214" i="7"/>
  <c r="V214" i="7"/>
  <c r="J215" i="5"/>
  <c r="K215" i="5"/>
  <c r="U198" i="7"/>
  <c r="V198" i="7"/>
  <c r="J199" i="5"/>
  <c r="K199" i="5"/>
  <c r="U182" i="7"/>
  <c r="V182" i="7"/>
  <c r="J183" i="5"/>
  <c r="K183" i="5"/>
  <c r="U166" i="7"/>
  <c r="V166" i="7"/>
  <c r="J167" i="5"/>
  <c r="K167" i="5"/>
  <c r="U150" i="7"/>
  <c r="V150" i="7"/>
  <c r="J151" i="5"/>
  <c r="K151" i="5"/>
  <c r="U134" i="7"/>
  <c r="V134" i="7"/>
  <c r="J135" i="5"/>
  <c r="K135" i="5"/>
  <c r="U118" i="7"/>
  <c r="V118" i="7"/>
  <c r="J119" i="5"/>
  <c r="K119" i="5"/>
  <c r="U102" i="7"/>
  <c r="V102" i="7"/>
  <c r="J103" i="5"/>
  <c r="K103" i="5"/>
  <c r="J400" i="5"/>
  <c r="K400" i="5"/>
  <c r="U782" i="7"/>
  <c r="V782" i="7"/>
  <c r="J783" i="5"/>
  <c r="K783" i="5"/>
  <c r="U967" i="7"/>
  <c r="V967" i="7"/>
  <c r="J965" i="5"/>
  <c r="K965" i="5"/>
  <c r="U855" i="7"/>
  <c r="V855" i="7"/>
  <c r="J853" i="5"/>
  <c r="K853" i="5"/>
  <c r="U637" i="7"/>
  <c r="V637" i="7"/>
  <c r="J638" i="5"/>
  <c r="K638" i="5"/>
  <c r="U573" i="7"/>
  <c r="V573" i="7"/>
  <c r="J574" i="5"/>
  <c r="K574" i="5"/>
  <c r="U557" i="7"/>
  <c r="V557" i="7"/>
  <c r="J558" i="5"/>
  <c r="U508" i="7"/>
  <c r="V508" i="7"/>
  <c r="J509" i="5"/>
  <c r="K509" i="5"/>
  <c r="U460" i="7"/>
  <c r="V460" i="7"/>
  <c r="J461" i="5"/>
  <c r="K461" i="5"/>
  <c r="U428" i="7"/>
  <c r="V428" i="7"/>
  <c r="J429" i="5"/>
  <c r="K429" i="5"/>
  <c r="U396" i="7"/>
  <c r="V396" i="7"/>
  <c r="J397" i="5"/>
  <c r="K397" i="5"/>
  <c r="U364" i="7"/>
  <c r="V364" i="7"/>
  <c r="J365" i="5"/>
  <c r="K365" i="5"/>
  <c r="U332" i="7"/>
  <c r="V332" i="7"/>
  <c r="J333" i="5"/>
  <c r="K333" i="5"/>
  <c r="U268" i="7"/>
  <c r="V268" i="7"/>
  <c r="J269" i="5"/>
  <c r="K269" i="5"/>
  <c r="U236" i="7"/>
  <c r="V236" i="7"/>
  <c r="J237" i="5"/>
  <c r="K237" i="5"/>
  <c r="U204" i="7"/>
  <c r="V204" i="7"/>
  <c r="J205" i="5"/>
  <c r="K205" i="5"/>
  <c r="U172" i="7"/>
  <c r="V172" i="7"/>
  <c r="J173" i="5"/>
  <c r="K173" i="5"/>
  <c r="U140" i="7"/>
  <c r="V140" i="7"/>
  <c r="J141" i="5"/>
  <c r="K141" i="5"/>
  <c r="U108" i="7"/>
  <c r="V108" i="7"/>
  <c r="J109" i="5"/>
  <c r="K109" i="5"/>
  <c r="U1050" i="7"/>
  <c r="V1050" i="7"/>
  <c r="F1051" i="5"/>
  <c r="J1048" i="5"/>
  <c r="K1048" i="5"/>
  <c r="U1034" i="7"/>
  <c r="V1034" i="7"/>
  <c r="F1035" i="5"/>
  <c r="J1032" i="5"/>
  <c r="K1032" i="5"/>
  <c r="U1015" i="7"/>
  <c r="V1015" i="7"/>
  <c r="J1013" i="5"/>
  <c r="K1013" i="5"/>
  <c r="U978" i="7"/>
  <c r="V978" i="7"/>
  <c r="J976" i="5"/>
  <c r="K976" i="5"/>
  <c r="U962" i="7"/>
  <c r="V962" i="7"/>
  <c r="J960" i="5"/>
  <c r="K960" i="5"/>
  <c r="U946" i="7"/>
  <c r="V946" i="7"/>
  <c r="J944" i="5"/>
  <c r="K944" i="5"/>
  <c r="U930" i="7"/>
  <c r="V930" i="7"/>
  <c r="J928" i="5"/>
  <c r="K928" i="5"/>
  <c r="U914" i="7"/>
  <c r="V914" i="7"/>
  <c r="J912" i="5"/>
  <c r="K912" i="5"/>
  <c r="U898" i="7"/>
  <c r="V898" i="7"/>
  <c r="J896" i="5"/>
  <c r="K896" i="5"/>
  <c r="U882" i="7"/>
  <c r="V882" i="7"/>
  <c r="J880" i="5"/>
  <c r="K880" i="5"/>
  <c r="U866" i="7"/>
  <c r="V866" i="7"/>
  <c r="J864" i="5"/>
  <c r="K864" i="5"/>
  <c r="U850" i="7"/>
  <c r="V850" i="7"/>
  <c r="J848" i="5"/>
  <c r="K848" i="5"/>
  <c r="U834" i="7"/>
  <c r="V834" i="7"/>
  <c r="J832" i="5"/>
  <c r="K832" i="5"/>
  <c r="U812" i="7"/>
  <c r="V812" i="7"/>
  <c r="U793" i="7"/>
  <c r="V793" i="7"/>
  <c r="J793" i="5"/>
  <c r="K793" i="5"/>
  <c r="U776" i="7"/>
  <c r="V776" i="7"/>
  <c r="J777" i="5"/>
  <c r="K777" i="5"/>
  <c r="U760" i="7"/>
  <c r="V760" i="7"/>
  <c r="J761" i="5"/>
  <c r="K761" i="5"/>
  <c r="U744" i="7"/>
  <c r="V744" i="7"/>
  <c r="J745" i="5"/>
  <c r="U728" i="7"/>
  <c r="V728" i="7"/>
  <c r="J729" i="5"/>
  <c r="K729" i="5"/>
  <c r="U712" i="7"/>
  <c r="V712" i="7"/>
  <c r="J713" i="5"/>
  <c r="K713" i="5"/>
  <c r="U696" i="7"/>
  <c r="V696" i="7"/>
  <c r="J697" i="5"/>
  <c r="K697" i="5"/>
  <c r="U680" i="7"/>
  <c r="V680" i="7"/>
  <c r="J681" i="5"/>
  <c r="K681" i="5"/>
  <c r="U664" i="7"/>
  <c r="V664" i="7"/>
  <c r="J665" i="5"/>
  <c r="K665" i="5"/>
  <c r="U648" i="7"/>
  <c r="V648" i="7"/>
  <c r="J649" i="5"/>
  <c r="K649" i="5"/>
  <c r="U632" i="7"/>
  <c r="V632" i="7"/>
  <c r="J633" i="5"/>
  <c r="K633" i="5"/>
  <c r="U616" i="7"/>
  <c r="V616" i="7"/>
  <c r="J617" i="5"/>
  <c r="K617" i="5"/>
  <c r="U600" i="7"/>
  <c r="V600" i="7"/>
  <c r="J601" i="5"/>
  <c r="K601" i="5"/>
  <c r="U584" i="7"/>
  <c r="V584" i="7"/>
  <c r="J585" i="5"/>
  <c r="K585" i="5"/>
  <c r="U568" i="7"/>
  <c r="V568" i="7"/>
  <c r="J569" i="5"/>
  <c r="K569" i="5"/>
  <c r="U552" i="7"/>
  <c r="V552" i="7"/>
  <c r="J553" i="5"/>
  <c r="U535" i="7"/>
  <c r="V535" i="7"/>
  <c r="J536" i="5"/>
  <c r="K536" i="5"/>
  <c r="U519" i="7"/>
  <c r="V519" i="7"/>
  <c r="J520" i="5"/>
  <c r="K520" i="5"/>
  <c r="U503" i="7"/>
  <c r="V503" i="7"/>
  <c r="J504" i="5"/>
  <c r="K504" i="5"/>
  <c r="U487" i="7"/>
  <c r="V487" i="7"/>
  <c r="J488" i="5"/>
  <c r="K488" i="5"/>
  <c r="U471" i="7"/>
  <c r="V471" i="7"/>
  <c r="J472" i="5"/>
  <c r="K472" i="5"/>
  <c r="U455" i="7"/>
  <c r="V455" i="7"/>
  <c r="J456" i="5"/>
  <c r="K456" i="5"/>
  <c r="U439" i="7"/>
  <c r="V439" i="7"/>
  <c r="J440" i="5"/>
  <c r="K440" i="5"/>
  <c r="U423" i="7"/>
  <c r="V423" i="7"/>
  <c r="J424" i="5"/>
  <c r="K424" i="5"/>
  <c r="U407" i="7"/>
  <c r="V407" i="7"/>
  <c r="J408" i="5"/>
  <c r="K408" i="5"/>
  <c r="U391" i="7"/>
  <c r="V391" i="7"/>
  <c r="J392" i="5"/>
  <c r="K392" i="5"/>
  <c r="U375" i="7"/>
  <c r="V375" i="7"/>
  <c r="J376" i="5"/>
  <c r="U359" i="7"/>
  <c r="V359" i="7"/>
  <c r="J360" i="5"/>
  <c r="K360" i="5"/>
  <c r="U343" i="7"/>
  <c r="V343" i="7"/>
  <c r="J344" i="5"/>
  <c r="K344" i="5"/>
  <c r="U327" i="7"/>
  <c r="V327" i="7"/>
  <c r="J328" i="5"/>
  <c r="K328" i="5"/>
  <c r="U311" i="7"/>
  <c r="V311" i="7"/>
  <c r="J312" i="5"/>
  <c r="K312" i="5"/>
  <c r="U295" i="7"/>
  <c r="V295" i="7"/>
  <c r="J296" i="5"/>
  <c r="K296" i="5"/>
  <c r="U279" i="7"/>
  <c r="V279" i="7"/>
  <c r="J280" i="5"/>
  <c r="K280" i="5"/>
  <c r="U263" i="7"/>
  <c r="V263" i="7"/>
  <c r="J264" i="5"/>
  <c r="K264" i="5"/>
  <c r="U247" i="7"/>
  <c r="V247" i="7"/>
  <c r="J248" i="5"/>
  <c r="K248" i="5"/>
  <c r="U231" i="7"/>
  <c r="V231" i="7"/>
  <c r="J232" i="5"/>
  <c r="K232" i="5"/>
  <c r="U215" i="7"/>
  <c r="V215" i="7"/>
  <c r="J216" i="5"/>
  <c r="K216" i="5"/>
  <c r="U199" i="7"/>
  <c r="V199" i="7"/>
  <c r="J200" i="5"/>
  <c r="K200" i="5"/>
  <c r="U183" i="7"/>
  <c r="V183" i="7"/>
  <c r="J184" i="5"/>
  <c r="K184" i="5"/>
  <c r="U167" i="7"/>
  <c r="V167" i="7"/>
  <c r="J168" i="5"/>
  <c r="K168" i="5"/>
  <c r="U151" i="7"/>
  <c r="V151" i="7"/>
  <c r="J152" i="5"/>
  <c r="K152" i="5"/>
  <c r="U135" i="7"/>
  <c r="V135" i="7"/>
  <c r="J136" i="5"/>
  <c r="K136" i="5"/>
  <c r="U119" i="7"/>
  <c r="V119" i="7"/>
  <c r="J120" i="5"/>
  <c r="K120" i="5"/>
  <c r="U103" i="7"/>
  <c r="V103" i="7"/>
  <c r="J104" i="5"/>
  <c r="K104" i="5"/>
  <c r="U1013" i="7"/>
  <c r="V1013" i="7"/>
  <c r="J1011" i="5"/>
  <c r="K1011" i="5"/>
  <c r="U996" i="7"/>
  <c r="V996" i="7"/>
  <c r="J994" i="5"/>
  <c r="K994" i="5"/>
  <c r="U976" i="7"/>
  <c r="V976" i="7"/>
  <c r="J974" i="5"/>
  <c r="K974" i="5"/>
  <c r="U960" i="7"/>
  <c r="V960" i="7"/>
  <c r="J958" i="5"/>
  <c r="K958" i="5"/>
  <c r="U944" i="7"/>
  <c r="V944" i="7"/>
  <c r="J942" i="5"/>
  <c r="K942" i="5"/>
  <c r="U928" i="7"/>
  <c r="V928" i="7"/>
  <c r="J926" i="5"/>
  <c r="K926" i="5"/>
  <c r="U912" i="7"/>
  <c r="V912" i="7"/>
  <c r="J910" i="5"/>
  <c r="K910" i="5"/>
  <c r="U896" i="7"/>
  <c r="V896" i="7"/>
  <c r="J894" i="5"/>
  <c r="K894" i="5"/>
  <c r="U880" i="7"/>
  <c r="V880" i="7"/>
  <c r="J878" i="5"/>
  <c r="K878" i="5"/>
  <c r="U864" i="7"/>
  <c r="V864" i="7"/>
  <c r="J862" i="5"/>
  <c r="K862" i="5"/>
  <c r="U848" i="7"/>
  <c r="V848" i="7"/>
  <c r="J846" i="5"/>
  <c r="K846" i="5"/>
  <c r="U832" i="7"/>
  <c r="V832" i="7"/>
  <c r="J830" i="5"/>
  <c r="K830" i="5"/>
  <c r="U809" i="7"/>
  <c r="V809" i="7"/>
  <c r="J807" i="5"/>
  <c r="K807" i="5"/>
  <c r="U790" i="7"/>
  <c r="V790" i="7"/>
  <c r="J791" i="5"/>
  <c r="K791" i="5"/>
  <c r="U758" i="7"/>
  <c r="V758" i="7"/>
  <c r="J759" i="5"/>
  <c r="K759" i="5"/>
  <c r="U742" i="7"/>
  <c r="V742" i="7"/>
  <c r="J743" i="5"/>
  <c r="K743" i="5"/>
  <c r="U726" i="7"/>
  <c r="V726" i="7"/>
  <c r="J727" i="5"/>
  <c r="K727" i="5"/>
  <c r="U710" i="7"/>
  <c r="V710" i="7"/>
  <c r="J711" i="5"/>
  <c r="K711" i="5"/>
  <c r="U694" i="7"/>
  <c r="V694" i="7"/>
  <c r="J695" i="5"/>
  <c r="K695" i="5"/>
  <c r="U678" i="7"/>
  <c r="V678" i="7"/>
  <c r="J679" i="5"/>
  <c r="K679" i="5"/>
  <c r="U662" i="7"/>
  <c r="V662" i="7"/>
  <c r="J663" i="5"/>
  <c r="K663" i="5"/>
  <c r="U646" i="7"/>
  <c r="V646" i="7"/>
  <c r="J647" i="5"/>
  <c r="K647" i="5"/>
  <c r="U630" i="7"/>
  <c r="V630" i="7"/>
  <c r="J631" i="5"/>
  <c r="K631" i="5"/>
  <c r="U614" i="7"/>
  <c r="V614" i="7"/>
  <c r="J615" i="5"/>
  <c r="K615" i="5"/>
  <c r="U598" i="7"/>
  <c r="V598" i="7"/>
  <c r="J599" i="5"/>
  <c r="K599" i="5"/>
  <c r="U582" i="7"/>
  <c r="V582" i="7"/>
  <c r="J583" i="5"/>
  <c r="K583" i="5"/>
  <c r="U566" i="7"/>
  <c r="V566" i="7"/>
  <c r="J567" i="5"/>
  <c r="K567" i="5"/>
  <c r="U550" i="7"/>
  <c r="V550" i="7"/>
  <c r="J551" i="5"/>
  <c r="U533" i="7"/>
  <c r="V533" i="7"/>
  <c r="J534" i="5"/>
  <c r="K534" i="5"/>
  <c r="U517" i="7"/>
  <c r="V517" i="7"/>
  <c r="J518" i="5"/>
  <c r="K518" i="5"/>
  <c r="U501" i="7"/>
  <c r="V501" i="7"/>
  <c r="J502" i="5"/>
  <c r="K502" i="5"/>
  <c r="U485" i="7"/>
  <c r="V485" i="7"/>
  <c r="J486" i="5"/>
  <c r="K486" i="5"/>
  <c r="U469" i="7"/>
  <c r="V469" i="7"/>
  <c r="J470" i="5"/>
  <c r="K470" i="5"/>
  <c r="U453" i="7"/>
  <c r="V453" i="7"/>
  <c r="J454" i="5"/>
  <c r="K454" i="5"/>
  <c r="U437" i="7"/>
  <c r="V437" i="7"/>
  <c r="J438" i="5"/>
  <c r="K438" i="5"/>
  <c r="U421" i="7"/>
  <c r="V421" i="7"/>
  <c r="J422" i="5"/>
  <c r="K422" i="5"/>
  <c r="U405" i="7"/>
  <c r="V405" i="7"/>
  <c r="J406" i="5"/>
  <c r="K406" i="5"/>
  <c r="U389" i="7"/>
  <c r="V389" i="7"/>
  <c r="J390" i="5"/>
  <c r="U373" i="7"/>
  <c r="V373" i="7"/>
  <c r="J374" i="5"/>
  <c r="U357" i="7"/>
  <c r="V357" i="7"/>
  <c r="J358" i="5"/>
  <c r="K358" i="5"/>
  <c r="U341" i="7"/>
  <c r="V341" i="7"/>
  <c r="J342" i="5"/>
  <c r="K342" i="5"/>
  <c r="U325" i="7"/>
  <c r="V325" i="7"/>
  <c r="J326" i="5"/>
  <c r="K326" i="5"/>
  <c r="U309" i="7"/>
  <c r="V309" i="7"/>
  <c r="J310" i="5"/>
  <c r="K310" i="5"/>
  <c r="U293" i="7"/>
  <c r="V293" i="7"/>
  <c r="J294" i="5"/>
  <c r="K294" i="5"/>
  <c r="U277" i="7"/>
  <c r="V277" i="7"/>
  <c r="J278" i="5"/>
  <c r="K278" i="5"/>
  <c r="U261" i="7"/>
  <c r="V261" i="7"/>
  <c r="J262" i="5"/>
  <c r="K262" i="5"/>
  <c r="U245" i="7"/>
  <c r="V245" i="7"/>
  <c r="J246" i="5"/>
  <c r="K246" i="5"/>
  <c r="U229" i="7"/>
  <c r="V229" i="7"/>
  <c r="J230" i="5"/>
  <c r="K230" i="5"/>
  <c r="U213" i="7"/>
  <c r="V213" i="7"/>
  <c r="J214" i="5"/>
  <c r="K214" i="5"/>
  <c r="U197" i="7"/>
  <c r="V197" i="7"/>
  <c r="J198" i="5"/>
  <c r="K198" i="5"/>
  <c r="U181" i="7"/>
  <c r="V181" i="7"/>
  <c r="J182" i="5"/>
  <c r="K182" i="5"/>
  <c r="U165" i="7"/>
  <c r="V165" i="7"/>
  <c r="J166" i="5"/>
  <c r="K166" i="5"/>
  <c r="U149" i="7"/>
  <c r="V149" i="7"/>
  <c r="J150" i="5"/>
  <c r="K150" i="5"/>
  <c r="U133" i="7"/>
  <c r="V133" i="7"/>
  <c r="J134" i="5"/>
  <c r="K134" i="5"/>
  <c r="U117" i="7"/>
  <c r="V117" i="7"/>
  <c r="J118" i="5"/>
  <c r="K118" i="5"/>
  <c r="J384" i="5"/>
  <c r="U984" i="7"/>
  <c r="V984" i="7"/>
  <c r="J982" i="5"/>
  <c r="K982" i="5"/>
  <c r="U952" i="7"/>
  <c r="V952" i="7"/>
  <c r="J950" i="5"/>
  <c r="K950" i="5"/>
  <c r="U920" i="7"/>
  <c r="V920" i="7"/>
  <c r="J918" i="5"/>
  <c r="K918" i="5"/>
  <c r="U888" i="7"/>
  <c r="V888" i="7"/>
  <c r="J886" i="5"/>
  <c r="K886" i="5"/>
  <c r="U856" i="7"/>
  <c r="V856" i="7"/>
  <c r="J854" i="5"/>
  <c r="K854" i="5"/>
  <c r="U766" i="7"/>
  <c r="V766" i="7"/>
  <c r="J767" i="5"/>
  <c r="K767" i="5"/>
  <c r="U525" i="7"/>
  <c r="V525" i="7"/>
  <c r="J526" i="5"/>
  <c r="K526" i="5"/>
  <c r="J1044" i="5"/>
  <c r="K1044" i="5"/>
  <c r="J368" i="5"/>
  <c r="K368" i="5"/>
  <c r="J1034" i="5"/>
  <c r="K1034" i="5"/>
  <c r="J670" i="5"/>
  <c r="K670" i="5"/>
  <c r="J352" i="5"/>
  <c r="K352" i="5"/>
  <c r="U936" i="7"/>
  <c r="V936" i="7"/>
  <c r="J934" i="5"/>
  <c r="K934" i="5"/>
  <c r="U670" i="7"/>
  <c r="V670" i="7"/>
  <c r="J671" i="5"/>
  <c r="K671" i="5"/>
  <c r="U654" i="7"/>
  <c r="V654" i="7"/>
  <c r="J655" i="5"/>
  <c r="K655" i="5"/>
  <c r="U606" i="7"/>
  <c r="V606" i="7"/>
  <c r="J607" i="5"/>
  <c r="K607" i="5"/>
  <c r="U574" i="7"/>
  <c r="V574" i="7"/>
  <c r="J575" i="5"/>
  <c r="K575" i="5"/>
  <c r="U558" i="7"/>
  <c r="V558" i="7"/>
  <c r="J559" i="5"/>
  <c r="U493" i="7"/>
  <c r="V493" i="7"/>
  <c r="J494" i="5"/>
  <c r="K494" i="5"/>
  <c r="U445" i="7"/>
  <c r="V445" i="7"/>
  <c r="J446" i="5"/>
  <c r="K446" i="5"/>
  <c r="U413" i="7"/>
  <c r="V413" i="7"/>
  <c r="J414" i="5"/>
  <c r="K414" i="5"/>
  <c r="U381" i="7"/>
  <c r="V381" i="7"/>
  <c r="J382" i="5"/>
  <c r="U349" i="7"/>
  <c r="V349" i="7"/>
  <c r="J350" i="5"/>
  <c r="K350" i="5"/>
  <c r="U333" i="7"/>
  <c r="V333" i="7"/>
  <c r="J334" i="5"/>
  <c r="K334" i="5"/>
  <c r="U317" i="7"/>
  <c r="V317" i="7"/>
  <c r="J318" i="5"/>
  <c r="K318" i="5"/>
  <c r="U301" i="7"/>
  <c r="V301" i="7"/>
  <c r="J302" i="5"/>
  <c r="K302" i="5"/>
  <c r="U141" i="7"/>
  <c r="V141" i="7"/>
  <c r="J142" i="5"/>
  <c r="K142" i="5"/>
  <c r="U1012" i="7"/>
  <c r="V1012" i="7"/>
  <c r="J1010" i="5"/>
  <c r="K1010" i="5"/>
  <c r="U995" i="7"/>
  <c r="V995" i="7"/>
  <c r="J993" i="5"/>
  <c r="K993" i="5"/>
  <c r="U975" i="7"/>
  <c r="V975" i="7"/>
  <c r="J973" i="5"/>
  <c r="K973" i="5"/>
  <c r="U959" i="7"/>
  <c r="V959" i="7"/>
  <c r="J957" i="5"/>
  <c r="K957" i="5"/>
  <c r="U943" i="7"/>
  <c r="V943" i="7"/>
  <c r="J941" i="5"/>
  <c r="K941" i="5"/>
  <c r="U927" i="7"/>
  <c r="V927" i="7"/>
  <c r="J925" i="5"/>
  <c r="K925" i="5"/>
  <c r="U911" i="7"/>
  <c r="V911" i="7"/>
  <c r="J909" i="5"/>
  <c r="K909" i="5"/>
  <c r="U895" i="7"/>
  <c r="V895" i="7"/>
  <c r="J893" i="5"/>
  <c r="K893" i="5"/>
  <c r="U879" i="7"/>
  <c r="V879" i="7"/>
  <c r="J877" i="5"/>
  <c r="K877" i="5"/>
  <c r="U863" i="7"/>
  <c r="V863" i="7"/>
  <c r="J861" i="5"/>
  <c r="K861" i="5"/>
  <c r="U847" i="7"/>
  <c r="V847" i="7"/>
  <c r="J845" i="5"/>
  <c r="K845" i="5"/>
  <c r="U831" i="7"/>
  <c r="V831" i="7"/>
  <c r="U808" i="7"/>
  <c r="V808" i="7"/>
  <c r="J806" i="5"/>
  <c r="K806" i="5"/>
  <c r="U789" i="7"/>
  <c r="V789" i="7"/>
  <c r="J790" i="5"/>
  <c r="K790" i="5"/>
  <c r="U773" i="7"/>
  <c r="V773" i="7"/>
  <c r="J774" i="5"/>
  <c r="K774" i="5"/>
  <c r="U757" i="7"/>
  <c r="V757" i="7"/>
  <c r="J758" i="5"/>
  <c r="K758" i="5"/>
  <c r="U741" i="7"/>
  <c r="V741" i="7"/>
  <c r="J742" i="5"/>
  <c r="K742" i="5"/>
  <c r="U725" i="7"/>
  <c r="V725" i="7"/>
  <c r="J726" i="5"/>
  <c r="K726" i="5"/>
  <c r="U709" i="7"/>
  <c r="V709" i="7"/>
  <c r="J710" i="5"/>
  <c r="K710" i="5"/>
  <c r="U693" i="7"/>
  <c r="V693" i="7"/>
  <c r="J694" i="5"/>
  <c r="K694" i="5"/>
  <c r="U677" i="7"/>
  <c r="V677" i="7"/>
  <c r="J678" i="5"/>
  <c r="K678" i="5"/>
  <c r="U661" i="7"/>
  <c r="V661" i="7"/>
  <c r="J662" i="5"/>
  <c r="K662" i="5"/>
  <c r="U645" i="7"/>
  <c r="V645" i="7"/>
  <c r="J646" i="5"/>
  <c r="K646" i="5"/>
  <c r="U629" i="7"/>
  <c r="V629" i="7"/>
  <c r="J630" i="5"/>
  <c r="K630" i="5"/>
  <c r="U613" i="7"/>
  <c r="V613" i="7"/>
  <c r="J614" i="5"/>
  <c r="K614" i="5"/>
  <c r="U597" i="7"/>
  <c r="V597" i="7"/>
  <c r="J598" i="5"/>
  <c r="K598" i="5"/>
  <c r="U581" i="7"/>
  <c r="V581" i="7"/>
  <c r="J582" i="5"/>
  <c r="K582" i="5"/>
  <c r="U565" i="7"/>
  <c r="V565" i="7"/>
  <c r="J566" i="5"/>
  <c r="K566" i="5"/>
  <c r="U549" i="7"/>
  <c r="V549" i="7"/>
  <c r="J550" i="5"/>
  <c r="U532" i="7"/>
  <c r="V532" i="7"/>
  <c r="J533" i="5"/>
  <c r="K533" i="5"/>
  <c r="U516" i="7"/>
  <c r="V516" i="7"/>
  <c r="J517" i="5"/>
  <c r="K517" i="5"/>
  <c r="U500" i="7"/>
  <c r="V500" i="7"/>
  <c r="J501" i="5"/>
  <c r="K501" i="5"/>
  <c r="U484" i="7"/>
  <c r="V484" i="7"/>
  <c r="J485" i="5"/>
  <c r="K485" i="5"/>
  <c r="U468" i="7"/>
  <c r="V468" i="7"/>
  <c r="J469" i="5"/>
  <c r="K469" i="5"/>
  <c r="U452" i="7"/>
  <c r="V452" i="7"/>
  <c r="J453" i="5"/>
  <c r="K453" i="5"/>
  <c r="U436" i="7"/>
  <c r="V436" i="7"/>
  <c r="J437" i="5"/>
  <c r="K437" i="5"/>
  <c r="U420" i="7"/>
  <c r="V420" i="7"/>
  <c r="J421" i="5"/>
  <c r="K421" i="5"/>
  <c r="U404" i="7"/>
  <c r="V404" i="7"/>
  <c r="J405" i="5"/>
  <c r="K405" i="5"/>
  <c r="U388" i="7"/>
  <c r="V388" i="7"/>
  <c r="J389" i="5"/>
  <c r="U372" i="7"/>
  <c r="V372" i="7"/>
  <c r="J373" i="5"/>
  <c r="U356" i="7"/>
  <c r="V356" i="7"/>
  <c r="J357" i="5"/>
  <c r="K357" i="5"/>
  <c r="U340" i="7"/>
  <c r="V340" i="7"/>
  <c r="J341" i="5"/>
  <c r="K341" i="5"/>
  <c r="U324" i="7"/>
  <c r="V324" i="7"/>
  <c r="J325" i="5"/>
  <c r="K325" i="5"/>
  <c r="U308" i="7"/>
  <c r="V308" i="7"/>
  <c r="J309" i="5"/>
  <c r="K309" i="5"/>
  <c r="U292" i="7"/>
  <c r="V292" i="7"/>
  <c r="J293" i="5"/>
  <c r="K293" i="5"/>
  <c r="U276" i="7"/>
  <c r="V276" i="7"/>
  <c r="J277" i="5"/>
  <c r="K277" i="5"/>
  <c r="U260" i="7"/>
  <c r="V260" i="7"/>
  <c r="J261" i="5"/>
  <c r="K261" i="5"/>
  <c r="U244" i="7"/>
  <c r="V244" i="7"/>
  <c r="J245" i="5"/>
  <c r="K245" i="5"/>
  <c r="U228" i="7"/>
  <c r="V228" i="7"/>
  <c r="J229" i="5"/>
  <c r="K229" i="5"/>
  <c r="U212" i="7"/>
  <c r="V212" i="7"/>
  <c r="J213" i="5"/>
  <c r="K213" i="5"/>
  <c r="U196" i="7"/>
  <c r="V196" i="7"/>
  <c r="J197" i="5"/>
  <c r="K197" i="5"/>
  <c r="U180" i="7"/>
  <c r="V180" i="7"/>
  <c r="J181" i="5"/>
  <c r="K181" i="5"/>
  <c r="U164" i="7"/>
  <c r="V164" i="7"/>
  <c r="J165" i="5"/>
  <c r="K165" i="5"/>
  <c r="U148" i="7"/>
  <c r="V148" i="7"/>
  <c r="J149" i="5"/>
  <c r="K149" i="5"/>
  <c r="U132" i="7"/>
  <c r="V132" i="7"/>
  <c r="J133" i="5"/>
  <c r="K133" i="5"/>
  <c r="U116" i="7"/>
  <c r="V116" i="7"/>
  <c r="J117" i="5"/>
  <c r="K117" i="5"/>
  <c r="U1027" i="7"/>
  <c r="V1027" i="7"/>
  <c r="J1025" i="5"/>
  <c r="K1025" i="5"/>
  <c r="U1011" i="7"/>
  <c r="V1011" i="7"/>
  <c r="U994" i="7"/>
  <c r="V994" i="7"/>
  <c r="J992" i="5"/>
  <c r="K992" i="5"/>
  <c r="U974" i="7"/>
  <c r="V974" i="7"/>
  <c r="J972" i="5"/>
  <c r="K972" i="5"/>
  <c r="U958" i="7"/>
  <c r="V958" i="7"/>
  <c r="J956" i="5"/>
  <c r="K956" i="5"/>
  <c r="U942" i="7"/>
  <c r="V942" i="7"/>
  <c r="J940" i="5"/>
  <c r="K940" i="5"/>
  <c r="U926" i="7"/>
  <c r="V926" i="7"/>
  <c r="J924" i="5"/>
  <c r="K924" i="5"/>
  <c r="U910" i="7"/>
  <c r="V910" i="7"/>
  <c r="J908" i="5"/>
  <c r="K908" i="5"/>
  <c r="U894" i="7"/>
  <c r="V894" i="7"/>
  <c r="J892" i="5"/>
  <c r="K892" i="5"/>
  <c r="U878" i="7"/>
  <c r="V878" i="7"/>
  <c r="J876" i="5"/>
  <c r="K876" i="5"/>
  <c r="U862" i="7"/>
  <c r="V862" i="7"/>
  <c r="J860" i="5"/>
  <c r="K860" i="5"/>
  <c r="U846" i="7"/>
  <c r="V846" i="7"/>
  <c r="J844" i="5"/>
  <c r="K844" i="5"/>
  <c r="U830" i="7"/>
  <c r="V830" i="7"/>
  <c r="U807" i="7"/>
  <c r="V807" i="7"/>
  <c r="J805" i="5"/>
  <c r="K805" i="5"/>
  <c r="U788" i="7"/>
  <c r="V788" i="7"/>
  <c r="J789" i="5"/>
  <c r="K789" i="5"/>
  <c r="U772" i="7"/>
  <c r="V772" i="7"/>
  <c r="J773" i="5"/>
  <c r="K773" i="5"/>
  <c r="U756" i="7"/>
  <c r="V756" i="7"/>
  <c r="J757" i="5"/>
  <c r="K757" i="5"/>
  <c r="U740" i="7"/>
  <c r="V740" i="7"/>
  <c r="J741" i="5"/>
  <c r="K741" i="5"/>
  <c r="U724" i="7"/>
  <c r="V724" i="7"/>
  <c r="J725" i="5"/>
  <c r="K725" i="5"/>
  <c r="U708" i="7"/>
  <c r="V708" i="7"/>
  <c r="J709" i="5"/>
  <c r="K709" i="5"/>
  <c r="U692" i="7"/>
  <c r="V692" i="7"/>
  <c r="J693" i="5"/>
  <c r="K693" i="5"/>
  <c r="U676" i="7"/>
  <c r="V676" i="7"/>
  <c r="J677" i="5"/>
  <c r="K677" i="5"/>
  <c r="U660" i="7"/>
  <c r="V660" i="7"/>
  <c r="J661" i="5"/>
  <c r="K661" i="5"/>
  <c r="U644" i="7"/>
  <c r="V644" i="7"/>
  <c r="J645" i="5"/>
  <c r="K645" i="5"/>
  <c r="U628" i="7"/>
  <c r="V628" i="7"/>
  <c r="J629" i="5"/>
  <c r="K629" i="5"/>
  <c r="U612" i="7"/>
  <c r="V612" i="7"/>
  <c r="J613" i="5"/>
  <c r="K613" i="5"/>
  <c r="U596" i="7"/>
  <c r="V596" i="7"/>
  <c r="J597" i="5"/>
  <c r="K597" i="5"/>
  <c r="U580" i="7"/>
  <c r="V580" i="7"/>
  <c r="J581" i="5"/>
  <c r="K581" i="5"/>
  <c r="U564" i="7"/>
  <c r="V564" i="7"/>
  <c r="J565" i="5"/>
  <c r="K565" i="5"/>
  <c r="U548" i="7"/>
  <c r="V548" i="7"/>
  <c r="J549" i="5"/>
  <c r="U531" i="7"/>
  <c r="V531" i="7"/>
  <c r="J532" i="5"/>
  <c r="K532" i="5"/>
  <c r="U515" i="7"/>
  <c r="V515" i="7"/>
  <c r="J516" i="5"/>
  <c r="K516" i="5"/>
  <c r="U499" i="7"/>
  <c r="V499" i="7"/>
  <c r="J500" i="5"/>
  <c r="K500" i="5"/>
  <c r="U483" i="7"/>
  <c r="V483" i="7"/>
  <c r="J484" i="5"/>
  <c r="K484" i="5"/>
  <c r="U467" i="7"/>
  <c r="V467" i="7"/>
  <c r="J468" i="5"/>
  <c r="K468" i="5"/>
  <c r="U451" i="7"/>
  <c r="V451" i="7"/>
  <c r="J452" i="5"/>
  <c r="K452" i="5"/>
  <c r="U435" i="7"/>
  <c r="V435" i="7"/>
  <c r="J436" i="5"/>
  <c r="K436" i="5"/>
  <c r="U419" i="7"/>
  <c r="V419" i="7"/>
  <c r="J420" i="5"/>
  <c r="K420" i="5"/>
  <c r="U403" i="7"/>
  <c r="V403" i="7"/>
  <c r="J404" i="5"/>
  <c r="K404" i="5"/>
  <c r="U387" i="7"/>
  <c r="V387" i="7"/>
  <c r="J388" i="5"/>
  <c r="U371" i="7"/>
  <c r="V371" i="7"/>
  <c r="J372" i="5"/>
  <c r="U355" i="7"/>
  <c r="V355" i="7"/>
  <c r="J356" i="5"/>
  <c r="K356" i="5"/>
  <c r="U339" i="7"/>
  <c r="V339" i="7"/>
  <c r="J340" i="5"/>
  <c r="K340" i="5"/>
  <c r="U323" i="7"/>
  <c r="V323" i="7"/>
  <c r="J324" i="5"/>
  <c r="K324" i="5"/>
  <c r="U307" i="7"/>
  <c r="V307" i="7"/>
  <c r="J308" i="5"/>
  <c r="K308" i="5"/>
  <c r="U291" i="7"/>
  <c r="V291" i="7"/>
  <c r="J292" i="5"/>
  <c r="K292" i="5"/>
  <c r="U275" i="7"/>
  <c r="V275" i="7"/>
  <c r="J276" i="5"/>
  <c r="K276" i="5"/>
  <c r="U259" i="7"/>
  <c r="V259" i="7"/>
  <c r="J260" i="5"/>
  <c r="K260" i="5"/>
  <c r="U243" i="7"/>
  <c r="V243" i="7"/>
  <c r="J244" i="5"/>
  <c r="K244" i="5"/>
  <c r="U227" i="7"/>
  <c r="V227" i="7"/>
  <c r="J228" i="5"/>
  <c r="K228" i="5"/>
  <c r="U211" i="7"/>
  <c r="V211" i="7"/>
  <c r="J212" i="5"/>
  <c r="K212" i="5"/>
  <c r="U195" i="7"/>
  <c r="V195" i="7"/>
  <c r="J196" i="5"/>
  <c r="K196" i="5"/>
  <c r="U179" i="7"/>
  <c r="V179" i="7"/>
  <c r="J180" i="5"/>
  <c r="U163" i="7"/>
  <c r="V163" i="7"/>
  <c r="J164" i="5"/>
  <c r="K164" i="5"/>
  <c r="U147" i="7"/>
  <c r="V147" i="7"/>
  <c r="J148" i="5"/>
  <c r="K148" i="5"/>
  <c r="U131" i="7"/>
  <c r="V131" i="7"/>
  <c r="J132" i="5"/>
  <c r="K132" i="5"/>
  <c r="U115" i="7"/>
  <c r="V115" i="7"/>
  <c r="J116" i="5"/>
  <c r="K116" i="5"/>
  <c r="U1026" i="7"/>
  <c r="V1026" i="7"/>
  <c r="J1024" i="5"/>
  <c r="K1024" i="5"/>
  <c r="U1010" i="7"/>
  <c r="V1010" i="7"/>
  <c r="J1008" i="5"/>
  <c r="K1008" i="5"/>
  <c r="U993" i="7"/>
  <c r="V993" i="7"/>
  <c r="J991" i="5"/>
  <c r="K991" i="5"/>
  <c r="U973" i="7"/>
  <c r="V973" i="7"/>
  <c r="J971" i="5"/>
  <c r="K971" i="5"/>
  <c r="U957" i="7"/>
  <c r="V957" i="7"/>
  <c r="J955" i="5"/>
  <c r="K955" i="5"/>
  <c r="U941" i="7"/>
  <c r="V941" i="7"/>
  <c r="J939" i="5"/>
  <c r="K939" i="5"/>
  <c r="U925" i="7"/>
  <c r="V925" i="7"/>
  <c r="J923" i="5"/>
  <c r="K923" i="5"/>
  <c r="U909" i="7"/>
  <c r="V909" i="7"/>
  <c r="J907" i="5"/>
  <c r="K907" i="5"/>
  <c r="U893" i="7"/>
  <c r="V893" i="7"/>
  <c r="J891" i="5"/>
  <c r="K891" i="5"/>
  <c r="U877" i="7"/>
  <c r="V877" i="7"/>
  <c r="J875" i="5"/>
  <c r="K875" i="5"/>
  <c r="U861" i="7"/>
  <c r="V861" i="7"/>
  <c r="J859" i="5"/>
  <c r="K859" i="5"/>
  <c r="U845" i="7"/>
  <c r="V845" i="7"/>
  <c r="J843" i="5"/>
  <c r="K843" i="5"/>
  <c r="U829" i="7"/>
  <c r="V829" i="7"/>
  <c r="U806" i="7"/>
  <c r="V806" i="7"/>
  <c r="J804" i="5"/>
  <c r="K804" i="5"/>
  <c r="U787" i="7"/>
  <c r="V787" i="7"/>
  <c r="J788" i="5"/>
  <c r="K788" i="5"/>
  <c r="U771" i="7"/>
  <c r="V771" i="7"/>
  <c r="J772" i="5"/>
  <c r="K772" i="5"/>
  <c r="U755" i="7"/>
  <c r="V755" i="7"/>
  <c r="J756" i="5"/>
  <c r="K756" i="5"/>
  <c r="U739" i="7"/>
  <c r="V739" i="7"/>
  <c r="J740" i="5"/>
  <c r="K740" i="5"/>
  <c r="U723" i="7"/>
  <c r="V723" i="7"/>
  <c r="J724" i="5"/>
  <c r="K724" i="5"/>
  <c r="U707" i="7"/>
  <c r="V707" i="7"/>
  <c r="J708" i="5"/>
  <c r="K708" i="5"/>
  <c r="U691" i="7"/>
  <c r="V691" i="7"/>
  <c r="J692" i="5"/>
  <c r="K692" i="5"/>
  <c r="U675" i="7"/>
  <c r="V675" i="7"/>
  <c r="J676" i="5"/>
  <c r="K676" i="5"/>
  <c r="U659" i="7"/>
  <c r="V659" i="7"/>
  <c r="J660" i="5"/>
  <c r="K660" i="5"/>
  <c r="U643" i="7"/>
  <c r="V643" i="7"/>
  <c r="J644" i="5"/>
  <c r="K644" i="5"/>
  <c r="U627" i="7"/>
  <c r="V627" i="7"/>
  <c r="J628" i="5"/>
  <c r="K628" i="5"/>
  <c r="U611" i="7"/>
  <c r="V611" i="7"/>
  <c r="J612" i="5"/>
  <c r="K612" i="5"/>
  <c r="U595" i="7"/>
  <c r="V595" i="7"/>
  <c r="J596" i="5"/>
  <c r="K596" i="5"/>
  <c r="U579" i="7"/>
  <c r="V579" i="7"/>
  <c r="J580" i="5"/>
  <c r="K580" i="5"/>
  <c r="U563" i="7"/>
  <c r="V563" i="7"/>
  <c r="J564" i="5"/>
  <c r="K564" i="5"/>
  <c r="U547" i="7"/>
  <c r="V547" i="7"/>
  <c r="J548" i="5"/>
  <c r="U530" i="7"/>
  <c r="V530" i="7"/>
  <c r="J531" i="5"/>
  <c r="K531" i="5"/>
  <c r="U514" i="7"/>
  <c r="V514" i="7"/>
  <c r="J515" i="5"/>
  <c r="K515" i="5"/>
  <c r="U498" i="7"/>
  <c r="V498" i="7"/>
  <c r="J499" i="5"/>
  <c r="K499" i="5"/>
  <c r="U482" i="7"/>
  <c r="V482" i="7"/>
  <c r="J483" i="5"/>
  <c r="K483" i="5"/>
  <c r="U466" i="7"/>
  <c r="V466" i="7"/>
  <c r="J467" i="5"/>
  <c r="K467" i="5"/>
  <c r="U450" i="7"/>
  <c r="V450" i="7"/>
  <c r="J451" i="5"/>
  <c r="K451" i="5"/>
  <c r="U434" i="7"/>
  <c r="V434" i="7"/>
  <c r="J435" i="5"/>
  <c r="K435" i="5"/>
  <c r="U418" i="7"/>
  <c r="V418" i="7"/>
  <c r="J419" i="5"/>
  <c r="K419" i="5"/>
  <c r="U402" i="7"/>
  <c r="V402" i="7"/>
  <c r="J403" i="5"/>
  <c r="K403" i="5"/>
  <c r="U386" i="7"/>
  <c r="V386" i="7"/>
  <c r="J387" i="5"/>
  <c r="U370" i="7"/>
  <c r="V370" i="7"/>
  <c r="J371" i="5"/>
  <c r="K371" i="5"/>
  <c r="U354" i="7"/>
  <c r="V354" i="7"/>
  <c r="J355" i="5"/>
  <c r="K355" i="5"/>
  <c r="U338" i="7"/>
  <c r="V338" i="7"/>
  <c r="J339" i="5"/>
  <c r="K339" i="5"/>
  <c r="U322" i="7"/>
  <c r="V322" i="7"/>
  <c r="J323" i="5"/>
  <c r="K323" i="5"/>
  <c r="U306" i="7"/>
  <c r="V306" i="7"/>
  <c r="J307" i="5"/>
  <c r="K307" i="5"/>
  <c r="U290" i="7"/>
  <c r="V290" i="7"/>
  <c r="J291" i="5"/>
  <c r="K291" i="5"/>
  <c r="U274" i="7"/>
  <c r="V274" i="7"/>
  <c r="J275" i="5"/>
  <c r="K275" i="5"/>
  <c r="U258" i="7"/>
  <c r="V258" i="7"/>
  <c r="J259" i="5"/>
  <c r="K259" i="5"/>
  <c r="U242" i="7"/>
  <c r="V242" i="7"/>
  <c r="J243" i="5"/>
  <c r="K243" i="5"/>
  <c r="U226" i="7"/>
  <c r="V226" i="7"/>
  <c r="J227" i="5"/>
  <c r="K227" i="5"/>
  <c r="U210" i="7"/>
  <c r="V210" i="7"/>
  <c r="J211" i="5"/>
  <c r="K211" i="5"/>
  <c r="U194" i="7"/>
  <c r="V194" i="7"/>
  <c r="J195" i="5"/>
  <c r="U178" i="7"/>
  <c r="V178" i="7"/>
  <c r="J179" i="5"/>
  <c r="U162" i="7"/>
  <c r="V162" i="7"/>
  <c r="J163" i="5"/>
  <c r="K163" i="5"/>
  <c r="U146" i="7"/>
  <c r="V146" i="7"/>
  <c r="J147" i="5"/>
  <c r="K147" i="5"/>
  <c r="U130" i="7"/>
  <c r="V130" i="7"/>
  <c r="J131" i="5"/>
  <c r="K131" i="5"/>
  <c r="U114" i="7"/>
  <c r="V114" i="7"/>
  <c r="J115" i="5"/>
  <c r="K115" i="5"/>
  <c r="J1051" i="5"/>
  <c r="K1051" i="5"/>
  <c r="J1046" i="5"/>
  <c r="K1046" i="5"/>
  <c r="J672" i="5"/>
  <c r="K672" i="5"/>
  <c r="J336" i="5"/>
  <c r="K336" i="5"/>
  <c r="U1004" i="7"/>
  <c r="V1004" i="7"/>
  <c r="J1002" i="5"/>
  <c r="K1002" i="5"/>
  <c r="U718" i="7"/>
  <c r="V718" i="7"/>
  <c r="J719" i="5"/>
  <c r="K719" i="5"/>
  <c r="U1003" i="7"/>
  <c r="V1003" i="7"/>
  <c r="J1001" i="5"/>
  <c r="K1001" i="5"/>
  <c r="U1044" i="7"/>
  <c r="V1044" i="7"/>
  <c r="F1045" i="5"/>
  <c r="J1042" i="5"/>
  <c r="K1042" i="5"/>
  <c r="U1025" i="7"/>
  <c r="V1025" i="7"/>
  <c r="J1023" i="5"/>
  <c r="K1023" i="5"/>
  <c r="U1009" i="7"/>
  <c r="V1009" i="7"/>
  <c r="U992" i="7"/>
  <c r="V992" i="7"/>
  <c r="U972" i="7"/>
  <c r="V972" i="7"/>
  <c r="J970" i="5"/>
  <c r="K970" i="5"/>
  <c r="U956" i="7"/>
  <c r="V956" i="7"/>
  <c r="J954" i="5"/>
  <c r="K954" i="5"/>
  <c r="U940" i="7"/>
  <c r="V940" i="7"/>
  <c r="J938" i="5"/>
  <c r="K938" i="5"/>
  <c r="U924" i="7"/>
  <c r="V924" i="7"/>
  <c r="J922" i="5"/>
  <c r="K922" i="5"/>
  <c r="U908" i="7"/>
  <c r="V908" i="7"/>
  <c r="J906" i="5"/>
  <c r="K906" i="5"/>
  <c r="U892" i="7"/>
  <c r="V892" i="7"/>
  <c r="J890" i="5"/>
  <c r="K890" i="5"/>
  <c r="U876" i="7"/>
  <c r="V876" i="7"/>
  <c r="J874" i="5"/>
  <c r="K874" i="5"/>
  <c r="U860" i="7"/>
  <c r="V860" i="7"/>
  <c r="J858" i="5"/>
  <c r="K858" i="5"/>
  <c r="U844" i="7"/>
  <c r="V844" i="7"/>
  <c r="J842" i="5"/>
  <c r="K842" i="5"/>
  <c r="U826" i="7"/>
  <c r="V826" i="7"/>
  <c r="U805" i="7"/>
  <c r="V805" i="7"/>
  <c r="J803" i="5"/>
  <c r="K803" i="5"/>
  <c r="U786" i="7"/>
  <c r="V786" i="7"/>
  <c r="J787" i="5"/>
  <c r="K787" i="5"/>
  <c r="U770" i="7"/>
  <c r="V770" i="7"/>
  <c r="J771" i="5"/>
  <c r="K771" i="5"/>
  <c r="U754" i="7"/>
  <c r="V754" i="7"/>
  <c r="J755" i="5"/>
  <c r="K755" i="5"/>
  <c r="U738" i="7"/>
  <c r="V738" i="7"/>
  <c r="J739" i="5"/>
  <c r="K739" i="5"/>
  <c r="U722" i="7"/>
  <c r="V722" i="7"/>
  <c r="J723" i="5"/>
  <c r="K723" i="5"/>
  <c r="U706" i="7"/>
  <c r="V706" i="7"/>
  <c r="J707" i="5"/>
  <c r="K707" i="5"/>
  <c r="U690" i="7"/>
  <c r="V690" i="7"/>
  <c r="J691" i="5"/>
  <c r="K691" i="5"/>
  <c r="U674" i="7"/>
  <c r="V674" i="7"/>
  <c r="J675" i="5"/>
  <c r="K675" i="5"/>
  <c r="U658" i="7"/>
  <c r="V658" i="7"/>
  <c r="J659" i="5"/>
  <c r="K659" i="5"/>
  <c r="U642" i="7"/>
  <c r="V642" i="7"/>
  <c r="J643" i="5"/>
  <c r="K643" i="5"/>
  <c r="U626" i="7"/>
  <c r="V626" i="7"/>
  <c r="J627" i="5"/>
  <c r="K627" i="5"/>
  <c r="U610" i="7"/>
  <c r="V610" i="7"/>
  <c r="J611" i="5"/>
  <c r="K611" i="5"/>
  <c r="U594" i="7"/>
  <c r="V594" i="7"/>
  <c r="J595" i="5"/>
  <c r="K595" i="5"/>
  <c r="U578" i="7"/>
  <c r="V578" i="7"/>
  <c r="J579" i="5"/>
  <c r="K579" i="5"/>
  <c r="U562" i="7"/>
  <c r="V562" i="7"/>
  <c r="J563" i="5"/>
  <c r="K563" i="5"/>
  <c r="U546" i="7"/>
  <c r="V546" i="7"/>
  <c r="J547" i="5"/>
  <c r="U529" i="7"/>
  <c r="V529" i="7"/>
  <c r="J530" i="5"/>
  <c r="K530" i="5"/>
  <c r="U513" i="7"/>
  <c r="V513" i="7"/>
  <c r="J514" i="5"/>
  <c r="K514" i="5"/>
  <c r="U497" i="7"/>
  <c r="V497" i="7"/>
  <c r="J498" i="5"/>
  <c r="K498" i="5"/>
  <c r="U481" i="7"/>
  <c r="V481" i="7"/>
  <c r="J482" i="5"/>
  <c r="K482" i="5"/>
  <c r="U465" i="7"/>
  <c r="V465" i="7"/>
  <c r="J466" i="5"/>
  <c r="K466" i="5"/>
  <c r="U449" i="7"/>
  <c r="V449" i="7"/>
  <c r="J450" i="5"/>
  <c r="K450" i="5"/>
  <c r="U433" i="7"/>
  <c r="V433" i="7"/>
  <c r="J434" i="5"/>
  <c r="K434" i="5"/>
  <c r="U417" i="7"/>
  <c r="V417" i="7"/>
  <c r="J418" i="5"/>
  <c r="K418" i="5"/>
  <c r="U401" i="7"/>
  <c r="V401" i="7"/>
  <c r="J402" i="5"/>
  <c r="K402" i="5"/>
  <c r="U385" i="7"/>
  <c r="V385" i="7"/>
  <c r="J386" i="5"/>
  <c r="U369" i="7"/>
  <c r="V369" i="7"/>
  <c r="J370" i="5"/>
  <c r="K370" i="5"/>
  <c r="U353" i="7"/>
  <c r="V353" i="7"/>
  <c r="J354" i="5"/>
  <c r="K354" i="5"/>
  <c r="U337" i="7"/>
  <c r="V337" i="7"/>
  <c r="J338" i="5"/>
  <c r="K338" i="5"/>
  <c r="U321" i="7"/>
  <c r="V321" i="7"/>
  <c r="J322" i="5"/>
  <c r="K322" i="5"/>
  <c r="U305" i="7"/>
  <c r="V305" i="7"/>
  <c r="J306" i="5"/>
  <c r="K306" i="5"/>
  <c r="U289" i="7"/>
  <c r="V289" i="7"/>
  <c r="J290" i="5"/>
  <c r="K290" i="5"/>
  <c r="U273" i="7"/>
  <c r="V273" i="7"/>
  <c r="J274" i="5"/>
  <c r="K274" i="5"/>
  <c r="U257" i="7"/>
  <c r="V257" i="7"/>
  <c r="J258" i="5"/>
  <c r="K258" i="5"/>
  <c r="U241" i="7"/>
  <c r="V241" i="7"/>
  <c r="J242" i="5"/>
  <c r="K242" i="5"/>
  <c r="U225" i="7"/>
  <c r="V225" i="7"/>
  <c r="J226" i="5"/>
  <c r="K226" i="5"/>
  <c r="U209" i="7"/>
  <c r="V209" i="7"/>
  <c r="J210" i="5"/>
  <c r="U193" i="7"/>
  <c r="V193" i="7"/>
  <c r="J194" i="5"/>
  <c r="K194" i="5"/>
  <c r="U177" i="7"/>
  <c r="V177" i="7"/>
  <c r="J178" i="5"/>
  <c r="K178" i="5"/>
  <c r="U161" i="7"/>
  <c r="V161" i="7"/>
  <c r="J162" i="5"/>
  <c r="K162" i="5"/>
  <c r="U145" i="7"/>
  <c r="V145" i="7"/>
  <c r="J146" i="5"/>
  <c r="K146" i="5"/>
  <c r="U129" i="7"/>
  <c r="V129" i="7"/>
  <c r="J130" i="5"/>
  <c r="K130" i="5"/>
  <c r="U113" i="7"/>
  <c r="V113" i="7"/>
  <c r="J114" i="5"/>
  <c r="K114" i="5"/>
  <c r="J895" i="5"/>
  <c r="K895" i="5"/>
  <c r="J674" i="5"/>
  <c r="K674" i="5"/>
  <c r="J320" i="5"/>
  <c r="K320" i="5"/>
  <c r="E46" i="9"/>
  <c r="E19" i="9"/>
  <c r="F19" i="9"/>
  <c r="E55" i="9"/>
  <c r="F55" i="9"/>
  <c r="I565" i="7"/>
  <c r="I564" i="7"/>
  <c r="I563" i="7"/>
  <c r="I562" i="7"/>
  <c r="I561" i="7"/>
  <c r="I1054" i="7"/>
  <c r="I1053" i="7"/>
  <c r="I1052" i="7"/>
  <c r="I1051" i="7"/>
  <c r="I1049" i="7"/>
  <c r="I1048" i="7"/>
  <c r="I1047" i="7"/>
  <c r="I1046" i="7"/>
  <c r="I1045" i="7"/>
  <c r="I1043" i="7"/>
  <c r="I1042" i="7"/>
  <c r="I1041" i="7"/>
  <c r="I1040" i="7"/>
  <c r="I1039" i="7"/>
  <c r="I1037" i="7"/>
  <c r="I1036" i="7"/>
  <c r="I1035" i="7"/>
  <c r="I1034" i="7"/>
  <c r="I1031" i="7"/>
  <c r="F815" i="5"/>
  <c r="F1004" i="5"/>
  <c r="F126" i="5"/>
  <c r="F673" i="5"/>
  <c r="F145" i="5"/>
  <c r="F690" i="5"/>
  <c r="F162" i="5"/>
  <c r="F290" i="5"/>
  <c r="F418" i="5"/>
  <c r="F547" i="5"/>
  <c r="F675" i="5"/>
  <c r="F308" i="5"/>
  <c r="F436" i="5"/>
  <c r="F565" i="5"/>
  <c r="F693" i="5"/>
  <c r="F165" i="5"/>
  <c r="F293" i="5"/>
  <c r="F421" i="5"/>
  <c r="F550" i="5"/>
  <c r="F678" i="5"/>
  <c r="E34" i="9"/>
  <c r="F34" i="9"/>
  <c r="F334" i="5"/>
  <c r="F607" i="5"/>
  <c r="F150" i="5"/>
  <c r="F278" i="5"/>
  <c r="F406" i="5"/>
  <c r="F534" i="5"/>
  <c r="F663" i="5"/>
  <c r="F152" i="5"/>
  <c r="F280" i="5"/>
  <c r="F408" i="5"/>
  <c r="F536" i="5"/>
  <c r="F665" i="5"/>
  <c r="F215" i="5"/>
  <c r="F359" i="5"/>
  <c r="F487" i="5"/>
  <c r="F616" i="5"/>
  <c r="F744" i="5"/>
  <c r="F493" i="5"/>
  <c r="F110" i="5"/>
  <c r="F233" i="5"/>
  <c r="F361" i="5"/>
  <c r="F489" i="5"/>
  <c r="F618" i="5"/>
  <c r="F746" i="5"/>
  <c r="F301" i="5"/>
  <c r="F542" i="5"/>
  <c r="F122" i="5"/>
  <c r="F250" i="5"/>
  <c r="F378" i="5"/>
  <c r="F506" i="5"/>
  <c r="F635" i="5"/>
  <c r="F763" i="5"/>
  <c r="F123" i="5"/>
  <c r="F251" i="5"/>
  <c r="F379" i="5"/>
  <c r="F507" i="5"/>
  <c r="F636" i="5"/>
  <c r="F764" i="5"/>
  <c r="F108" i="5"/>
  <c r="F236" i="5"/>
  <c r="F364" i="5"/>
  <c r="F492" i="5"/>
  <c r="F621" i="5"/>
  <c r="F749" i="5"/>
  <c r="F127" i="5"/>
  <c r="F255" i="5"/>
  <c r="F383" i="5"/>
  <c r="F511" i="5"/>
  <c r="F704" i="5"/>
  <c r="F307" i="5"/>
  <c r="F429" i="5"/>
  <c r="F288" i="5"/>
  <c r="F401" i="5"/>
  <c r="F195" i="5"/>
  <c r="F323" i="5"/>
  <c r="F451" i="5"/>
  <c r="F580" i="5"/>
  <c r="F708" i="5"/>
  <c r="F461" i="5"/>
  <c r="F398" i="5"/>
  <c r="F176" i="5"/>
  <c r="F545" i="5"/>
  <c r="F689" i="5"/>
  <c r="F161" i="5"/>
  <c r="F289" i="5"/>
  <c r="F417" i="5"/>
  <c r="F546" i="5"/>
  <c r="F706" i="5"/>
  <c r="F783" i="5"/>
  <c r="F160" i="5"/>
  <c r="F273" i="5"/>
  <c r="F529" i="5"/>
  <c r="F178" i="5"/>
  <c r="F306" i="5"/>
  <c r="F434" i="5"/>
  <c r="F563" i="5"/>
  <c r="F691" i="5"/>
  <c r="F954" i="5"/>
  <c r="F196" i="5"/>
  <c r="F324" i="5"/>
  <c r="F452" i="5"/>
  <c r="F581" i="5"/>
  <c r="F709" i="5"/>
  <c r="F309" i="5"/>
  <c r="F437" i="5"/>
  <c r="F566" i="5"/>
  <c r="F694" i="5"/>
  <c r="F350" i="5"/>
  <c r="F655" i="5"/>
  <c r="F166" i="5"/>
  <c r="F294" i="5"/>
  <c r="F422" i="5"/>
  <c r="F551" i="5"/>
  <c r="F679" i="5"/>
  <c r="F831" i="5"/>
  <c r="F168" i="5"/>
  <c r="F296" i="5"/>
  <c r="F424" i="5"/>
  <c r="F553" i="5"/>
  <c r="F681" i="5"/>
  <c r="F103" i="5"/>
  <c r="F231" i="5"/>
  <c r="F375" i="5"/>
  <c r="F503" i="5"/>
  <c r="F632" i="5"/>
  <c r="F760" i="5"/>
  <c r="F590" i="5"/>
  <c r="F366" i="5"/>
  <c r="F105" i="5"/>
  <c r="F249" i="5"/>
  <c r="F377" i="5"/>
  <c r="F505" i="5"/>
  <c r="F634" i="5"/>
  <c r="F762" i="5"/>
  <c r="F317" i="5"/>
  <c r="F766" i="5"/>
  <c r="F138" i="5"/>
  <c r="F266" i="5"/>
  <c r="F394" i="5"/>
  <c r="F522" i="5"/>
  <c r="F651" i="5"/>
  <c r="F779" i="5"/>
  <c r="F139" i="5"/>
  <c r="F267" i="5"/>
  <c r="F523" i="5"/>
  <c r="F652" i="5"/>
  <c r="F780" i="5"/>
  <c r="F124" i="5"/>
  <c r="F252" i="5"/>
  <c r="F380" i="5"/>
  <c r="F508" i="5"/>
  <c r="F637" i="5"/>
  <c r="F765" i="5"/>
  <c r="F1036" i="5"/>
  <c r="F143" i="5"/>
  <c r="F271" i="5"/>
  <c r="F399" i="5"/>
  <c r="F527" i="5"/>
  <c r="F720" i="5"/>
  <c r="F596" i="5"/>
  <c r="F832" i="5"/>
  <c r="F722" i="5"/>
  <c r="F970" i="5"/>
  <c r="F154" i="5"/>
  <c r="F411" i="5"/>
  <c r="F140" i="5"/>
  <c r="F653" i="5"/>
  <c r="F576" i="5"/>
  <c r="F227" i="5"/>
  <c r="F355" i="5"/>
  <c r="F483" i="5"/>
  <c r="F612" i="5"/>
  <c r="F740" i="5"/>
  <c r="F848" i="5"/>
  <c r="F237" i="5"/>
  <c r="F558" i="5"/>
  <c r="F623" i="5"/>
  <c r="F1039" i="5"/>
  <c r="F208" i="5"/>
  <c r="F577" i="5"/>
  <c r="F737" i="5"/>
  <c r="F193" i="5"/>
  <c r="F321" i="5"/>
  <c r="F449" i="5"/>
  <c r="F578" i="5"/>
  <c r="F738" i="5"/>
  <c r="F719" i="5"/>
  <c r="F205" i="5"/>
  <c r="F510" i="5"/>
  <c r="F579" i="5"/>
  <c r="F695" i="5"/>
  <c r="F648" i="5"/>
  <c r="F901" i="5"/>
  <c r="F521" i="5"/>
  <c r="F349" i="5"/>
  <c r="F667" i="5"/>
  <c r="F524" i="5"/>
  <c r="F415" i="5"/>
  <c r="F210" i="5"/>
  <c r="F338" i="5"/>
  <c r="F466" i="5"/>
  <c r="F595" i="5"/>
  <c r="F723" i="5"/>
  <c r="F858" i="5"/>
  <c r="F228" i="5"/>
  <c r="F356" i="5"/>
  <c r="F484" i="5"/>
  <c r="F613" i="5"/>
  <c r="F741" i="5"/>
  <c r="F213" i="5"/>
  <c r="F341" i="5"/>
  <c r="F469" i="5"/>
  <c r="F598" i="5"/>
  <c r="F726" i="5"/>
  <c r="F414" i="5"/>
  <c r="F934" i="5"/>
  <c r="F198" i="5"/>
  <c r="F326" i="5"/>
  <c r="F454" i="5"/>
  <c r="F583" i="5"/>
  <c r="F711" i="5"/>
  <c r="F200" i="5"/>
  <c r="F328" i="5"/>
  <c r="F456" i="5"/>
  <c r="F585" i="5"/>
  <c r="F713" i="5"/>
  <c r="F135" i="5"/>
  <c r="F263" i="5"/>
  <c r="F407" i="5"/>
  <c r="F535" i="5"/>
  <c r="F664" i="5"/>
  <c r="F686" i="5"/>
  <c r="F462" i="5"/>
  <c r="F153" i="5"/>
  <c r="F281" i="5"/>
  <c r="F409" i="5"/>
  <c r="F538" i="5"/>
  <c r="F666" i="5"/>
  <c r="F125" i="5"/>
  <c r="F381" i="5"/>
  <c r="F933" i="5"/>
  <c r="F298" i="5"/>
  <c r="F426" i="5"/>
  <c r="F555" i="5"/>
  <c r="F683" i="5"/>
  <c r="F299" i="5"/>
  <c r="F427" i="5"/>
  <c r="F556" i="5"/>
  <c r="F684" i="5"/>
  <c r="F156" i="5"/>
  <c r="F284" i="5"/>
  <c r="F412" i="5"/>
  <c r="F541" i="5"/>
  <c r="F669" i="5"/>
  <c r="F303" i="5"/>
  <c r="F431" i="5"/>
  <c r="F592" i="5"/>
  <c r="F768" i="5"/>
  <c r="F564" i="5"/>
  <c r="F339" i="5"/>
  <c r="F192" i="5"/>
  <c r="F305" i="5"/>
  <c r="F725" i="5"/>
  <c r="F382" i="5"/>
  <c r="F184" i="5"/>
  <c r="F654" i="5"/>
  <c r="F650" i="5"/>
  <c r="F668" i="5"/>
  <c r="F268" i="5"/>
  <c r="F159" i="5"/>
  <c r="F736" i="5"/>
  <c r="F115" i="5"/>
  <c r="F243" i="5"/>
  <c r="F371" i="5"/>
  <c r="F499" i="5"/>
  <c r="F628" i="5"/>
  <c r="F756" i="5"/>
  <c r="F864" i="5"/>
  <c r="F269" i="5"/>
  <c r="F574" i="5"/>
  <c r="F687" i="5"/>
  <c r="F224" i="5"/>
  <c r="F593" i="5"/>
  <c r="F753" i="5"/>
  <c r="F209" i="5"/>
  <c r="F337" i="5"/>
  <c r="F465" i="5"/>
  <c r="F594" i="5"/>
  <c r="F754" i="5"/>
  <c r="F141" i="5"/>
  <c r="F322" i="5"/>
  <c r="F597" i="5"/>
  <c r="F710" i="5"/>
  <c r="F438" i="5"/>
  <c r="F569" i="5"/>
  <c r="F519" i="5"/>
  <c r="F121" i="5"/>
  <c r="F778" i="5"/>
  <c r="F282" i="5"/>
  <c r="F396" i="5"/>
  <c r="F287" i="5"/>
  <c r="F226" i="5"/>
  <c r="F354" i="5"/>
  <c r="F482" i="5"/>
  <c r="F611" i="5"/>
  <c r="F739" i="5"/>
  <c r="F874" i="5"/>
  <c r="F116" i="5"/>
  <c r="F244" i="5"/>
  <c r="F372" i="5"/>
  <c r="F500" i="5"/>
  <c r="F629" i="5"/>
  <c r="F757" i="5"/>
  <c r="E44" i="9"/>
  <c r="F229" i="5"/>
  <c r="F357" i="5"/>
  <c r="F485" i="5"/>
  <c r="F614" i="5"/>
  <c r="F742" i="5"/>
  <c r="F446" i="5"/>
  <c r="F214" i="5"/>
  <c r="F342" i="5"/>
  <c r="F470" i="5"/>
  <c r="F599" i="5"/>
  <c r="F727" i="5"/>
  <c r="F879" i="5"/>
  <c r="F216" i="5"/>
  <c r="F344" i="5"/>
  <c r="F472" i="5"/>
  <c r="F601" i="5"/>
  <c r="F729" i="5"/>
  <c r="F151" i="5"/>
  <c r="F279" i="5"/>
  <c r="F423" i="5"/>
  <c r="F552" i="5"/>
  <c r="F680" i="5"/>
  <c r="F702" i="5"/>
  <c r="F949" i="5"/>
  <c r="F478" i="5"/>
  <c r="F169" i="5"/>
  <c r="F297" i="5"/>
  <c r="F425" i="5"/>
  <c r="F554" i="5"/>
  <c r="F682" i="5"/>
  <c r="F157" i="5"/>
  <c r="F413" i="5"/>
  <c r="F186" i="5"/>
  <c r="F314" i="5"/>
  <c r="F442" i="5"/>
  <c r="F571" i="5"/>
  <c r="F699" i="5"/>
  <c r="F315" i="5"/>
  <c r="F443" i="5"/>
  <c r="F572" i="5"/>
  <c r="F700" i="5"/>
  <c r="F300" i="5"/>
  <c r="F428" i="5"/>
  <c r="F557" i="5"/>
  <c r="F685" i="5"/>
  <c r="F622" i="5"/>
  <c r="F191" i="5"/>
  <c r="F319" i="5"/>
  <c r="F447" i="5"/>
  <c r="F624" i="5"/>
  <c r="F784" i="5"/>
  <c r="F767" i="5"/>
  <c r="F724" i="5"/>
  <c r="F177" i="5"/>
  <c r="F707" i="5"/>
  <c r="F468" i="5"/>
  <c r="F453" i="5"/>
  <c r="F671" i="5"/>
  <c r="F567" i="5"/>
  <c r="F440" i="5"/>
  <c r="F391" i="5"/>
  <c r="F265" i="5"/>
  <c r="F283" i="5"/>
  <c r="F131" i="5"/>
  <c r="F772" i="5"/>
  <c r="F880" i="5"/>
  <c r="F333" i="5"/>
  <c r="F638" i="5"/>
  <c r="F735" i="5"/>
  <c r="F112" i="5"/>
  <c r="F240" i="5"/>
  <c r="F609" i="5"/>
  <c r="F769" i="5"/>
  <c r="F225" i="5"/>
  <c r="F353" i="5"/>
  <c r="F481" i="5"/>
  <c r="F626" i="5"/>
  <c r="F770" i="5"/>
  <c r="F467" i="5"/>
  <c r="F721" i="5"/>
  <c r="F197" i="5"/>
  <c r="F119" i="5"/>
  <c r="F259" i="5"/>
  <c r="F644" i="5"/>
  <c r="F114" i="5"/>
  <c r="F242" i="5"/>
  <c r="F370" i="5"/>
  <c r="F498" i="5"/>
  <c r="F627" i="5"/>
  <c r="F755" i="5"/>
  <c r="F890" i="5"/>
  <c r="F132" i="5"/>
  <c r="F260" i="5"/>
  <c r="F388" i="5"/>
  <c r="F516" i="5"/>
  <c r="F645" i="5"/>
  <c r="F773" i="5"/>
  <c r="F117" i="5"/>
  <c r="F245" i="5"/>
  <c r="F373" i="5"/>
  <c r="F501" i="5"/>
  <c r="F630" i="5"/>
  <c r="F758" i="5"/>
  <c r="F142" i="5"/>
  <c r="F494" i="5"/>
  <c r="F230" i="5"/>
  <c r="F358" i="5"/>
  <c r="F486" i="5"/>
  <c r="F615" i="5"/>
  <c r="F743" i="5"/>
  <c r="F104" i="5"/>
  <c r="F232" i="5"/>
  <c r="F360" i="5"/>
  <c r="F488" i="5"/>
  <c r="F617" i="5"/>
  <c r="F745" i="5"/>
  <c r="F167" i="5"/>
  <c r="F311" i="5"/>
  <c r="F439" i="5"/>
  <c r="F568" i="5"/>
  <c r="F696" i="5"/>
  <c r="F1047" i="5"/>
  <c r="F718" i="5"/>
  <c r="F543" i="5"/>
  <c r="F185" i="5"/>
  <c r="F313" i="5"/>
  <c r="F441" i="5"/>
  <c r="F570" i="5"/>
  <c r="F698" i="5"/>
  <c r="F189" i="5"/>
  <c r="F445" i="5"/>
  <c r="F202" i="5"/>
  <c r="F330" i="5"/>
  <c r="F458" i="5"/>
  <c r="F587" i="5"/>
  <c r="F715" i="5"/>
  <c r="F203" i="5"/>
  <c r="F331" i="5"/>
  <c r="F459" i="5"/>
  <c r="F588" i="5"/>
  <c r="F716" i="5"/>
  <c r="F979" i="5"/>
  <c r="F316" i="5"/>
  <c r="F444" i="5"/>
  <c r="F573" i="5"/>
  <c r="F701" i="5"/>
  <c r="F734" i="5"/>
  <c r="F207" i="5"/>
  <c r="F335" i="5"/>
  <c r="F463" i="5"/>
  <c r="F640" i="5"/>
  <c r="F194" i="5"/>
  <c r="F325" i="5"/>
  <c r="F776" i="5"/>
  <c r="F387" i="5"/>
  <c r="F275" i="5"/>
  <c r="F403" i="5"/>
  <c r="F660" i="5"/>
  <c r="F788" i="5"/>
  <c r="F896" i="5"/>
  <c r="F365" i="5"/>
  <c r="F751" i="5"/>
  <c r="F128" i="5"/>
  <c r="F256" i="5"/>
  <c r="F625" i="5"/>
  <c r="F785" i="5"/>
  <c r="F113" i="5"/>
  <c r="F241" i="5"/>
  <c r="F369" i="5"/>
  <c r="F497" i="5"/>
  <c r="F642" i="5"/>
  <c r="F786" i="5"/>
  <c r="F692" i="5"/>
  <c r="F509" i="5"/>
  <c r="F561" i="5"/>
  <c r="F562" i="5"/>
  <c r="F450" i="5"/>
  <c r="F842" i="5"/>
  <c r="F340" i="5"/>
  <c r="F310" i="5"/>
  <c r="F697" i="5"/>
  <c r="F430" i="5"/>
  <c r="F410" i="5"/>
  <c r="F540" i="5"/>
  <c r="F781" i="5"/>
  <c r="F1023" i="5"/>
  <c r="F515" i="5"/>
  <c r="F147" i="5"/>
  <c r="F531" i="5"/>
  <c r="F130" i="5"/>
  <c r="F258" i="5"/>
  <c r="F386" i="5"/>
  <c r="F514" i="5"/>
  <c r="F643" i="5"/>
  <c r="F771" i="5"/>
  <c r="F148" i="5"/>
  <c r="F276" i="5"/>
  <c r="F404" i="5"/>
  <c r="F532" i="5"/>
  <c r="F661" i="5"/>
  <c r="F789" i="5"/>
  <c r="F133" i="5"/>
  <c r="F261" i="5"/>
  <c r="F389" i="5"/>
  <c r="F517" i="5"/>
  <c r="F646" i="5"/>
  <c r="F774" i="5"/>
  <c r="F302" i="5"/>
  <c r="F559" i="5"/>
  <c r="F118" i="5"/>
  <c r="F246" i="5"/>
  <c r="F374" i="5"/>
  <c r="F502" i="5"/>
  <c r="F631" i="5"/>
  <c r="F759" i="5"/>
  <c r="F120" i="5"/>
  <c r="F248" i="5"/>
  <c r="F376" i="5"/>
  <c r="F504" i="5"/>
  <c r="F633" i="5"/>
  <c r="F761" i="5"/>
  <c r="F183" i="5"/>
  <c r="F327" i="5"/>
  <c r="F455" i="5"/>
  <c r="F584" i="5"/>
  <c r="F712" i="5"/>
  <c r="F750" i="5"/>
  <c r="F591" i="5"/>
  <c r="F201" i="5"/>
  <c r="F329" i="5"/>
  <c r="F457" i="5"/>
  <c r="F586" i="5"/>
  <c r="F714" i="5"/>
  <c r="F221" i="5"/>
  <c r="F477" i="5"/>
  <c r="F218" i="5"/>
  <c r="F346" i="5"/>
  <c r="F474" i="5"/>
  <c r="F603" i="5"/>
  <c r="F731" i="5"/>
  <c r="F219" i="5"/>
  <c r="F347" i="5"/>
  <c r="F475" i="5"/>
  <c r="F604" i="5"/>
  <c r="F732" i="5"/>
  <c r="F204" i="5"/>
  <c r="F332" i="5"/>
  <c r="F460" i="5"/>
  <c r="F589" i="5"/>
  <c r="F717" i="5"/>
  <c r="F223" i="5"/>
  <c r="F351" i="5"/>
  <c r="F479" i="5"/>
  <c r="F656" i="5"/>
  <c r="F435" i="5"/>
  <c r="F433" i="5"/>
  <c r="F182" i="5"/>
  <c r="F539" i="5"/>
  <c r="F1001" i="5"/>
  <c r="F163" i="5"/>
  <c r="F291" i="5"/>
  <c r="F419" i="5"/>
  <c r="F548" i="5"/>
  <c r="F676" i="5"/>
  <c r="F526" i="5"/>
  <c r="F109" i="5"/>
  <c r="F397" i="5"/>
  <c r="F816" i="5"/>
  <c r="F144" i="5"/>
  <c r="F272" i="5"/>
  <c r="F657" i="5"/>
  <c r="F129" i="5"/>
  <c r="F257" i="5"/>
  <c r="F385" i="5"/>
  <c r="F513" i="5"/>
  <c r="F658" i="5"/>
  <c r="F211" i="5"/>
  <c r="F212" i="5"/>
  <c r="F582" i="5"/>
  <c r="F312" i="5"/>
  <c r="F247" i="5"/>
  <c r="F393" i="5"/>
  <c r="F155" i="5"/>
  <c r="F146" i="5"/>
  <c r="F274" i="5"/>
  <c r="F402" i="5"/>
  <c r="F530" i="5"/>
  <c r="F659" i="5"/>
  <c r="F787" i="5"/>
  <c r="F164" i="5"/>
  <c r="F292" i="5"/>
  <c r="F420" i="5"/>
  <c r="F549" i="5"/>
  <c r="F677" i="5"/>
  <c r="F149" i="5"/>
  <c r="F277" i="5"/>
  <c r="F405" i="5"/>
  <c r="F533" i="5"/>
  <c r="F662" i="5"/>
  <c r="F790" i="5"/>
  <c r="F318" i="5"/>
  <c r="F575" i="5"/>
  <c r="F134" i="5"/>
  <c r="F262" i="5"/>
  <c r="F390" i="5"/>
  <c r="F518" i="5"/>
  <c r="F647" i="5"/>
  <c r="F791" i="5"/>
  <c r="F136" i="5"/>
  <c r="F264" i="5"/>
  <c r="F392" i="5"/>
  <c r="F520" i="5"/>
  <c r="F649" i="5"/>
  <c r="F777" i="5"/>
  <c r="F199" i="5"/>
  <c r="F343" i="5"/>
  <c r="F471" i="5"/>
  <c r="F600" i="5"/>
  <c r="F728" i="5"/>
  <c r="F285" i="5"/>
  <c r="F782" i="5"/>
  <c r="F217" i="5"/>
  <c r="F345" i="5"/>
  <c r="F473" i="5"/>
  <c r="F602" i="5"/>
  <c r="F730" i="5"/>
  <c r="F253" i="5"/>
  <c r="F525" i="5"/>
  <c r="F106" i="5"/>
  <c r="F234" i="5"/>
  <c r="F362" i="5"/>
  <c r="F490" i="5"/>
  <c r="F619" i="5"/>
  <c r="F747" i="5"/>
  <c r="F107" i="5"/>
  <c r="F235" i="5"/>
  <c r="F363" i="5"/>
  <c r="F491" i="5"/>
  <c r="F620" i="5"/>
  <c r="F748" i="5"/>
  <c r="F220" i="5"/>
  <c r="F348" i="5"/>
  <c r="F476" i="5"/>
  <c r="F605" i="5"/>
  <c r="F733" i="5"/>
  <c r="F111" i="5"/>
  <c r="F239" i="5"/>
  <c r="F367" i="5"/>
  <c r="F495" i="5"/>
  <c r="F688" i="5"/>
  <c r="F938" i="5"/>
  <c r="F917" i="5"/>
  <c r="F922" i="5"/>
  <c r="F843" i="5"/>
  <c r="F971" i="5"/>
  <c r="F886" i="5"/>
  <c r="F803" i="5"/>
  <c r="F918" i="5"/>
  <c r="F853" i="5"/>
  <c r="F1018" i="5"/>
  <c r="F906" i="5"/>
  <c r="F965" i="5"/>
  <c r="F837" i="5"/>
  <c r="F1042" i="5"/>
  <c r="F892" i="5"/>
  <c r="F907" i="5"/>
  <c r="F937" i="5"/>
  <c r="F952" i="5"/>
  <c r="F873" i="5"/>
  <c r="F888" i="5"/>
  <c r="F956" i="5"/>
  <c r="F793" i="5"/>
  <c r="F854" i="5"/>
  <c r="F859" i="5"/>
  <c r="F923" i="5"/>
  <c r="F869" i="5"/>
  <c r="F991" i="5"/>
  <c r="F846" i="5"/>
  <c r="F910" i="5"/>
  <c r="F974" i="5"/>
  <c r="F927" i="5"/>
  <c r="F995" i="5"/>
  <c r="F795" i="5"/>
  <c r="F866" i="5"/>
  <c r="F930" i="5"/>
  <c r="F798" i="5"/>
  <c r="F1040" i="5"/>
  <c r="F1013" i="5"/>
  <c r="F919" i="5"/>
  <c r="F959" i="5"/>
  <c r="F1014" i="5"/>
  <c r="F834" i="5"/>
  <c r="F898" i="5"/>
  <c r="F962" i="5"/>
  <c r="F884" i="5"/>
  <c r="F948" i="5"/>
  <c r="F1017" i="5"/>
  <c r="F840" i="5"/>
  <c r="F904" i="5"/>
  <c r="F968" i="5"/>
  <c r="F1002" i="5"/>
  <c r="F982" i="5"/>
  <c r="F944" i="5"/>
  <c r="F870" i="5"/>
  <c r="F1048" i="5"/>
  <c r="F902" i="5"/>
  <c r="F1020" i="5"/>
  <c r="F844" i="5"/>
  <c r="F972" i="5"/>
  <c r="F893" i="5"/>
  <c r="F894" i="5"/>
  <c r="F958" i="5"/>
  <c r="F1032" i="5"/>
  <c r="F804" i="5"/>
  <c r="F875" i="5"/>
  <c r="F939" i="5"/>
  <c r="F860" i="5"/>
  <c r="F924" i="5"/>
  <c r="F992" i="5"/>
  <c r="F845" i="5"/>
  <c r="F909" i="5"/>
  <c r="F973" i="5"/>
  <c r="F911" i="5"/>
  <c r="F975" i="5"/>
  <c r="F833" i="5"/>
  <c r="F897" i="5"/>
  <c r="F961" i="5"/>
  <c r="F1033" i="5"/>
  <c r="F850" i="5"/>
  <c r="F914" i="5"/>
  <c r="F998" i="5"/>
  <c r="F851" i="5"/>
  <c r="F915" i="5"/>
  <c r="F836" i="5"/>
  <c r="F900" i="5"/>
  <c r="F964" i="5"/>
  <c r="F871" i="5"/>
  <c r="F935" i="5"/>
  <c r="F1003" i="5"/>
  <c r="F823" i="5"/>
  <c r="F889" i="5"/>
  <c r="F953" i="5"/>
  <c r="F1022" i="5"/>
  <c r="F960" i="5"/>
  <c r="F895" i="5"/>
  <c r="F891" i="5"/>
  <c r="F955" i="5"/>
  <c r="F805" i="5"/>
  <c r="F876" i="5"/>
  <c r="F940" i="5"/>
  <c r="F861" i="5"/>
  <c r="F925" i="5"/>
  <c r="F993" i="5"/>
  <c r="F996" i="5"/>
  <c r="F849" i="5"/>
  <c r="F913" i="5"/>
  <c r="F977" i="5"/>
  <c r="F1049" i="5"/>
  <c r="F885" i="5"/>
  <c r="F1015" i="5"/>
  <c r="F796" i="5"/>
  <c r="F867" i="5"/>
  <c r="F931" i="5"/>
  <c r="F999" i="5"/>
  <c r="F852" i="5"/>
  <c r="F916" i="5"/>
  <c r="F980" i="5"/>
  <c r="F887" i="5"/>
  <c r="F951" i="5"/>
  <c r="F856" i="5"/>
  <c r="F920" i="5"/>
  <c r="F841" i="5"/>
  <c r="F905" i="5"/>
  <c r="F969" i="5"/>
  <c r="F1041" i="5"/>
  <c r="F978" i="5"/>
  <c r="F862" i="5"/>
  <c r="F926" i="5"/>
  <c r="F994" i="5"/>
  <c r="F912" i="5"/>
  <c r="F976" i="5"/>
  <c r="F966" i="5"/>
  <c r="F1037" i="5"/>
  <c r="F1034" i="5"/>
  <c r="F877" i="5"/>
  <c r="F941" i="5"/>
  <c r="F1010" i="5"/>
  <c r="F950" i="5"/>
  <c r="F943" i="5"/>
  <c r="F1012" i="5"/>
  <c r="F865" i="5"/>
  <c r="F929" i="5"/>
  <c r="F997" i="5"/>
  <c r="F882" i="5"/>
  <c r="F946" i="5"/>
  <c r="F813" i="5"/>
  <c r="F883" i="5"/>
  <c r="F947" i="5"/>
  <c r="F1016" i="5"/>
  <c r="F797" i="5"/>
  <c r="F868" i="5"/>
  <c r="F932" i="5"/>
  <c r="F1000" i="5"/>
  <c r="F839" i="5"/>
  <c r="F903" i="5"/>
  <c r="F967" i="5"/>
  <c r="F801" i="5"/>
  <c r="F872" i="5"/>
  <c r="F936" i="5"/>
  <c r="F1021" i="5"/>
  <c r="F857" i="5"/>
  <c r="F921" i="5"/>
  <c r="F799" i="5"/>
  <c r="F1050" i="5"/>
  <c r="F878" i="5"/>
  <c r="F942" i="5"/>
  <c r="F1011" i="5"/>
  <c r="F928" i="5"/>
  <c r="F838" i="5"/>
  <c r="F1019" i="5"/>
  <c r="F957" i="5"/>
  <c r="F811" i="5"/>
  <c r="F881" i="5"/>
  <c r="F945" i="5"/>
  <c r="F835" i="5"/>
  <c r="F899" i="5"/>
  <c r="F963" i="5"/>
  <c r="F855" i="5"/>
  <c r="F983" i="5"/>
  <c r="F847" i="5"/>
  <c r="F1043" i="5"/>
  <c r="F908" i="5"/>
  <c r="F830" i="5"/>
  <c r="F863" i="5"/>
  <c r="H1052" i="5"/>
  <c r="D51" i="9"/>
  <c r="D45" i="9"/>
  <c r="F45" i="9"/>
  <c r="D42" i="9"/>
  <c r="F42" i="9"/>
  <c r="D50" i="9"/>
  <c r="D44" i="9"/>
  <c r="D48" i="9"/>
  <c r="F48" i="9"/>
  <c r="G1052" i="5"/>
  <c r="D49" i="9"/>
  <c r="D43" i="9"/>
  <c r="E48" i="9"/>
  <c r="E42" i="9"/>
  <c r="D47" i="9"/>
  <c r="D41" i="9"/>
  <c r="D46" i="9"/>
  <c r="F46" i="9"/>
  <c r="D40" i="9"/>
  <c r="E45" i="9"/>
  <c r="F1052" i="5"/>
  <c r="E83" i="9"/>
  <c r="F83" i="9"/>
  <c r="E105" i="9"/>
  <c r="F105" i="9"/>
  <c r="F794" i="5"/>
  <c r="F170" i="5"/>
  <c r="E82" i="9"/>
  <c r="F82" i="9"/>
  <c r="E79" i="9"/>
  <c r="F79" i="9"/>
  <c r="F800" i="5"/>
  <c r="E41" i="9"/>
  <c r="F1024" i="5"/>
  <c r="E43" i="9"/>
  <c r="E91" i="9"/>
  <c r="F91" i="9"/>
  <c r="F187" i="5"/>
  <c r="F814" i="5"/>
  <c r="F188" i="5"/>
  <c r="E10" i="9"/>
  <c r="F10" i="9"/>
  <c r="F175" i="5"/>
  <c r="F1025" i="5"/>
  <c r="F802" i="5"/>
  <c r="F180" i="5"/>
  <c r="F806" i="5"/>
  <c r="F792" i="5"/>
  <c r="F1005" i="5"/>
  <c r="F181" i="5"/>
  <c r="F808" i="5"/>
  <c r="E104" i="9"/>
  <c r="F104" i="9"/>
  <c r="F1008" i="5"/>
  <c r="F981" i="5"/>
  <c r="F173" i="5"/>
  <c r="F807" i="5"/>
  <c r="F179" i="5"/>
  <c r="F172" i="5"/>
  <c r="E32" i="9"/>
  <c r="F32" i="9"/>
  <c r="E17" i="9"/>
  <c r="F17" i="9"/>
  <c r="E7" i="9"/>
  <c r="F7" i="9"/>
  <c r="E25" i="9"/>
  <c r="F25" i="9"/>
  <c r="E31" i="9"/>
  <c r="F31" i="9"/>
  <c r="E50" i="9"/>
  <c r="E13" i="9"/>
  <c r="F13" i="9"/>
  <c r="E35" i="9"/>
  <c r="F35" i="9"/>
  <c r="F395" i="5"/>
  <c r="E5" i="9"/>
  <c r="F5" i="9"/>
  <c r="E70" i="9"/>
  <c r="F70" i="9"/>
  <c r="F171" i="5"/>
  <c r="E101" i="9"/>
  <c r="F101" i="9"/>
  <c r="E118" i="9"/>
  <c r="F118" i="9"/>
  <c r="E14" i="9"/>
  <c r="F14" i="9"/>
  <c r="E8" i="9"/>
  <c r="F8" i="9"/>
  <c r="E23" i="9"/>
  <c r="F23" i="9"/>
  <c r="E11" i="9"/>
  <c r="F11" i="9"/>
  <c r="E80" i="9"/>
  <c r="F80" i="9"/>
  <c r="E67" i="9"/>
  <c r="F67" i="9"/>
  <c r="E47" i="9"/>
  <c r="I116" i="7"/>
  <c r="I115" i="7"/>
  <c r="I114" i="7"/>
  <c r="I113" i="7"/>
  <c r="I112" i="7"/>
  <c r="I110" i="7"/>
  <c r="I109" i="7"/>
  <c r="I108" i="7"/>
  <c r="I107" i="7"/>
  <c r="I106" i="7"/>
  <c r="I104" i="7"/>
  <c r="I103" i="7"/>
  <c r="I102" i="7"/>
  <c r="I101" i="7"/>
  <c r="I100" i="7"/>
  <c r="I98" i="7"/>
  <c r="I97" i="7"/>
  <c r="I96" i="7"/>
  <c r="I95" i="7"/>
  <c r="I94" i="7"/>
  <c r="I93" i="7"/>
  <c r="I91" i="7"/>
  <c r="I90" i="7"/>
  <c r="I89" i="7"/>
  <c r="I88" i="7"/>
  <c r="I87" i="7"/>
  <c r="I86" i="7"/>
  <c r="I84" i="7"/>
  <c r="I83" i="7"/>
  <c r="I82" i="7"/>
  <c r="I81" i="7"/>
  <c r="I80" i="7"/>
  <c r="I79" i="7"/>
  <c r="I77" i="7"/>
  <c r="I76" i="7"/>
  <c r="I75" i="7"/>
  <c r="I74" i="7"/>
  <c r="I73" i="7"/>
  <c r="I72" i="7"/>
  <c r="I70" i="7"/>
  <c r="I69" i="7"/>
  <c r="I68" i="7"/>
  <c r="I67" i="7"/>
  <c r="I66" i="7"/>
  <c r="I65" i="7"/>
  <c r="I63" i="7"/>
  <c r="I62" i="7"/>
  <c r="I61" i="7"/>
  <c r="I60" i="7"/>
  <c r="I59" i="7"/>
  <c r="I58" i="7"/>
  <c r="I56" i="7"/>
  <c r="I55" i="7"/>
  <c r="I54" i="7"/>
  <c r="I53" i="7"/>
  <c r="I52" i="7"/>
  <c r="I51" i="7"/>
  <c r="I49" i="7"/>
  <c r="I48" i="7"/>
  <c r="I47" i="7"/>
  <c r="I46" i="7"/>
  <c r="I45" i="7"/>
  <c r="I44" i="7"/>
  <c r="I42" i="7"/>
  <c r="I41" i="7"/>
  <c r="I40" i="7"/>
  <c r="I39" i="7"/>
  <c r="I38" i="7"/>
  <c r="I37" i="7"/>
  <c r="I35" i="7"/>
  <c r="I34" i="7"/>
  <c r="I33" i="7"/>
  <c r="I32" i="7"/>
  <c r="I31" i="7"/>
  <c r="I30" i="7"/>
  <c r="I28" i="7"/>
  <c r="I912" i="7"/>
  <c r="I911" i="7"/>
  <c r="I910" i="7"/>
  <c r="I909" i="7"/>
  <c r="I908" i="7"/>
  <c r="I907" i="7"/>
  <c r="I906" i="7"/>
  <c r="I905" i="7"/>
  <c r="I904" i="7"/>
  <c r="I903" i="7"/>
  <c r="I902" i="7"/>
  <c r="I901" i="7"/>
  <c r="I900" i="7"/>
  <c r="I899" i="7"/>
  <c r="I898" i="7"/>
  <c r="I897" i="7"/>
  <c r="I896" i="7"/>
  <c r="I895" i="7"/>
  <c r="I894" i="7"/>
  <c r="I893" i="7"/>
  <c r="I892" i="7"/>
  <c r="I891" i="7"/>
  <c r="I890" i="7"/>
  <c r="I889" i="7"/>
  <c r="I888" i="7"/>
  <c r="I887" i="7"/>
  <c r="I886" i="7"/>
  <c r="I885" i="7"/>
  <c r="I884" i="7"/>
  <c r="I883" i="7"/>
  <c r="I882" i="7"/>
  <c r="I881" i="7"/>
  <c r="I880" i="7"/>
  <c r="I879" i="7"/>
  <c r="I878" i="7"/>
  <c r="I877" i="7"/>
  <c r="I876" i="7"/>
  <c r="I875" i="7"/>
  <c r="I874" i="7"/>
  <c r="I873" i="7"/>
  <c r="I872" i="7"/>
  <c r="I871" i="7"/>
  <c r="I870" i="7"/>
  <c r="I869" i="7"/>
  <c r="I868" i="7"/>
  <c r="I867" i="7"/>
  <c r="I866" i="7"/>
  <c r="I865" i="7"/>
  <c r="I864" i="7"/>
  <c r="I863" i="7"/>
  <c r="I862" i="7"/>
  <c r="I861" i="7"/>
  <c r="I860" i="7"/>
  <c r="I859" i="7"/>
  <c r="I858" i="7"/>
  <c r="I857" i="7"/>
  <c r="I856" i="7"/>
  <c r="I855" i="7"/>
  <c r="I854" i="7"/>
  <c r="I853" i="7"/>
  <c r="I852" i="7"/>
  <c r="I851" i="7"/>
  <c r="I850" i="7"/>
  <c r="I849" i="7"/>
  <c r="I848" i="7"/>
  <c r="I847" i="7"/>
  <c r="I846" i="7"/>
  <c r="I845" i="7"/>
  <c r="I844" i="7"/>
  <c r="I843" i="7"/>
  <c r="I842" i="7"/>
  <c r="I841" i="7"/>
  <c r="I840" i="7"/>
  <c r="I839" i="7"/>
  <c r="I838" i="7"/>
  <c r="I837" i="7"/>
  <c r="I836" i="7"/>
  <c r="I835" i="7"/>
  <c r="I834" i="7"/>
  <c r="I833" i="7"/>
  <c r="I832" i="7"/>
  <c r="I831" i="7"/>
  <c r="I830" i="7"/>
  <c r="I829" i="7"/>
  <c r="F44" i="9"/>
  <c r="F47" i="9"/>
  <c r="F50" i="9"/>
  <c r="F43" i="9"/>
  <c r="F41" i="9"/>
  <c r="D124" i="9"/>
  <c r="I101" i="5"/>
  <c r="I94" i="5"/>
  <c r="I87" i="5"/>
  <c r="I77" i="5"/>
  <c r="I74" i="5"/>
  <c r="I70" i="5"/>
  <c r="I69" i="5"/>
  <c r="I68" i="5"/>
  <c r="I67" i="5"/>
  <c r="I66" i="5"/>
  <c r="I55" i="5"/>
  <c r="I48" i="5"/>
  <c r="I47" i="5"/>
  <c r="I39" i="5"/>
  <c r="I38" i="5"/>
  <c r="I33" i="5"/>
  <c r="I32" i="5"/>
  <c r="I28" i="5"/>
  <c r="I23" i="5"/>
  <c r="I22" i="5"/>
  <c r="I21" i="5"/>
  <c r="I20" i="5"/>
  <c r="I19" i="5"/>
  <c r="I18" i="5"/>
  <c r="I17" i="5"/>
  <c r="I16" i="5"/>
  <c r="I15" i="5"/>
  <c r="I11" i="5"/>
  <c r="I8" i="5"/>
  <c r="I5" i="5"/>
  <c r="I4" i="5"/>
  <c r="Q987" i="7"/>
  <c r="T987" i="7"/>
  <c r="U987" i="7"/>
  <c r="V987" i="7"/>
  <c r="G50" i="9"/>
  <c r="G48" i="9"/>
  <c r="G47" i="9"/>
  <c r="G45" i="9"/>
  <c r="G42" i="9"/>
  <c r="G41" i="9"/>
  <c r="G36" i="9"/>
  <c r="G33" i="9"/>
  <c r="G30" i="9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I528" i="7"/>
  <c r="I529" i="7"/>
  <c r="I530" i="7"/>
  <c r="I531" i="7"/>
  <c r="I532" i="7"/>
  <c r="I533" i="7"/>
  <c r="I534" i="7"/>
  <c r="I535" i="7"/>
  <c r="I536" i="7"/>
  <c r="I537" i="7"/>
  <c r="I538" i="7"/>
  <c r="I539" i="7"/>
  <c r="I540" i="7"/>
  <c r="I541" i="7"/>
  <c r="I542" i="7"/>
  <c r="I543" i="7"/>
  <c r="I544" i="7"/>
  <c r="I545" i="7"/>
  <c r="I546" i="7"/>
  <c r="I547" i="7"/>
  <c r="I548" i="7"/>
  <c r="I549" i="7"/>
  <c r="I550" i="7"/>
  <c r="I551" i="7"/>
  <c r="I552" i="7"/>
  <c r="I553" i="7"/>
  <c r="I554" i="7"/>
  <c r="I555" i="7"/>
  <c r="I556" i="7"/>
  <c r="I557" i="7"/>
  <c r="I558" i="7"/>
  <c r="I559" i="7"/>
  <c r="I560" i="7"/>
  <c r="I792" i="7"/>
  <c r="I793" i="7"/>
  <c r="I794" i="7"/>
  <c r="I795" i="7"/>
  <c r="I796" i="7"/>
  <c r="I797" i="7"/>
  <c r="I798" i="7"/>
  <c r="I799" i="7"/>
  <c r="I800" i="7"/>
  <c r="I801" i="7"/>
  <c r="I804" i="7"/>
  <c r="I805" i="7"/>
  <c r="I806" i="7"/>
  <c r="I807" i="7"/>
  <c r="I808" i="7"/>
  <c r="I809" i="7"/>
  <c r="I810" i="7"/>
  <c r="I811" i="7"/>
  <c r="I812" i="7"/>
  <c r="I813" i="7"/>
  <c r="I814" i="7"/>
  <c r="I815" i="7"/>
  <c r="I816" i="7"/>
  <c r="I817" i="7"/>
  <c r="I818" i="7"/>
  <c r="I819" i="7"/>
  <c r="I820" i="7"/>
  <c r="I821" i="7"/>
  <c r="I822" i="7"/>
  <c r="I823" i="7"/>
  <c r="I824" i="7"/>
  <c r="I825" i="7"/>
  <c r="I826" i="7"/>
  <c r="I827" i="7"/>
  <c r="I828" i="7"/>
  <c r="I983" i="7"/>
  <c r="I984" i="7"/>
  <c r="I985" i="7"/>
  <c r="I986" i="7"/>
  <c r="I987" i="7"/>
  <c r="I988" i="7"/>
  <c r="I989" i="7"/>
  <c r="I990" i="7"/>
  <c r="I991" i="7"/>
  <c r="I992" i="7"/>
  <c r="I993" i="7"/>
  <c r="I994" i="7"/>
  <c r="I995" i="7"/>
  <c r="I996" i="7"/>
  <c r="I997" i="7"/>
  <c r="I998" i="7"/>
  <c r="I999" i="7"/>
  <c r="I1000" i="7"/>
  <c r="I1001" i="7"/>
  <c r="I1002" i="7"/>
  <c r="I1003" i="7"/>
  <c r="I1004" i="7"/>
  <c r="I1005" i="7"/>
  <c r="I1006" i="7"/>
  <c r="I1007" i="7"/>
  <c r="I1008" i="7"/>
  <c r="I1009" i="7"/>
  <c r="I1026" i="7"/>
  <c r="I1027" i="7"/>
  <c r="I1028" i="7"/>
  <c r="I1029" i="7"/>
  <c r="I1030" i="7"/>
  <c r="I2" i="7"/>
  <c r="G110" i="9"/>
  <c r="G111" i="9"/>
  <c r="G112" i="9"/>
  <c r="G113" i="9"/>
  <c r="G114" i="9"/>
  <c r="G115" i="9"/>
  <c r="G116" i="9"/>
  <c r="G117" i="9"/>
  <c r="G119" i="9"/>
  <c r="G120" i="9"/>
  <c r="G121" i="9"/>
  <c r="G122" i="9"/>
  <c r="G123" i="9"/>
  <c r="G12" i="9"/>
  <c r="G15" i="9"/>
  <c r="G17" i="9"/>
  <c r="G18" i="9"/>
  <c r="G21" i="9"/>
  <c r="G23" i="9"/>
  <c r="G24" i="9"/>
  <c r="G53" i="9"/>
  <c r="G54" i="9"/>
  <c r="G57" i="9"/>
  <c r="G60" i="9"/>
  <c r="G65" i="9"/>
  <c r="G66" i="9"/>
  <c r="G69" i="9"/>
  <c r="G72" i="9"/>
  <c r="G77" i="9"/>
  <c r="G78" i="9"/>
  <c r="G81" i="9"/>
  <c r="G84" i="9"/>
  <c r="G88" i="9"/>
  <c r="G89" i="9"/>
  <c r="G90" i="9"/>
  <c r="G92" i="9"/>
  <c r="G93" i="9"/>
  <c r="G95" i="9"/>
  <c r="G96" i="9"/>
  <c r="G97" i="9"/>
  <c r="G98" i="9"/>
  <c r="G99" i="9"/>
  <c r="G100" i="9"/>
  <c r="G102" i="9"/>
  <c r="G103" i="9"/>
  <c r="G106" i="9"/>
  <c r="G107" i="9"/>
  <c r="G108" i="9"/>
  <c r="G109" i="9"/>
  <c r="G9" i="9"/>
  <c r="G6" i="9"/>
  <c r="J80" i="5"/>
  <c r="K80" i="5"/>
  <c r="J83" i="5"/>
  <c r="K83" i="5"/>
  <c r="J82" i="5"/>
  <c r="K82" i="5"/>
  <c r="J81" i="5"/>
  <c r="K81" i="5"/>
  <c r="J79" i="5"/>
  <c r="K79" i="5"/>
  <c r="J78" i="5"/>
  <c r="K78" i="5"/>
  <c r="J77" i="5"/>
  <c r="K77" i="5"/>
  <c r="J76" i="5"/>
  <c r="K76" i="5"/>
  <c r="J46" i="5"/>
  <c r="K46" i="5"/>
  <c r="J73" i="5"/>
  <c r="K73" i="5"/>
  <c r="J71" i="5"/>
  <c r="K71" i="5"/>
  <c r="J72" i="5"/>
  <c r="K72" i="5"/>
  <c r="J102" i="5"/>
  <c r="K102" i="5"/>
  <c r="J74" i="5"/>
  <c r="K74" i="5"/>
  <c r="J75" i="5"/>
  <c r="K75" i="5"/>
  <c r="G83" i="9"/>
  <c r="G4" i="5"/>
  <c r="H4" i="5"/>
  <c r="G5" i="5"/>
  <c r="H5" i="5"/>
  <c r="G6" i="5"/>
  <c r="H6" i="5"/>
  <c r="G7" i="5"/>
  <c r="H7" i="5"/>
  <c r="G8" i="5"/>
  <c r="H8" i="5"/>
  <c r="G9" i="5"/>
  <c r="H9" i="5"/>
  <c r="G10" i="5"/>
  <c r="H10" i="5"/>
  <c r="G11" i="5"/>
  <c r="H11" i="5"/>
  <c r="G12" i="5"/>
  <c r="H12" i="5"/>
  <c r="G13" i="5"/>
  <c r="H13" i="5"/>
  <c r="G14" i="5"/>
  <c r="H14" i="5"/>
  <c r="G15" i="5"/>
  <c r="H15" i="5"/>
  <c r="G16" i="5"/>
  <c r="H16" i="5"/>
  <c r="G17" i="5"/>
  <c r="H17" i="5"/>
  <c r="G18" i="5"/>
  <c r="H18" i="5"/>
  <c r="G19" i="5"/>
  <c r="H19" i="5"/>
  <c r="G20" i="5"/>
  <c r="H20" i="5"/>
  <c r="G21" i="5"/>
  <c r="H21" i="5"/>
  <c r="G22" i="5"/>
  <c r="H22" i="5"/>
  <c r="G23" i="5"/>
  <c r="H23" i="5"/>
  <c r="G24" i="5"/>
  <c r="H24" i="5"/>
  <c r="G25" i="5"/>
  <c r="H25" i="5"/>
  <c r="G26" i="5"/>
  <c r="H26" i="5"/>
  <c r="G27" i="5"/>
  <c r="H27" i="5"/>
  <c r="G28" i="5"/>
  <c r="H28" i="5"/>
  <c r="G29" i="5"/>
  <c r="H29" i="5"/>
  <c r="G30" i="5"/>
  <c r="H30" i="5"/>
  <c r="G31" i="5"/>
  <c r="H31" i="5"/>
  <c r="G32" i="5"/>
  <c r="H32" i="5"/>
  <c r="G33" i="5"/>
  <c r="H33" i="5"/>
  <c r="G34" i="5"/>
  <c r="H34" i="5"/>
  <c r="G35" i="5"/>
  <c r="H35" i="5"/>
  <c r="G36" i="5"/>
  <c r="H36" i="5"/>
  <c r="G37" i="5"/>
  <c r="H37" i="5"/>
  <c r="G38" i="5"/>
  <c r="H38" i="5"/>
  <c r="G39" i="5"/>
  <c r="H39" i="5"/>
  <c r="G40" i="5"/>
  <c r="H40" i="5"/>
  <c r="G41" i="5"/>
  <c r="H41" i="5"/>
  <c r="G42" i="5"/>
  <c r="H42" i="5"/>
  <c r="G43" i="5"/>
  <c r="H43" i="5"/>
  <c r="G44" i="5"/>
  <c r="H44" i="5"/>
  <c r="G45" i="5"/>
  <c r="H45" i="5"/>
  <c r="G46" i="5"/>
  <c r="H46" i="5"/>
  <c r="G47" i="5"/>
  <c r="H47" i="5"/>
  <c r="G48" i="5"/>
  <c r="H48" i="5"/>
  <c r="G49" i="5"/>
  <c r="H49" i="5"/>
  <c r="G50" i="5"/>
  <c r="H50" i="5"/>
  <c r="G51" i="5"/>
  <c r="H51" i="5"/>
  <c r="G52" i="5"/>
  <c r="H52" i="5"/>
  <c r="G53" i="5"/>
  <c r="H53" i="5"/>
  <c r="G54" i="5"/>
  <c r="H54" i="5"/>
  <c r="G55" i="5"/>
  <c r="H55" i="5"/>
  <c r="G56" i="5"/>
  <c r="H56" i="5"/>
  <c r="G57" i="5"/>
  <c r="H57" i="5"/>
  <c r="G58" i="5"/>
  <c r="H58" i="5"/>
  <c r="G59" i="5"/>
  <c r="H59" i="5"/>
  <c r="G60" i="5"/>
  <c r="H60" i="5"/>
  <c r="G61" i="5"/>
  <c r="H61" i="5"/>
  <c r="G62" i="5"/>
  <c r="H62" i="5"/>
  <c r="G63" i="5"/>
  <c r="H63" i="5"/>
  <c r="G64" i="5"/>
  <c r="H64" i="5"/>
  <c r="G65" i="5"/>
  <c r="H65" i="5"/>
  <c r="G66" i="5"/>
  <c r="H66" i="5"/>
  <c r="G67" i="5"/>
  <c r="H67" i="5"/>
  <c r="G68" i="5"/>
  <c r="H68" i="5"/>
  <c r="G69" i="5"/>
  <c r="H69" i="5"/>
  <c r="G70" i="5"/>
  <c r="H70" i="5"/>
  <c r="G71" i="5"/>
  <c r="H71" i="5"/>
  <c r="G72" i="5"/>
  <c r="H72" i="5"/>
  <c r="G73" i="5"/>
  <c r="H73" i="5"/>
  <c r="G74" i="5"/>
  <c r="H74" i="5"/>
  <c r="G75" i="5"/>
  <c r="H75" i="5"/>
  <c r="G76" i="5"/>
  <c r="H76" i="5"/>
  <c r="G77" i="5"/>
  <c r="H77" i="5"/>
  <c r="G78" i="5"/>
  <c r="H78" i="5"/>
  <c r="G79" i="5"/>
  <c r="H79" i="5"/>
  <c r="G80" i="5"/>
  <c r="H80" i="5"/>
  <c r="G81" i="5"/>
  <c r="H81" i="5"/>
  <c r="G82" i="5"/>
  <c r="H82" i="5"/>
  <c r="G83" i="5"/>
  <c r="H83" i="5"/>
  <c r="G84" i="5"/>
  <c r="H84" i="5"/>
  <c r="G85" i="5"/>
  <c r="H85" i="5"/>
  <c r="G86" i="5"/>
  <c r="H86" i="5"/>
  <c r="G87" i="5"/>
  <c r="H87" i="5"/>
  <c r="G88" i="5"/>
  <c r="H88" i="5"/>
  <c r="G89" i="5"/>
  <c r="H89" i="5"/>
  <c r="G90" i="5"/>
  <c r="H90" i="5"/>
  <c r="G91" i="5"/>
  <c r="H91" i="5"/>
  <c r="G92" i="5"/>
  <c r="H92" i="5"/>
  <c r="G93" i="5"/>
  <c r="H93" i="5"/>
  <c r="G94" i="5"/>
  <c r="H94" i="5"/>
  <c r="G95" i="5"/>
  <c r="H95" i="5"/>
  <c r="G96" i="5"/>
  <c r="H96" i="5"/>
  <c r="G97" i="5"/>
  <c r="H97" i="5"/>
  <c r="G98" i="5"/>
  <c r="H98" i="5"/>
  <c r="G99" i="5"/>
  <c r="H99" i="5"/>
  <c r="G100" i="5"/>
  <c r="H100" i="5"/>
  <c r="G101" i="5"/>
  <c r="H101" i="5"/>
  <c r="G102" i="5"/>
  <c r="H102" i="5"/>
  <c r="H3" i="5"/>
  <c r="G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3" i="5"/>
  <c r="F71" i="5"/>
  <c r="F72" i="5"/>
  <c r="F74" i="5"/>
  <c r="F75" i="5"/>
  <c r="F77" i="5"/>
  <c r="F78" i="5"/>
  <c r="F79" i="5"/>
  <c r="F80" i="5"/>
  <c r="F81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3" i="5"/>
  <c r="Q8" i="7"/>
  <c r="T8" i="7"/>
  <c r="U8" i="7"/>
  <c r="V8" i="7"/>
  <c r="Q18" i="7"/>
  <c r="T18" i="7"/>
  <c r="U18" i="7"/>
  <c r="V18" i="7"/>
  <c r="Q27" i="7"/>
  <c r="T27" i="7"/>
  <c r="U27" i="7"/>
  <c r="V27" i="7"/>
  <c r="Q536" i="7"/>
  <c r="T536" i="7"/>
  <c r="Q821" i="7"/>
  <c r="T821" i="7"/>
  <c r="Q986" i="7"/>
  <c r="T986" i="7"/>
  <c r="J985" i="5"/>
  <c r="K985" i="5"/>
  <c r="Q1008" i="7"/>
  <c r="T1008" i="7"/>
  <c r="Q1030" i="7"/>
  <c r="T1030" i="7"/>
  <c r="J1031" i="5"/>
  <c r="K1031" i="5"/>
  <c r="J1007" i="5"/>
  <c r="K1007" i="5"/>
  <c r="J1009" i="5"/>
  <c r="K1009" i="5"/>
  <c r="E52" i="9"/>
  <c r="F52" i="9"/>
  <c r="U986" i="7"/>
  <c r="V986" i="7"/>
  <c r="J984" i="5"/>
  <c r="K984" i="5"/>
  <c r="U1030" i="7"/>
  <c r="V1030" i="7"/>
  <c r="F1031" i="5"/>
  <c r="U536" i="7"/>
  <c r="V536" i="7"/>
  <c r="E4" i="9"/>
  <c r="F4" i="9"/>
  <c r="J537" i="5"/>
  <c r="U1008" i="7"/>
  <c r="V1008" i="7"/>
  <c r="F1009" i="5"/>
  <c r="J1006" i="5"/>
  <c r="K1006" i="5"/>
  <c r="U821" i="7"/>
  <c r="V821" i="7"/>
  <c r="E28" i="9"/>
  <c r="F28" i="9"/>
  <c r="E16" i="9"/>
  <c r="F16" i="9"/>
  <c r="E64" i="9"/>
  <c r="F64" i="9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AG2" i="5"/>
  <c r="AH2" i="5"/>
  <c r="AI2" i="5"/>
  <c r="AJ2" i="5"/>
  <c r="AK2" i="5"/>
  <c r="AL2" i="5"/>
  <c r="AM2" i="5"/>
  <c r="AN2" i="5"/>
  <c r="AO2" i="5"/>
  <c r="AP2" i="5"/>
  <c r="AQ2" i="5"/>
  <c r="AR2" i="5"/>
  <c r="AS2" i="5"/>
  <c r="AT2" i="5"/>
  <c r="AU2" i="5"/>
  <c r="AV2" i="5"/>
  <c r="AW2" i="5"/>
  <c r="E40" i="9"/>
  <c r="F40" i="9"/>
  <c r="F1007" i="5"/>
  <c r="F984" i="5"/>
  <c r="F985" i="5"/>
  <c r="F1006" i="5"/>
  <c r="F537" i="5"/>
  <c r="Q1029" i="7"/>
  <c r="Q989" i="7"/>
  <c r="Q828" i="7"/>
  <c r="Q823" i="7"/>
  <c r="T823" i="7"/>
  <c r="Q820" i="7"/>
  <c r="T820" i="7"/>
  <c r="J819" i="5"/>
  <c r="K819" i="5"/>
  <c r="T819" i="7"/>
  <c r="J820" i="5"/>
  <c r="K820" i="5"/>
  <c r="Q811" i="7"/>
  <c r="T811" i="7"/>
  <c r="J28" i="5"/>
  <c r="K28" i="5"/>
  <c r="Q26" i="7"/>
  <c r="J25" i="5"/>
  <c r="K25" i="5"/>
  <c r="J24" i="5"/>
  <c r="K24" i="5"/>
  <c r="J23" i="5"/>
  <c r="K23" i="5"/>
  <c r="J22" i="5"/>
  <c r="K22" i="5"/>
  <c r="J21" i="5"/>
  <c r="K21" i="5"/>
  <c r="J20" i="5"/>
  <c r="K20" i="5"/>
  <c r="J19" i="5"/>
  <c r="K19" i="5"/>
  <c r="J18" i="5"/>
  <c r="K18" i="5"/>
  <c r="J17" i="5"/>
  <c r="K17" i="5"/>
  <c r="J13" i="5"/>
  <c r="K13" i="5"/>
  <c r="J12" i="5"/>
  <c r="K12" i="5"/>
  <c r="J11" i="5"/>
  <c r="K11" i="5"/>
  <c r="J10" i="5"/>
  <c r="K10" i="5"/>
  <c r="J9" i="5"/>
  <c r="Q7" i="7"/>
  <c r="Q6" i="7"/>
  <c r="J16" i="5"/>
  <c r="K16" i="5"/>
  <c r="J15" i="5"/>
  <c r="K15" i="5"/>
  <c r="J14" i="5"/>
  <c r="K14" i="5"/>
  <c r="J6" i="5"/>
  <c r="K6" i="5"/>
  <c r="J5" i="5"/>
  <c r="K5" i="5"/>
  <c r="J4" i="5"/>
  <c r="K4" i="5"/>
  <c r="T2" i="7"/>
  <c r="J3" i="5"/>
  <c r="K3" i="5"/>
  <c r="J810" i="5"/>
  <c r="K810" i="5"/>
  <c r="J812" i="5"/>
  <c r="K812" i="5"/>
  <c r="J822" i="5"/>
  <c r="K822" i="5"/>
  <c r="J824" i="5"/>
  <c r="K824" i="5"/>
  <c r="U811" i="7"/>
  <c r="V811" i="7"/>
  <c r="F812" i="5"/>
  <c r="J809" i="5"/>
  <c r="K809" i="5"/>
  <c r="U820" i="7"/>
  <c r="V820" i="7"/>
  <c r="J818" i="5"/>
  <c r="K818" i="5"/>
  <c r="U819" i="7"/>
  <c r="V819" i="7"/>
  <c r="F820" i="5"/>
  <c r="J817" i="5"/>
  <c r="K817" i="5"/>
  <c r="U823" i="7"/>
  <c r="V823" i="7"/>
  <c r="F824" i="5"/>
  <c r="J821" i="5"/>
  <c r="K821" i="5"/>
  <c r="T6" i="7"/>
  <c r="U6" i="7"/>
  <c r="V6" i="7"/>
  <c r="T25" i="7"/>
  <c r="U25" i="7"/>
  <c r="V25" i="7"/>
  <c r="T7" i="7"/>
  <c r="U7" i="7"/>
  <c r="V7" i="7"/>
  <c r="T989" i="7"/>
  <c r="T827" i="7"/>
  <c r="J828" i="5"/>
  <c r="K828" i="5"/>
  <c r="T1028" i="7"/>
  <c r="J1029" i="5"/>
  <c r="K1029" i="5"/>
  <c r="T1029" i="7"/>
  <c r="T26" i="7"/>
  <c r="U26" i="7"/>
  <c r="V26" i="7"/>
  <c r="T988" i="7"/>
  <c r="J989" i="5"/>
  <c r="K989" i="5"/>
  <c r="T828" i="7"/>
  <c r="J29" i="5"/>
  <c r="K29" i="5"/>
  <c r="F102" i="5"/>
  <c r="J37" i="5"/>
  <c r="K37" i="5"/>
  <c r="J93" i="5"/>
  <c r="K93" i="5"/>
  <c r="J53" i="5"/>
  <c r="K53" i="5"/>
  <c r="J61" i="5"/>
  <c r="K61" i="5"/>
  <c r="J40" i="5"/>
  <c r="K40" i="5"/>
  <c r="J96" i="5"/>
  <c r="K96" i="5"/>
  <c r="J48" i="5"/>
  <c r="K48" i="5"/>
  <c r="J56" i="5"/>
  <c r="K56" i="5"/>
  <c r="J64" i="5"/>
  <c r="K64" i="5"/>
  <c r="J85" i="5"/>
  <c r="K85" i="5"/>
  <c r="J41" i="5"/>
  <c r="K41" i="5"/>
  <c r="J97" i="5"/>
  <c r="K97" i="5"/>
  <c r="J34" i="5"/>
  <c r="K34" i="5"/>
  <c r="J90" i="5"/>
  <c r="K90" i="5"/>
  <c r="J42" i="5"/>
  <c r="K42" i="5"/>
  <c r="J98" i="5"/>
  <c r="K98" i="5"/>
  <c r="J50" i="5"/>
  <c r="K50" i="5"/>
  <c r="J58" i="5"/>
  <c r="K58" i="5"/>
  <c r="J66" i="5"/>
  <c r="K66" i="5"/>
  <c r="J32" i="5"/>
  <c r="K32" i="5"/>
  <c r="J88" i="5"/>
  <c r="K88" i="5"/>
  <c r="J49" i="5"/>
  <c r="K49" i="5"/>
  <c r="J57" i="5"/>
  <c r="K57" i="5"/>
  <c r="J65" i="5"/>
  <c r="K65" i="5"/>
  <c r="J35" i="5"/>
  <c r="K35" i="5"/>
  <c r="J91" i="5"/>
  <c r="K91" i="5"/>
  <c r="J43" i="5"/>
  <c r="K43" i="5"/>
  <c r="J99" i="5"/>
  <c r="K99" i="5"/>
  <c r="J51" i="5"/>
  <c r="K51" i="5"/>
  <c r="J59" i="5"/>
  <c r="K59" i="5"/>
  <c r="J67" i="5"/>
  <c r="K67" i="5"/>
  <c r="J33" i="5"/>
  <c r="K33" i="5"/>
  <c r="J89" i="5"/>
  <c r="K89" i="5"/>
  <c r="J36" i="5"/>
  <c r="K36" i="5"/>
  <c r="J92" i="5"/>
  <c r="K92" i="5"/>
  <c r="J44" i="5"/>
  <c r="K44" i="5"/>
  <c r="J100" i="5"/>
  <c r="K100" i="5"/>
  <c r="J52" i="5"/>
  <c r="K52" i="5"/>
  <c r="J60" i="5"/>
  <c r="K60" i="5"/>
  <c r="J68" i="5"/>
  <c r="K68" i="5"/>
  <c r="J45" i="5"/>
  <c r="K45" i="5"/>
  <c r="J101" i="5"/>
  <c r="K101" i="5"/>
  <c r="J69" i="5"/>
  <c r="K69" i="5"/>
  <c r="J38" i="5"/>
  <c r="K38" i="5"/>
  <c r="J94" i="5"/>
  <c r="K94" i="5"/>
  <c r="J54" i="5"/>
  <c r="K54" i="5"/>
  <c r="J62" i="5"/>
  <c r="K62" i="5"/>
  <c r="J70" i="5"/>
  <c r="K70" i="5"/>
  <c r="J31" i="5"/>
  <c r="K31" i="5"/>
  <c r="J87" i="5"/>
  <c r="K87" i="5"/>
  <c r="J30" i="5"/>
  <c r="K30" i="5"/>
  <c r="J86" i="5"/>
  <c r="K86" i="5"/>
  <c r="J39" i="5"/>
  <c r="K39" i="5"/>
  <c r="J95" i="5"/>
  <c r="K95" i="5"/>
  <c r="J47" i="5"/>
  <c r="K47" i="5"/>
  <c r="J55" i="5"/>
  <c r="K55" i="5"/>
  <c r="J63" i="5"/>
  <c r="K63" i="5"/>
  <c r="J84" i="5"/>
  <c r="K84" i="5"/>
  <c r="A1" i="5"/>
  <c r="F46" i="5"/>
  <c r="G22" i="9"/>
  <c r="F82" i="5"/>
  <c r="F16" i="5"/>
  <c r="G25" i="9"/>
  <c r="F83" i="5"/>
  <c r="F88" i="5"/>
  <c r="F28" i="5"/>
  <c r="F20" i="5"/>
  <c r="F73" i="5"/>
  <c r="F9" i="5"/>
  <c r="F21" i="5"/>
  <c r="F10" i="5"/>
  <c r="G43" i="9"/>
  <c r="U2" i="7"/>
  <c r="V2" i="7"/>
  <c r="F6" i="5"/>
  <c r="G44" i="9"/>
  <c r="F87" i="5"/>
  <c r="F76" i="5"/>
  <c r="F23" i="5"/>
  <c r="F14" i="5"/>
  <c r="F12" i="5"/>
  <c r="F13" i="5"/>
  <c r="F25" i="5"/>
  <c r="N4" i="6"/>
  <c r="T4" i="6"/>
  <c r="S4" i="6"/>
  <c r="R4" i="6"/>
  <c r="Q4" i="6"/>
  <c r="P4" i="6"/>
  <c r="M4" i="6"/>
  <c r="L4" i="6"/>
  <c r="K4" i="6"/>
  <c r="I4" i="6"/>
  <c r="H4" i="6"/>
  <c r="G4" i="6"/>
  <c r="F4" i="6"/>
  <c r="E4" i="6"/>
  <c r="D4" i="6"/>
  <c r="C4" i="6"/>
  <c r="B4" i="6"/>
  <c r="T2" i="6"/>
  <c r="S2" i="6"/>
  <c r="R2" i="6"/>
  <c r="Q2" i="6"/>
  <c r="P2" i="6"/>
  <c r="O2" i="6"/>
  <c r="M2" i="6"/>
  <c r="L2" i="6"/>
  <c r="K2" i="6"/>
  <c r="I2" i="6"/>
  <c r="H2" i="6"/>
  <c r="G2" i="6"/>
  <c r="F2" i="6"/>
  <c r="E2" i="6"/>
  <c r="D2" i="6"/>
  <c r="C2" i="6"/>
  <c r="B2" i="6"/>
  <c r="J988" i="5"/>
  <c r="K988" i="5"/>
  <c r="J990" i="5"/>
  <c r="K990" i="5"/>
  <c r="J827" i="5"/>
  <c r="K827" i="5"/>
  <c r="J829" i="5"/>
  <c r="K829" i="5"/>
  <c r="J1028" i="5"/>
  <c r="K1028" i="5"/>
  <c r="J1030" i="5"/>
  <c r="K1030" i="5"/>
  <c r="F821" i="5"/>
  <c r="F822" i="5"/>
  <c r="F818" i="5"/>
  <c r="F819" i="5"/>
  <c r="F809" i="5"/>
  <c r="F810" i="5"/>
  <c r="E37" i="9"/>
  <c r="F37" i="9"/>
  <c r="G37" i="9"/>
  <c r="E29" i="9"/>
  <c r="F29" i="9"/>
  <c r="G29" i="9"/>
  <c r="E63" i="9"/>
  <c r="F817" i="5"/>
  <c r="E26" i="9"/>
  <c r="E27" i="9"/>
  <c r="E59" i="9"/>
  <c r="E61" i="9"/>
  <c r="U988" i="7"/>
  <c r="V988" i="7"/>
  <c r="F989" i="5"/>
  <c r="J986" i="5"/>
  <c r="K986" i="5"/>
  <c r="U1029" i="7"/>
  <c r="V1029" i="7"/>
  <c r="F1030" i="5"/>
  <c r="J1027" i="5"/>
  <c r="K1027" i="5"/>
  <c r="U827" i="7"/>
  <c r="V827" i="7"/>
  <c r="F828" i="5"/>
  <c r="J825" i="5"/>
  <c r="K825" i="5"/>
  <c r="U828" i="7"/>
  <c r="V828" i="7"/>
  <c r="F829" i="5"/>
  <c r="J826" i="5"/>
  <c r="K826" i="5"/>
  <c r="U1028" i="7"/>
  <c r="V1028" i="7"/>
  <c r="F1029" i="5"/>
  <c r="J1026" i="5"/>
  <c r="K1026" i="5"/>
  <c r="U989" i="7"/>
  <c r="V989" i="7"/>
  <c r="F990" i="5"/>
  <c r="J987" i="5"/>
  <c r="K987" i="5"/>
  <c r="J27" i="5"/>
  <c r="K27" i="5"/>
  <c r="J8" i="5"/>
  <c r="K8" i="5"/>
  <c r="J26" i="5"/>
  <c r="K26" i="5"/>
  <c r="J7" i="5"/>
  <c r="K7" i="5"/>
  <c r="F37" i="5"/>
  <c r="F58" i="5"/>
  <c r="F90" i="5"/>
  <c r="F44" i="5"/>
  <c r="F86" i="5"/>
  <c r="F65" i="5"/>
  <c r="F51" i="5"/>
  <c r="F95" i="5"/>
  <c r="F68" i="5"/>
  <c r="F100" i="5"/>
  <c r="F67" i="5"/>
  <c r="F84" i="5"/>
  <c r="F93" i="5"/>
  <c r="F47" i="5"/>
  <c r="F52" i="5"/>
  <c r="F43" i="5"/>
  <c r="F99" i="5"/>
  <c r="F85" i="5"/>
  <c r="F49" i="5"/>
  <c r="F62" i="5"/>
  <c r="F69" i="5"/>
  <c r="F36" i="5"/>
  <c r="F92" i="5"/>
  <c r="F35" i="5"/>
  <c r="F91" i="5"/>
  <c r="F66" i="5"/>
  <c r="F41" i="5"/>
  <c r="F97" i="5"/>
  <c r="F48" i="5"/>
  <c r="G10" i="9"/>
  <c r="F94" i="5"/>
  <c r="F50" i="5"/>
  <c r="F42" i="5"/>
  <c r="F98" i="5"/>
  <c r="F60" i="5"/>
  <c r="F59" i="5"/>
  <c r="F33" i="5"/>
  <c r="F89" i="5"/>
  <c r="F64" i="5"/>
  <c r="F63" i="5"/>
  <c r="F57" i="5"/>
  <c r="F70" i="5"/>
  <c r="F40" i="5"/>
  <c r="F96" i="5"/>
  <c r="F56" i="5"/>
  <c r="F54" i="5"/>
  <c r="F61" i="5"/>
  <c r="F53" i="5"/>
  <c r="F45" i="5"/>
  <c r="F101" i="5"/>
  <c r="F55" i="5"/>
  <c r="G70" i="9"/>
  <c r="G67" i="9"/>
  <c r="G34" i="9"/>
  <c r="F32" i="5"/>
  <c r="G91" i="9"/>
  <c r="F31" i="5"/>
  <c r="G104" i="9"/>
  <c r="F30" i="5"/>
  <c r="G101" i="9"/>
  <c r="F29" i="5"/>
  <c r="G105" i="9"/>
  <c r="G118" i="9"/>
  <c r="G32" i="9"/>
  <c r="G19" i="9"/>
  <c r="G28" i="9"/>
  <c r="G40" i="9"/>
  <c r="G58" i="9"/>
  <c r="G46" i="9"/>
  <c r="F4" i="5"/>
  <c r="G35" i="9"/>
  <c r="G31" i="9"/>
  <c r="G94" i="9"/>
  <c r="G16" i="9"/>
  <c r="G20" i="9"/>
  <c r="F22" i="5"/>
  <c r="G79" i="9"/>
  <c r="F26" i="5"/>
  <c r="G87" i="9"/>
  <c r="F18" i="5"/>
  <c r="G85" i="9"/>
  <c r="F19" i="5"/>
  <c r="G76" i="9"/>
  <c r="F17" i="5"/>
  <c r="G82" i="9"/>
  <c r="F27" i="5"/>
  <c r="G86" i="9"/>
  <c r="F24" i="5"/>
  <c r="G80" i="9"/>
  <c r="G13" i="9"/>
  <c r="F15" i="5"/>
  <c r="G62" i="9"/>
  <c r="G55" i="9"/>
  <c r="G56" i="9"/>
  <c r="G52" i="9"/>
  <c r="G74" i="9"/>
  <c r="F8" i="5"/>
  <c r="F7" i="5"/>
  <c r="G71" i="9"/>
  <c r="G68" i="9"/>
  <c r="G11" i="9"/>
  <c r="F11" i="5"/>
  <c r="F3" i="5"/>
  <c r="F39" i="5"/>
  <c r="G14" i="9"/>
  <c r="G64" i="9"/>
  <c r="F34" i="5"/>
  <c r="G8" i="9"/>
  <c r="F5" i="5"/>
  <c r="F38" i="5"/>
  <c r="G5" i="9"/>
  <c r="E75" i="9"/>
  <c r="F75" i="9"/>
  <c r="G75" i="9"/>
  <c r="F827" i="5"/>
  <c r="F988" i="5"/>
  <c r="E49" i="9"/>
  <c r="F49" i="9"/>
  <c r="G49" i="9"/>
  <c r="F1028" i="5"/>
  <c r="F61" i="9"/>
  <c r="G61" i="9"/>
  <c r="F59" i="9"/>
  <c r="G59" i="9"/>
  <c r="F27" i="9"/>
  <c r="G27" i="9"/>
  <c r="F26" i="9"/>
  <c r="G26" i="9"/>
  <c r="F63" i="9"/>
  <c r="G63" i="9"/>
  <c r="E38" i="9"/>
  <c r="F826" i="5"/>
  <c r="F986" i="5"/>
  <c r="F1027" i="5"/>
  <c r="F987" i="5"/>
  <c r="F1026" i="5"/>
  <c r="E51" i="9"/>
  <c r="E73" i="9"/>
  <c r="F825" i="5"/>
  <c r="E39" i="9"/>
  <c r="G4" i="9"/>
  <c r="G7" i="9"/>
  <c r="F39" i="9"/>
  <c r="G39" i="9"/>
  <c r="F38" i="9"/>
  <c r="G38" i="9"/>
  <c r="F73" i="9"/>
  <c r="G73" i="9"/>
  <c r="F51" i="9"/>
  <c r="G51" i="9"/>
  <c r="E124" i="9"/>
  <c r="F124" i="9"/>
  <c r="G124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Andres Dodman</author>
    <author>tc={E9A140AE-A60F-48B9-A9B4-B95CEC5F41B2}</author>
    <author>tc={037C7A27-6593-4FE1-8668-B5DE636BD1CC}</author>
  </authors>
  <commentList>
    <comment ref="J1" authorId="0" shapeId="0" xr:uid="{00000000-0006-0000-0100-000001000000}">
      <text>
        <r>
          <rPr>
            <b/>
            <sz val="10"/>
            <color indexed="81"/>
            <rFont val="Tahoma"/>
            <family val="2"/>
          </rPr>
          <t>Andres Dodman:</t>
        </r>
        <r>
          <rPr>
            <sz val="10"/>
            <color indexed="81"/>
            <rFont val="Tahoma"/>
            <family val="2"/>
          </rPr>
          <t xml:space="preserve">
3: operativo 2: fallando 1: mal estado</t>
        </r>
      </text>
    </comment>
    <comment ref="X1" authorId="1" shapeId="0" xr:uid="{00000000-0006-0000-01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Revisar Clasificación</t>
      </text>
    </comment>
    <comment ref="Y1" authorId="2" shapeId="0" xr:uid="{00000000-0006-0000-01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Revisar prioridad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Andrea Figueroa</author>
  </authors>
  <commentList>
    <comment ref="B7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Andrea Figueroa:</t>
        </r>
        <r>
          <rPr>
            <sz val="9"/>
            <color indexed="81"/>
            <rFont val="Tahoma"/>
            <family val="2"/>
          </rPr>
          <t xml:space="preserve">
sala de clases que se transformó en informatica, fotocopiadora, Oficina Natalia Vargas y Equipo de apoyo</t>
        </r>
      </text>
    </comment>
  </commentList>
</comments>
</file>

<file path=xl/sharedStrings.xml><?xml version="1.0" encoding="utf-8"?>
<sst xmlns="http://schemas.openxmlformats.org/spreadsheetml/2006/main" count="10952" uniqueCount="471">
  <si>
    <t>Área / Nivel</t>
  </si>
  <si>
    <t>Categoría</t>
  </si>
  <si>
    <t>Tipo de Equipo</t>
  </si>
  <si>
    <t>Fecha Adquisición</t>
  </si>
  <si>
    <t>Años    Vida útil</t>
  </si>
  <si>
    <t>Cambio</t>
  </si>
  <si>
    <t>Marca</t>
  </si>
  <si>
    <t>Modelo</t>
  </si>
  <si>
    <t>N° Serie</t>
  </si>
  <si>
    <t>Potencia / Capacidad</t>
  </si>
  <si>
    <t>Frecuencia de Mantención</t>
  </si>
  <si>
    <t>Responsable</t>
  </si>
  <si>
    <t>Fecha de Último Mantenimiento</t>
  </si>
  <si>
    <t>Fecha de Próximo Mantenimiento</t>
  </si>
  <si>
    <t>Observaciones / Estado Actual</t>
  </si>
  <si>
    <t>Piso zócalo / Piscina</t>
  </si>
  <si>
    <t>Equipo</t>
  </si>
  <si>
    <t>Caldera</t>
  </si>
  <si>
    <t>RHEEM</t>
  </si>
  <si>
    <t>P-M406A-EN-C</t>
  </si>
  <si>
    <t>Sala Máquinas</t>
  </si>
  <si>
    <t>75 kW</t>
  </si>
  <si>
    <t>Anual</t>
  </si>
  <si>
    <t>Empresa externa clima - RyR</t>
  </si>
  <si>
    <t>Operativo</t>
  </si>
  <si>
    <t>Renovación sello verde SEC febrero 2027</t>
  </si>
  <si>
    <t>Bomba de calor 1</t>
  </si>
  <si>
    <t>SUNRAI</t>
  </si>
  <si>
    <t>YC-050TA1</t>
  </si>
  <si>
    <t>8B00220815003158</t>
  </si>
  <si>
    <t>49 kW</t>
  </si>
  <si>
    <t>Trimestral</t>
  </si>
  <si>
    <t>Bomba de calor 2</t>
  </si>
  <si>
    <t>DUNNER</t>
  </si>
  <si>
    <t>ECO Power Pool 70</t>
  </si>
  <si>
    <t>PPAY01502405280026</t>
  </si>
  <si>
    <t>Bomba recirculación 1</t>
  </si>
  <si>
    <t>ASTRALPOOL</t>
  </si>
  <si>
    <t>VICTORIA PLUS</t>
  </si>
  <si>
    <t>1-4 kW</t>
  </si>
  <si>
    <t>Empresa externa piscina - T-Piscina</t>
  </si>
  <si>
    <t>Bomba recirculación 2</t>
  </si>
  <si>
    <t>Bomba recirculación 3</t>
  </si>
  <si>
    <t>VULCANO</t>
  </si>
  <si>
    <t>MOTORE VULCANO</t>
  </si>
  <si>
    <t>23B72791560598600136</t>
  </si>
  <si>
    <t>1-5 kW</t>
  </si>
  <si>
    <t>Filtro piscina 1</t>
  </si>
  <si>
    <t>VC 250</t>
  </si>
  <si>
    <t>N/A</t>
  </si>
  <si>
    <t>250 L</t>
  </si>
  <si>
    <t>Filtro piscina 2</t>
  </si>
  <si>
    <t>Filtro piscina 3</t>
  </si>
  <si>
    <t>VC 200</t>
  </si>
  <si>
    <t>200 L</t>
  </si>
  <si>
    <t>Termo eléctrico 1</t>
  </si>
  <si>
    <t>WINTER</t>
  </si>
  <si>
    <t>T9-0 300 AC/T</t>
  </si>
  <si>
    <t>9 kW / 300 L</t>
  </si>
  <si>
    <t>Termo eléctrico 2</t>
  </si>
  <si>
    <t>T9-0 500 AC/T</t>
  </si>
  <si>
    <t>9 kW / 500 L</t>
  </si>
  <si>
    <t>Mal estado / no funciona</t>
  </si>
  <si>
    <t>Tablero eléctrico principal</t>
  </si>
  <si>
    <t xml:space="preserve">Empresa externa </t>
  </si>
  <si>
    <t>Infraestructura</t>
  </si>
  <si>
    <t>Camarín Hombre deportistas</t>
  </si>
  <si>
    <t>Camarín Hombre</t>
  </si>
  <si>
    <t>8 duchas</t>
  </si>
  <si>
    <t>Operaciones DSV</t>
  </si>
  <si>
    <t>Camarín Mujeres deportistas</t>
  </si>
  <si>
    <t>Camarín Mujeres</t>
  </si>
  <si>
    <t>Camarín Instructor</t>
  </si>
  <si>
    <t>1 duchas</t>
  </si>
  <si>
    <t>Camarín Instructora</t>
  </si>
  <si>
    <t>1° Piso / Piscina</t>
  </si>
  <si>
    <t>Área piscina</t>
  </si>
  <si>
    <t>0 duchas</t>
  </si>
  <si>
    <t>Piscina Temperada (limpieza)</t>
  </si>
  <si>
    <t>25-25m  x  12-75m</t>
  </si>
  <si>
    <t>32 m x 21 m</t>
  </si>
  <si>
    <t>3-4 años</t>
  </si>
  <si>
    <t>Presente deficiencias</t>
  </si>
  <si>
    <t>Piscina Temperada (pintura)</t>
  </si>
  <si>
    <t xml:space="preserve">Pintura de paredes interior </t>
  </si>
  <si>
    <t>2 años</t>
  </si>
  <si>
    <t>Pintura fachadas</t>
  </si>
  <si>
    <t>5 años</t>
  </si>
  <si>
    <t>1° Piso</t>
  </si>
  <si>
    <t>ANWO</t>
  </si>
  <si>
    <t>PRIME HT 330</t>
  </si>
  <si>
    <t>Patio trasero</t>
  </si>
  <si>
    <t>33 kW</t>
  </si>
  <si>
    <t>Radiadores</t>
  </si>
  <si>
    <t>Salas de Clases</t>
  </si>
  <si>
    <t>Patio principal</t>
  </si>
  <si>
    <t>18 m x 10 m</t>
  </si>
  <si>
    <t>Baño adultos</t>
  </si>
  <si>
    <t>1 WC</t>
  </si>
  <si>
    <t>Baño mixto alumnos</t>
  </si>
  <si>
    <t xml:space="preserve">Edificio </t>
  </si>
  <si>
    <t>ACV</t>
  </si>
  <si>
    <t>PRESTIGE 75</t>
  </si>
  <si>
    <t>Sala caldera NB</t>
  </si>
  <si>
    <t>17 m x 33 m</t>
  </si>
  <si>
    <t>Estac. Subterráneo</t>
  </si>
  <si>
    <t>Tablero eléctrico de derivación</t>
  </si>
  <si>
    <t>Patio de Juegos</t>
  </si>
  <si>
    <t>Baño adultos funcionarios</t>
  </si>
  <si>
    <t>Baño alumnos varones</t>
  </si>
  <si>
    <t>Baño alumnos mujeres</t>
  </si>
  <si>
    <t xml:space="preserve"> </t>
  </si>
  <si>
    <t>Siding</t>
  </si>
  <si>
    <t>Lavado de pared de siding pvc</t>
  </si>
  <si>
    <t>NEUBAU</t>
  </si>
  <si>
    <t>Aire Acondicionado</t>
  </si>
  <si>
    <t>Secretaría</t>
  </si>
  <si>
    <t>Semestral</t>
  </si>
  <si>
    <t>Tablero eléctrico ala norte</t>
  </si>
  <si>
    <t>Tablero eléctrico ala sur</t>
  </si>
  <si>
    <t>2° Piso</t>
  </si>
  <si>
    <t>Pasillo exterior metálico</t>
  </si>
  <si>
    <t>CASINO</t>
  </si>
  <si>
    <t>Calefont</t>
  </si>
  <si>
    <t>Pasillo trasero</t>
  </si>
  <si>
    <t>Terraza metálica y madera</t>
  </si>
  <si>
    <t>Tablero eléctrico secundario</t>
  </si>
  <si>
    <t>Cafetería</t>
  </si>
  <si>
    <t xml:space="preserve">Camarín Hombre </t>
  </si>
  <si>
    <t>2 duchas</t>
  </si>
  <si>
    <t xml:space="preserve">Camarín Mujeres </t>
  </si>
  <si>
    <t>Horno Industrial doble cámara</t>
  </si>
  <si>
    <t>Cocina</t>
  </si>
  <si>
    <t>1 años</t>
  </si>
  <si>
    <t>Mantencion en Mayo</t>
  </si>
  <si>
    <t>Campana de extracción</t>
  </si>
  <si>
    <t>Camarín Hombres AAEE</t>
  </si>
  <si>
    <t>Pasillo servicio</t>
  </si>
  <si>
    <t>Mensual</t>
  </si>
  <si>
    <t>Camarín Mujeres AAEE</t>
  </si>
  <si>
    <t>Pasillo N100</t>
  </si>
  <si>
    <t>BURDERUS</t>
  </si>
  <si>
    <t>SIN INFORMACIÓN</t>
  </si>
  <si>
    <t>Sala caldera N100</t>
  </si>
  <si>
    <t xml:space="preserve">Equipo Laser </t>
  </si>
  <si>
    <t>GIOVICNC</t>
  </si>
  <si>
    <t>FabLab</t>
  </si>
  <si>
    <t>100W</t>
  </si>
  <si>
    <t>Empresa externa - GioviCNC</t>
  </si>
  <si>
    <t xml:space="preserve">EQUIPO ROUTER </t>
  </si>
  <si>
    <t>3.5 Kw</t>
  </si>
  <si>
    <t>FILTRO HUMO/OLOR</t>
  </si>
  <si>
    <t>Tablero eléctrico FabLab</t>
  </si>
  <si>
    <t>Tablero eléctrico N100</t>
  </si>
  <si>
    <t>Tablero eléctrico Gimnasio</t>
  </si>
  <si>
    <t>Pasillo Camarines</t>
  </si>
  <si>
    <t>3° Piso</t>
  </si>
  <si>
    <t>Tablero eléctrico Robótica</t>
  </si>
  <si>
    <t>La. Robótica</t>
  </si>
  <si>
    <t xml:space="preserve">Tablero eléctrico 1 oriente </t>
  </si>
  <si>
    <t>Pasillo N300</t>
  </si>
  <si>
    <t>Tablero eléctrico 2 poniente</t>
  </si>
  <si>
    <t>Tablero Equipo de Apoyo</t>
  </si>
  <si>
    <t>Hall Equipo Apoyo</t>
  </si>
  <si>
    <t>Tablero Electrico Microondas</t>
  </si>
  <si>
    <t>Sector "Kiosko"</t>
  </si>
  <si>
    <t>Sala Servidores</t>
  </si>
  <si>
    <t>18000 BTU</t>
  </si>
  <si>
    <t>4° Piso</t>
  </si>
  <si>
    <t>Cocina Gerencia</t>
  </si>
  <si>
    <t>Closet hall Rectoría</t>
  </si>
  <si>
    <t>Lab. Informática</t>
  </si>
  <si>
    <t>Tablero eléctrico Biblioteca</t>
  </si>
  <si>
    <t>Ingreso bodega</t>
  </si>
  <si>
    <t>Of. Rector</t>
  </si>
  <si>
    <t>Secretaria Rectoría</t>
  </si>
  <si>
    <t>Of. UTP</t>
  </si>
  <si>
    <t>Controlador Logístico</t>
  </si>
  <si>
    <t>Sala Reuniones GV</t>
  </si>
  <si>
    <t>Baño profesores varones</t>
  </si>
  <si>
    <t>Sala profesores N400</t>
  </si>
  <si>
    <t>Baño profesores mujeres</t>
  </si>
  <si>
    <t>Baño administrativos varones</t>
  </si>
  <si>
    <t>Gerencia</t>
  </si>
  <si>
    <t>Baño administrativos mujeres</t>
  </si>
  <si>
    <t>5° Piso</t>
  </si>
  <si>
    <t>Pasillo N500</t>
  </si>
  <si>
    <t>Pasillo N600</t>
  </si>
  <si>
    <t>6° Piso</t>
  </si>
  <si>
    <t>Cocina Industrial 1</t>
  </si>
  <si>
    <t>Cocina Industrial 2</t>
  </si>
  <si>
    <t>Días</t>
  </si>
  <si>
    <t>Estado</t>
  </si>
  <si>
    <t>Días Restantes</t>
  </si>
  <si>
    <t>1 año</t>
  </si>
  <si>
    <t>SPLENDID</t>
  </si>
  <si>
    <t>IONIZ</t>
  </si>
  <si>
    <t>16 LT</t>
  </si>
  <si>
    <t>Acceso a Casino</t>
  </si>
  <si>
    <t>Externo Mantención Integral</t>
  </si>
  <si>
    <t>04S1BO0751</t>
  </si>
  <si>
    <t>0461BO0751</t>
  </si>
  <si>
    <t>32 A</t>
  </si>
  <si>
    <t>80 A</t>
  </si>
  <si>
    <t>40 A</t>
  </si>
  <si>
    <t>Tablero eléctrico Gerencia 2</t>
  </si>
  <si>
    <t>Tablero eléctrico Gerencia 1</t>
  </si>
  <si>
    <t>25 A</t>
  </si>
  <si>
    <t>Tablero eléctrico Rectoría 1</t>
  </si>
  <si>
    <t>Tablero eléctrico Rectoría 2</t>
  </si>
  <si>
    <t>Tablero eléctrico General</t>
  </si>
  <si>
    <t>250 A</t>
  </si>
  <si>
    <t>20 A</t>
  </si>
  <si>
    <t>Escenario</t>
  </si>
  <si>
    <t>100 A</t>
  </si>
  <si>
    <t>Ventanas</t>
  </si>
  <si>
    <t xml:space="preserve">Baranda </t>
  </si>
  <si>
    <t>Piso</t>
  </si>
  <si>
    <t>Enchufes</t>
  </si>
  <si>
    <t>TV</t>
  </si>
  <si>
    <t>Puertas</t>
  </si>
  <si>
    <t>65"</t>
  </si>
  <si>
    <t>Madera Vidrio</t>
  </si>
  <si>
    <t>LG</t>
  </si>
  <si>
    <t>Pizarra</t>
  </si>
  <si>
    <t>D.Media</t>
  </si>
  <si>
    <t>S.Media</t>
  </si>
  <si>
    <t>10 Amperes</t>
  </si>
  <si>
    <t>Bajada Aguas Lluvia</t>
  </si>
  <si>
    <t>Escalera Emergencia Oriente</t>
  </si>
  <si>
    <t>Escalera Emergencia Poniente</t>
  </si>
  <si>
    <t>Escalera Interior Oriente</t>
  </si>
  <si>
    <t>Escalera Interior  Poniente</t>
  </si>
  <si>
    <t>65uk6350</t>
  </si>
  <si>
    <t>ESTADIO</t>
  </si>
  <si>
    <t>Tablero eléctrico</t>
  </si>
  <si>
    <t>Sala Tablero Camarín</t>
  </si>
  <si>
    <t>Baño discapacitado</t>
  </si>
  <si>
    <t>Baño adultos varones</t>
  </si>
  <si>
    <t>Baño adultos mujeres</t>
  </si>
  <si>
    <t>3 WC</t>
  </si>
  <si>
    <t>4 WC</t>
  </si>
  <si>
    <t>TROTTER</t>
  </si>
  <si>
    <t>18 KW / 400 L</t>
  </si>
  <si>
    <t>FERIENHEIM</t>
  </si>
  <si>
    <t>Caldera 1</t>
  </si>
  <si>
    <t>Caldera 2</t>
  </si>
  <si>
    <t>Caldera 3</t>
  </si>
  <si>
    <t>Caldera 4</t>
  </si>
  <si>
    <t>LOGANO G334</t>
  </si>
  <si>
    <t>BOSCH</t>
  </si>
  <si>
    <t>150 kW</t>
  </si>
  <si>
    <t>Sala Caldera Hotel</t>
  </si>
  <si>
    <t>Espacio</t>
  </si>
  <si>
    <t>Prioridad</t>
  </si>
  <si>
    <t>Observación 1</t>
  </si>
  <si>
    <t>69.9 kW</t>
  </si>
  <si>
    <t>PISCINA</t>
  </si>
  <si>
    <t>E. SUBTE</t>
  </si>
  <si>
    <t>E. LIMACHE</t>
  </si>
  <si>
    <t>Baño adultos mixto</t>
  </si>
  <si>
    <t>Edificio</t>
  </si>
  <si>
    <t>GENERAL</t>
  </si>
  <si>
    <t>Aros de basquetbol retráctiles</t>
  </si>
  <si>
    <t>Equipamiento deportivo mecánico.</t>
  </si>
  <si>
    <t>Emisores de calor (el sistema principal es Operación).</t>
  </si>
  <si>
    <t>Área de esparcimiento que requiere mantenimiento preventivo.</t>
  </si>
  <si>
    <t>LEGAL</t>
  </si>
  <si>
    <t>Normativa deportiva y de salud para actividades físicas.</t>
  </si>
  <si>
    <t>Espacios de higiene exigidos por ley para personal de apoyo.</t>
  </si>
  <si>
    <t>Espacio privado legal para personal técnico/deportivo.</t>
  </si>
  <si>
    <t>OPERACIÓN</t>
  </si>
  <si>
    <t>Sistemas de climatización esenciales para el confort térmico en aulas y oficinas.</t>
  </si>
  <si>
    <t>Vital para la ventilación y seguridad en áreas de cocina.</t>
  </si>
  <si>
    <t>Suministro de agua caliente sanitaria.</t>
  </si>
  <si>
    <t>Equipamiento clave para el servicio de alimentación de alumnos.</t>
  </si>
  <si>
    <t>Generador de calor central; su falla detiene el sistema de calefacción.</t>
  </si>
  <si>
    <t>SEGURIDAD</t>
  </si>
  <si>
    <t>Punto central de control eléctrico; riesgo crítico de incendio o corte total.</t>
  </si>
  <si>
    <t>Zona de tránsito que debe garantizar estabilidad y antideslizamiento.</t>
  </si>
  <si>
    <t>Soporte estructural crítico de la edificación.</t>
  </si>
  <si>
    <t>Resguardo estructural en áreas exteriores.</t>
  </si>
  <si>
    <t>Estructura de gran envergadura en zonas de alto tránsito de alumnos.</t>
  </si>
  <si>
    <t>Distribución local de energía en sectores específicos.</t>
  </si>
  <si>
    <t>Distribución primaria de energía; vital para la integridad de la red.</t>
  </si>
  <si>
    <t>Cumplimiento de accesibilidad universal y seguridad para personas con movilidad reducida.</t>
  </si>
  <si>
    <t xml:space="preserve">Cubierta estructural </t>
  </si>
  <si>
    <t>Pasarela  metálica</t>
  </si>
  <si>
    <t>Elemento de circulación en altura</t>
  </si>
  <si>
    <t>Zócalo</t>
  </si>
  <si>
    <t>Gimnasio</t>
  </si>
  <si>
    <t>Salida estacionamiento</t>
  </si>
  <si>
    <t>CDA</t>
  </si>
  <si>
    <t>Área servicio</t>
  </si>
  <si>
    <t>9000BTU</t>
  </si>
  <si>
    <t>12000BTU</t>
  </si>
  <si>
    <t>EDIFICIO PRINCIPAL</t>
  </si>
  <si>
    <t>Clasificación</t>
  </si>
  <si>
    <t>Clasificaión</t>
  </si>
  <si>
    <t>Descripción</t>
  </si>
  <si>
    <t>D.Básica</t>
  </si>
  <si>
    <t>S.Básica</t>
  </si>
  <si>
    <t>SAMSUNG</t>
  </si>
  <si>
    <t>Profesores la utilizan como herramienta pedagógica (para proyectar diapositivas, videos educativos o conectar computadoras).</t>
  </si>
  <si>
    <t>N600</t>
  </si>
  <si>
    <t>N500</t>
  </si>
  <si>
    <t>ZS3</t>
  </si>
  <si>
    <t>N400</t>
  </si>
  <si>
    <t>LAB. INFOR</t>
  </si>
  <si>
    <t>BIBLIOTECA</t>
  </si>
  <si>
    <t>N300</t>
  </si>
  <si>
    <t>Biología 1</t>
  </si>
  <si>
    <t>Biología 2</t>
  </si>
  <si>
    <t>Química 1</t>
  </si>
  <si>
    <t>Química 2</t>
  </si>
  <si>
    <t>Física 1</t>
  </si>
  <si>
    <t>Física 2</t>
  </si>
  <si>
    <t>ZS1</t>
  </si>
  <si>
    <t>ZS2</t>
  </si>
  <si>
    <t>72 + b</t>
  </si>
  <si>
    <t>N200</t>
  </si>
  <si>
    <t>N100</t>
  </si>
  <si>
    <t>Tecnología 3</t>
  </si>
  <si>
    <t>Tecnología 2</t>
  </si>
  <si>
    <t>Tecnología 1</t>
  </si>
  <si>
    <t>1A</t>
  </si>
  <si>
    <t>1B</t>
  </si>
  <si>
    <t>1C</t>
  </si>
  <si>
    <t>1D</t>
  </si>
  <si>
    <t>S7</t>
  </si>
  <si>
    <t>S8</t>
  </si>
  <si>
    <t>2A</t>
  </si>
  <si>
    <t>2B</t>
  </si>
  <si>
    <t>2C</t>
  </si>
  <si>
    <t>2D</t>
  </si>
  <si>
    <t>3A</t>
  </si>
  <si>
    <t>3B</t>
  </si>
  <si>
    <t>3C</t>
  </si>
  <si>
    <t>3D</t>
  </si>
  <si>
    <t>CICLO INICIAL</t>
  </si>
  <si>
    <t>K1A</t>
  </si>
  <si>
    <t>K1B</t>
  </si>
  <si>
    <t>K1C</t>
  </si>
  <si>
    <t>K1D</t>
  </si>
  <si>
    <t>K2A</t>
  </si>
  <si>
    <t>K2B</t>
  </si>
  <si>
    <t>K2C</t>
  </si>
  <si>
    <t>K2D</t>
  </si>
  <si>
    <t>S17</t>
  </si>
  <si>
    <t>S18</t>
  </si>
  <si>
    <t>COCINA</t>
  </si>
  <si>
    <t>PATIO</t>
  </si>
  <si>
    <t>48X2</t>
  </si>
  <si>
    <t>SPIELGRUPPE</t>
  </si>
  <si>
    <t>SPG1</t>
  </si>
  <si>
    <t>SPG2</t>
  </si>
  <si>
    <t>SPG3</t>
  </si>
  <si>
    <t>SPG4</t>
  </si>
  <si>
    <t>20 Amperes</t>
  </si>
  <si>
    <t>Biblioteca</t>
  </si>
  <si>
    <t>Acceso Rectoría</t>
  </si>
  <si>
    <t xml:space="preserve">Camarín </t>
  </si>
  <si>
    <t>Pasillo acceso</t>
  </si>
  <si>
    <t xml:space="preserve">Piso zócalo </t>
  </si>
  <si>
    <t>Objetivo de Maestro de Mantenciones</t>
  </si>
  <si>
    <t>Bronson</t>
  </si>
  <si>
    <t>Edificio Principal</t>
  </si>
  <si>
    <t>Ludwig Empresa externa</t>
  </si>
  <si>
    <t>Cubierta estructural /inspección visual</t>
  </si>
  <si>
    <t>Estado Mantención</t>
  </si>
  <si>
    <t>Fecha Gantt</t>
  </si>
  <si>
    <t>No se puede funcionar sin él / requiere acción inmediata / alta ocupación / efecto en imagen</t>
  </si>
  <si>
    <t>Años de uso</t>
  </si>
  <si>
    <t xml:space="preserve">Secundario a la operación o seguridad / activo secundario o de respaldo </t>
  </si>
  <si>
    <t>fachada externa</t>
  </si>
  <si>
    <t>fachada interna</t>
  </si>
  <si>
    <t>General / no afecta la operación ni la seguridad</t>
  </si>
  <si>
    <t>Estatus</t>
  </si>
  <si>
    <t>% Cumplimiento</t>
  </si>
  <si>
    <t>Tareas Al Día</t>
  </si>
  <si>
    <t>Total Tareas</t>
  </si>
  <si>
    <t>Edificio / Ubicación</t>
  </si>
  <si>
    <t>Ejemplo:</t>
  </si>
  <si>
    <t>Incluye todos los activos, equipos e infraestructura diseñados exclusivamente para proteger la integridad física de las personas (alumnos, personal, visitas), prevenir accidentes, responder a emergencias o resguardar los bienes del colegio frente a amenazas externas.</t>
  </si>
  <si>
    <t>Barreras</t>
  </si>
  <si>
    <t>extintores</t>
  </si>
  <si>
    <t>Son los activos e infraestructura críticos para el funcionamiento diario de la actividad educativa y administrativa. Sin ellos, las clases no se pueden dictar de manera óptima o el colegio simplemente no puede "abrir sus puertas" en el día a día.</t>
  </si>
  <si>
    <t>Activos o adaptaciones en la infraestructura que el colegio está obligado a tener por normativas, leyes vigentes o regulaciones del Ministerio de Educación y Salud. Su ausencia o mal estado puede derivar en multas, clausuras o la pérdida de la resolución/reconocimiento oficial.</t>
  </si>
  <si>
    <t>Priaux</t>
  </si>
  <si>
    <t>Estanque</t>
  </si>
  <si>
    <r>
      <t xml:space="preserve">Activos e infraestructura destinados al </t>
    </r>
    <r>
      <rPr>
        <b/>
        <sz val="11"/>
        <color theme="1"/>
        <rFont val="Calibri"/>
        <family val="2"/>
        <scheme val="minor"/>
      </rPr>
      <t>confort, la estética, el esparcimiento o el soporte secundario</t>
    </r>
    <r>
      <rPr>
        <sz val="11"/>
        <color theme="1"/>
        <rFont val="Calibri"/>
        <family val="2"/>
        <scheme val="minor"/>
      </rPr>
      <t>. No son obligatorios por ley ni detienen la operación básica del colegio si fallan, pero mejoran la calidad de vida y la experiencia en la comunidad escolar.</t>
    </r>
  </si>
  <si>
    <t>Presupuesto 2026</t>
  </si>
  <si>
    <t>No</t>
  </si>
  <si>
    <t>Sí</t>
  </si>
  <si>
    <t>S01</t>
  </si>
  <si>
    <t>S02</t>
  </si>
  <si>
    <t>S03</t>
  </si>
  <si>
    <t>S04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</si>
  <si>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</si>
  <si>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</si>
  <si>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</si>
  <si>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</si>
  <si>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</si>
  <si>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</si>
  <si>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</si>
  <si>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</si>
  <si>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</si>
  <si>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</si>
  <si>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SPORT</t>
  </si>
  <si>
    <t>WARTEKLASSE</t>
  </si>
  <si>
    <t>SPG-A</t>
  </si>
  <si>
    <t>SPG-B</t>
  </si>
  <si>
    <t>SPG-C</t>
  </si>
  <si>
    <t>SPG-D</t>
  </si>
  <si>
    <t>Madera</t>
  </si>
  <si>
    <t>Estacionamiento</t>
  </si>
  <si>
    <t>Camarín funcionario AAEE</t>
  </si>
  <si>
    <t>Tunel</t>
  </si>
  <si>
    <t>Cámara de Vigilancia</t>
  </si>
  <si>
    <t>Activo</t>
  </si>
  <si>
    <t>Sillas alumnos</t>
  </si>
  <si>
    <t>Pupitre</t>
  </si>
  <si>
    <t>Mesa Profesor</t>
  </si>
  <si>
    <t>Silla Profesor</t>
  </si>
  <si>
    <t>BIO1</t>
  </si>
  <si>
    <t>BIO2</t>
  </si>
  <si>
    <t>QUIM1</t>
  </si>
  <si>
    <t>QUIM2</t>
  </si>
  <si>
    <t>FIS1</t>
  </si>
  <si>
    <t>FIS2</t>
  </si>
  <si>
    <t xml:space="preserve">Madera </t>
  </si>
  <si>
    <t>Aluminio Vidrio</t>
  </si>
  <si>
    <t>Werken 1</t>
  </si>
  <si>
    <t>Werken 2</t>
  </si>
  <si>
    <t>Camaras exteriores</t>
  </si>
  <si>
    <t>Sillas</t>
  </si>
  <si>
    <t>Oficinas</t>
  </si>
  <si>
    <t>Servidores</t>
  </si>
  <si>
    <t>Escritorio</t>
  </si>
  <si>
    <t>semestral</t>
  </si>
  <si>
    <t>3 años</t>
  </si>
  <si>
    <t>Cambiar o Inspección externa</t>
  </si>
  <si>
    <t>Presupuestar</t>
  </si>
  <si>
    <t>PANEL DE CUMPLIMIENTO DE MANTENCIÓN</t>
  </si>
  <si>
    <t>Cambio/informe/ presupuesto</t>
  </si>
  <si>
    <t>Cambiar</t>
  </si>
  <si>
    <t>PANEL DE CUMPLIMIENTO RECAMBIO/ INFORME / PRESUPUESTO</t>
  </si>
  <si>
    <t>Habitaciones Ferien</t>
  </si>
  <si>
    <t>Sub Categoría</t>
  </si>
  <si>
    <t>Baño</t>
  </si>
  <si>
    <t>Mesa</t>
  </si>
  <si>
    <t>Climatización</t>
  </si>
  <si>
    <t>Camarines</t>
  </si>
  <si>
    <t>Tablero Eléctrico</t>
  </si>
  <si>
    <t>Valdivia</t>
  </si>
  <si>
    <t>Estanques AP</t>
  </si>
  <si>
    <t>120000 Litros</t>
  </si>
  <si>
    <t>Se renovó en junio</t>
  </si>
  <si>
    <t>xx</t>
  </si>
  <si>
    <t>Techumbre Casino</t>
  </si>
  <si>
    <t>Techumbre metálica patio central CI</t>
  </si>
  <si>
    <t>Techumbre Ciclo Inicial</t>
  </si>
  <si>
    <t>Techumbre Ed. Principal</t>
  </si>
  <si>
    <t>Techumbre Neubau</t>
  </si>
  <si>
    <t>Techumbre vigas IP acero Piscina</t>
  </si>
  <si>
    <t>Techumbre patio metálica SPG</t>
  </si>
  <si>
    <t>Techumbre SPG</t>
  </si>
  <si>
    <t>Cancha</t>
  </si>
  <si>
    <t>Pista de Recortan</t>
  </si>
  <si>
    <t>Cesped Natural</t>
  </si>
  <si>
    <t>Playa de estacionamiento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</si>
</sst>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yyyy\-mm\-dd\ h:mm:ss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Arial Narrow"/>
      <family val="2"/>
    </font>
    <font>
      <sz val="11"/>
      <name val="Arial Narrow"/>
      <family val="2"/>
    </font>
    <font>
      <b/>
      <sz val="11"/>
      <color rgb="FFFFFFFF"/>
      <name val="Arial Narrow"/>
      <family val="2"/>
    </font>
    <font>
      <b/>
      <sz val="14"/>
      <name val="Arial Narrow"/>
      <family val="2"/>
    </font>
    <font>
      <b/>
      <sz val="14"/>
      <color rgb="FFFF0000"/>
      <name val="Arial Narrow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b/>
      <sz val="10"/>
      <color theme="1"/>
      <name val="Arial Narrow"/>
      <family val="2"/>
    </font>
    <font>
      <b/>
      <sz val="10"/>
      <color theme="1"/>
      <name val="Calibri"/>
      <family val="2"/>
      <scheme val="minor"/>
    </font>
    <font>
      <sz val="10"/>
      <color theme="1"/>
      <name val="Arial Narrow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1F4E78"/>
        <bgColor rgb="FF1F4E78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1"/>
    <xf numFmtId="9" fontId="19" fillId="0" borderId="0" applyFont="0" applyFill="0" applyBorder="0" applyAlignment="0" applyProtection="0"/>
  </cellStyleXfs>
  <cellXfs count="99">
    <xf numFmtId="0" fontId="0" fillId="0" borderId="0" xfId="0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4" fillId="0" borderId="1" xfId="0" applyFont="1" applyBorder="1"/>
    <xf numFmtId="14" fontId="4" fillId="0" borderId="0" xfId="0" applyNumberFormat="1" applyFont="1"/>
    <xf numFmtId="0" fontId="3" fillId="0" borderId="0" xfId="0" applyFont="1"/>
    <xf numFmtId="0" fontId="4" fillId="4" borderId="3" xfId="0" applyFont="1" applyFill="1" applyBorder="1" applyAlignment="1">
      <alignment horizontal="center"/>
    </xf>
    <xf numFmtId="0" fontId="4" fillId="0" borderId="3" xfId="0" applyFont="1" applyBorder="1"/>
    <xf numFmtId="0" fontId="4" fillId="2" borderId="3" xfId="0" applyFont="1" applyFill="1" applyBorder="1" applyAlignment="1">
      <alignment horizontal="center"/>
    </xf>
    <xf numFmtId="0" fontId="4" fillId="3" borderId="3" xfId="0" applyFont="1" applyFill="1" applyBorder="1"/>
    <xf numFmtId="0" fontId="4" fillId="2" borderId="3" xfId="0" applyFont="1" applyFill="1" applyBorder="1"/>
    <xf numFmtId="0" fontId="2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1" xfId="1" applyFont="1"/>
    <xf numFmtId="0" fontId="12" fillId="0" borderId="1" xfId="1" applyFont="1"/>
    <xf numFmtId="0" fontId="13" fillId="0" borderId="1" xfId="1" applyFont="1"/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5" fillId="0" borderId="0" xfId="0" applyNumberFormat="1" applyFont="1" applyAlignment="1">
      <alignment horizontal="center" vertical="center" wrapText="1"/>
    </xf>
    <xf numFmtId="0" fontId="4" fillId="0" borderId="5" xfId="1" applyFont="1" applyBorder="1"/>
    <xf numFmtId="0" fontId="4" fillId="0" borderId="6" xfId="0" applyFont="1" applyBorder="1"/>
    <xf numFmtId="0" fontId="4" fillId="0" borderId="6" xfId="1" applyFont="1" applyBorder="1"/>
    <xf numFmtId="0" fontId="4" fillId="0" borderId="6" xfId="1" applyFont="1" applyBorder="1" applyAlignment="1">
      <alignment vertical="center"/>
    </xf>
    <xf numFmtId="0" fontId="4" fillId="2" borderId="6" xfId="1" applyFont="1" applyFill="1" applyBorder="1"/>
    <xf numFmtId="9" fontId="4" fillId="0" borderId="6" xfId="1" applyNumberFormat="1" applyFont="1" applyBorder="1"/>
    <xf numFmtId="0" fontId="4" fillId="0" borderId="7" xfId="1" applyFont="1" applyBorder="1"/>
    <xf numFmtId="0" fontId="4" fillId="0" borderId="8" xfId="1" applyFont="1" applyBorder="1"/>
    <xf numFmtId="0" fontId="4" fillId="0" borderId="1" xfId="1" applyFont="1" applyAlignment="1">
      <alignment vertical="center"/>
    </xf>
    <xf numFmtId="0" fontId="4" fillId="2" borderId="1" xfId="1" applyFont="1" applyFill="1"/>
    <xf numFmtId="9" fontId="4" fillId="0" borderId="1" xfId="1" applyNumberFormat="1" applyFont="1"/>
    <xf numFmtId="0" fontId="4" fillId="0" borderId="9" xfId="1" applyFont="1" applyBorder="1"/>
    <xf numFmtId="0" fontId="4" fillId="0" borderId="10" xfId="1" applyFont="1" applyBorder="1"/>
    <xf numFmtId="0" fontId="4" fillId="0" borderId="11" xfId="0" applyFont="1" applyBorder="1"/>
    <xf numFmtId="0" fontId="4" fillId="0" borderId="11" xfId="1" applyFont="1" applyBorder="1"/>
    <xf numFmtId="0" fontId="4" fillId="0" borderId="11" xfId="1" applyFont="1" applyBorder="1" applyAlignment="1">
      <alignment vertical="center"/>
    </xf>
    <xf numFmtId="0" fontId="4" fillId="2" borderId="11" xfId="1" applyFont="1" applyFill="1" applyBorder="1"/>
    <xf numFmtId="9" fontId="4" fillId="0" borderId="11" xfId="1" applyNumberFormat="1" applyFont="1" applyBorder="1"/>
    <xf numFmtId="0" fontId="4" fillId="0" borderId="12" xfId="1" applyFont="1" applyBorder="1"/>
    <xf numFmtId="0" fontId="4" fillId="0" borderId="13" xfId="1" applyFont="1" applyBorder="1"/>
    <xf numFmtId="0" fontId="4" fillId="0" borderId="14" xfId="0" applyFont="1" applyBorder="1"/>
    <xf numFmtId="0" fontId="4" fillId="0" borderId="14" xfId="1" applyFont="1" applyBorder="1"/>
    <xf numFmtId="0" fontId="4" fillId="0" borderId="14" xfId="1" applyFont="1" applyBorder="1" applyAlignment="1">
      <alignment vertical="center"/>
    </xf>
    <xf numFmtId="0" fontId="4" fillId="2" borderId="14" xfId="1" applyFont="1" applyFill="1" applyBorder="1"/>
    <xf numFmtId="9" fontId="4" fillId="0" borderId="14" xfId="1" applyNumberFormat="1" applyFont="1" applyBorder="1"/>
    <xf numFmtId="0" fontId="4" fillId="0" borderId="15" xfId="1" applyFont="1" applyBorder="1"/>
    <xf numFmtId="14" fontId="0" fillId="2" borderId="0" xfId="0" applyNumberFormat="1" applyFill="1"/>
    <xf numFmtId="14" fontId="0" fillId="0" borderId="0" xfId="0" applyNumberFormat="1"/>
    <xf numFmtId="14" fontId="0" fillId="2" borderId="0" xfId="0" applyNumberFormat="1" applyFill="1" applyAlignment="1">
      <alignment horizontal="center"/>
    </xf>
    <xf numFmtId="14" fontId="4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14" fontId="16" fillId="4" borderId="0" xfId="0" applyNumberFormat="1" applyFont="1" applyFill="1" applyAlignment="1">
      <alignment horizontal="center" vertical="center" wrapText="1"/>
    </xf>
    <xf numFmtId="17" fontId="17" fillId="5" borderId="0" xfId="0" applyNumberFormat="1" applyFont="1" applyFill="1" applyAlignment="1">
      <alignment vertical="center"/>
    </xf>
    <xf numFmtId="0" fontId="18" fillId="0" borderId="0" xfId="0" applyFont="1"/>
    <xf numFmtId="0" fontId="10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1" applyFont="1"/>
    <xf numFmtId="9" fontId="5" fillId="0" borderId="1" xfId="2" applyFont="1" applyBorder="1"/>
    <xf numFmtId="0" fontId="4" fillId="0" borderId="1" xfId="1" applyFont="1" applyAlignment="1">
      <alignment vertical="center" wrapText="1"/>
    </xf>
    <xf numFmtId="0" fontId="4" fillId="0" borderId="3" xfId="1" applyFont="1" applyBorder="1" applyAlignment="1">
      <alignment vertical="center"/>
    </xf>
    <xf numFmtId="0" fontId="4" fillId="0" borderId="3" xfId="1" applyFont="1" applyBorder="1"/>
    <xf numFmtId="0" fontId="4" fillId="0" borderId="19" xfId="1" applyFont="1" applyBorder="1"/>
    <xf numFmtId="0" fontId="4" fillId="0" borderId="20" xfId="1" applyFont="1" applyBorder="1" applyAlignment="1">
      <alignment vertical="center"/>
    </xf>
    <xf numFmtId="0" fontId="4" fillId="0" borderId="20" xfId="1" applyFont="1" applyBorder="1"/>
    <xf numFmtId="0" fontId="4" fillId="0" borderId="22" xfId="1" applyFont="1" applyBorder="1"/>
    <xf numFmtId="0" fontId="4" fillId="0" borderId="24" xfId="1" applyFont="1" applyBorder="1"/>
    <xf numFmtId="0" fontId="4" fillId="0" borderId="25" xfId="1" applyFont="1" applyBorder="1" applyAlignment="1">
      <alignment vertical="center"/>
    </xf>
    <xf numFmtId="0" fontId="4" fillId="0" borderId="25" xfId="1" applyFont="1" applyBorder="1"/>
    <xf numFmtId="0" fontId="11" fillId="6" borderId="5" xfId="1" applyFont="1" applyFill="1" applyBorder="1" applyAlignment="1">
      <alignment horizontal="center" vertical="center" wrapText="1"/>
    </xf>
    <xf numFmtId="0" fontId="11" fillId="6" borderId="6" xfId="1" applyFont="1" applyFill="1" applyBorder="1" applyAlignment="1">
      <alignment horizontal="center" vertical="center" wrapText="1"/>
    </xf>
    <xf numFmtId="0" fontId="11" fillId="6" borderId="7" xfId="1" applyFont="1" applyFill="1" applyBorder="1" applyAlignment="1">
      <alignment horizontal="center" vertical="center" wrapText="1"/>
    </xf>
    <xf numFmtId="0" fontId="4" fillId="0" borderId="21" xfId="1" applyFont="1" applyBorder="1" applyAlignment="1">
      <alignment vertical="center"/>
    </xf>
    <xf numFmtId="0" fontId="4" fillId="0" borderId="23" xfId="1" applyFont="1" applyBorder="1" applyAlignment="1">
      <alignment vertical="center"/>
    </xf>
    <xf numFmtId="0" fontId="4" fillId="0" borderId="26" xfId="1" applyFont="1" applyBorder="1" applyAlignment="1">
      <alignment vertical="center"/>
    </xf>
    <xf numFmtId="0" fontId="11" fillId="6" borderId="16" xfId="1" applyFont="1" applyFill="1" applyBorder="1" applyAlignment="1">
      <alignment horizontal="center" vertical="center" wrapText="1"/>
    </xf>
    <xf numFmtId="0" fontId="11" fillId="6" borderId="17" xfId="1" applyFont="1" applyFill="1" applyBorder="1" applyAlignment="1">
      <alignment horizontal="center" vertical="center" wrapText="1"/>
    </xf>
    <xf numFmtId="0" fontId="11" fillId="6" borderId="18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10" fillId="3" borderId="0" xfId="0" applyFont="1" applyFill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Porcentaje" xfId="2" builtinId="5"/>
  </cellStyles>
  <dxfs count="14"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theme="9" tint="-0.499984740745262"/>
      </font>
      <fill>
        <patternFill patternType="solid">
          <fgColor rgb="FFC6EFCE"/>
          <bgColor theme="9" tint="0.5999633777886288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theme="9" tint="-0.499984740745262"/>
      </font>
      <fill>
        <patternFill patternType="solid">
          <fgColor rgb="FFC6EFCE"/>
          <bgColor theme="9" tint="0.5999633777886288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 /><Relationship Id="rId3" Type="http://schemas.openxmlformats.org/officeDocument/2006/relationships/worksheet" Target="worksheets/sheet3.xml" /><Relationship Id="rId12" Type="http://schemas.openxmlformats.org/officeDocument/2006/relationships/theme" Target="theme/theme1.xml" /><Relationship Id="rId2" Type="http://schemas.openxmlformats.org/officeDocument/2006/relationships/worksheet" Target="worksheets/sheet2.xml" /><Relationship Id="rId16" Type="http://schemas.openxmlformats.org/officeDocument/2006/relationships/calcChain" Target="calcChain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customschemas.google.com/relationships/workbookmetadata" Target="metadata" /><Relationship Id="rId5" Type="http://schemas.openxmlformats.org/officeDocument/2006/relationships/worksheet" Target="worksheets/sheet5.xml" /><Relationship Id="rId15" Type="http://schemas.microsoft.com/office/2017/10/relationships/person" Target="persons/person.xml" /><Relationship Id="rId4" Type="http://schemas.openxmlformats.org/officeDocument/2006/relationships/worksheet" Target="worksheets/sheet4.xml" /><Relationship Id="rId14" Type="http://schemas.openxmlformats.org/officeDocument/2006/relationships/sharedStrings" Target="sharedStrings.xml" 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drea Figueroa" id="{65C3E4E2-E169-4B1B-83C3-02CEB99F9070}" userId="S-1-5-21-2124109406-2388463760-2900755100-1391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X1" dT="2026-05-28T00:54:18.32" personId="{65C3E4E2-E169-4B1B-83C3-02CEB99F9070}" id="{E9A140AE-A60F-48B9-A9B4-B95CEC5F41B2}">
    <text>Revisar Clasificación</text>
  </threadedComment>
  <threadedComment ref="Y1" dT="2026-05-28T00:54:04.58" personId="{65C3E4E2-E169-4B1B-83C3-02CEB99F9070}" id="{037C7A27-6593-4FE1-8668-B5DE636BD1CC}">
    <text>Revisar prioridad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1" Type="http://schemas.openxmlformats.org/officeDocument/2006/relationships/printerSettings" Target="../printerSettings/printerSettings1.bin" /><Relationship Id="rId4" Type="http://schemas.microsoft.com/office/2017/10/relationships/threadedComment" Target="../threadedComments/threadedComment1.xml" 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 /><Relationship Id="rId1" Type="http://schemas.openxmlformats.org/officeDocument/2006/relationships/vmlDrawing" Target="../drawings/vmlDrawing2.v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N124"/>
  <sheetViews>
    <sheetView topLeftCell="A3" workbookViewId="0">
      <selection activeCell="B5" sqref="B5"/>
    </sheetView>
  </sheetViews>
  <sheetFormatPr defaultColWidth="10.89453125" defaultRowHeight="14.25" x14ac:dyDescent="0.15"/>
  <cols>
    <col min="1" max="1" width="26.5" style="18" customWidth="1"/>
    <col min="2" max="2" width="13.44921875" style="18" customWidth="1"/>
    <col min="3" max="3" width="14.9296875" style="18" customWidth="1"/>
    <col min="4" max="4" width="13.5859375" style="18" customWidth="1"/>
    <col min="5" max="5" width="13.31640625" style="18" customWidth="1"/>
    <col min="6" max="6" width="16.140625" style="18" customWidth="1"/>
    <col min="7" max="7" width="17.08203125" style="18" customWidth="1"/>
    <col min="8" max="8" width="10.89453125" style="18"/>
    <col min="9" max="9" width="33.62890625" style="18" customWidth="1"/>
    <col min="10" max="10" width="11.1640625" style="18" bestFit="1" customWidth="1"/>
    <col min="11" max="13" width="11.1640625" style="18" customWidth="1"/>
    <col min="14" max="14" width="13.31640625" style="18" customWidth="1"/>
    <col min="15" max="16384" width="10.89453125" style="18"/>
  </cols>
  <sheetData>
    <row r="1" spans="1:14" ht="17.25" x14ac:dyDescent="0.2">
      <c r="A1" s="19" t="s">
        <v>443</v>
      </c>
      <c r="B1" s="20"/>
      <c r="C1" s="19"/>
      <c r="I1" s="19" t="s">
        <v>446</v>
      </c>
    </row>
    <row r="2" spans="1:14" ht="15" thickBot="1" x14ac:dyDescent="0.2"/>
    <row r="3" spans="1:14" s="76" customFormat="1" ht="50.45" customHeight="1" thickBot="1" x14ac:dyDescent="0.2">
      <c r="A3" s="92" t="s">
        <v>381</v>
      </c>
      <c r="B3" s="93" t="s">
        <v>1</v>
      </c>
      <c r="C3" s="93" t="s">
        <v>254</v>
      </c>
      <c r="D3" s="93" t="s">
        <v>380</v>
      </c>
      <c r="E3" s="93" t="s">
        <v>379</v>
      </c>
      <c r="F3" s="93" t="s">
        <v>378</v>
      </c>
      <c r="G3" s="94" t="s">
        <v>377</v>
      </c>
      <c r="I3" s="86" t="s">
        <v>381</v>
      </c>
      <c r="J3" s="87" t="s">
        <v>380</v>
      </c>
      <c r="K3" s="87" t="s">
        <v>419</v>
      </c>
      <c r="L3" s="87" t="s">
        <v>445</v>
      </c>
      <c r="M3" s="87" t="s">
        <v>441</v>
      </c>
      <c r="N3" s="88" t="s">
        <v>442</v>
      </c>
    </row>
    <row r="4" spans="1:14" x14ac:dyDescent="0.15">
      <c r="A4" s="36" t="s">
        <v>296</v>
      </c>
      <c r="B4" s="37" t="s">
        <v>277</v>
      </c>
      <c r="C4" s="38">
        <v>1</v>
      </c>
      <c r="D4" s="39">
        <f>COUNTIFS('Maestro infraestructura'!$A$2:$A$1052, A4,'Maestro infraestructura'!$X$2:$X$1052,B4,'Maestro infraestructura'!$Y$2:$Y$1052,C4)</f>
        <v>54</v>
      </c>
      <c r="E4" s="40">
        <f ca="1">COUNTIFS('Maestro infraestructura'!$A$2:$A$1051, A4,'Maestro infraestructura'!$X$2:$X$1051,B4,'Maestro infraestructura'!$Y$2:$Y$1051,C4,'Maestro infraestructura'!$V$2:$V$1051, "AL DÍA")</f>
        <v>54</v>
      </c>
      <c r="F4" s="41">
        <f t="shared" ref="F4:F5" ca="1" si="0">IF(D4=0,100%,IF(D4&gt;0,E4/D4,0))</f>
        <v>1</v>
      </c>
      <c r="G4" s="42" t="str">
        <f ca="1">IF(F4=1, "✅ ÓPTIMO", IF(F4&gt;=0.8, "⚠️ PRECAUCIÓN", "❌ CRÍTICO"))</f>
        <v>✅ ÓPTIMO</v>
      </c>
      <c r="I4" s="79" t="s">
        <v>296</v>
      </c>
      <c r="J4" s="80">
        <f>COUNTIFS('Maestro infraestructura'!$A$2:$A$1052, I4)</f>
        <v>618</v>
      </c>
      <c r="K4" s="81">
        <f ca="1">+COUNTIFS('Maestro infraestructura'!$A$2:$A$1051, I4,'Maestro infraestructura'!$K$2:$K$1051, $K$3)</f>
        <v>572</v>
      </c>
      <c r="L4" s="80">
        <f ca="1">+COUNTIFS('Maestro infraestructura'!$A$2:$A$1051, I4,'Maestro infraestructura'!$K$2:$K$1051, $L$3)</f>
        <v>0</v>
      </c>
      <c r="M4" s="80">
        <f ca="1">+COUNTIFS('Maestro infraestructura'!$A$2:$A$1051, I4,'Maestro infraestructura'!$K$2:$K$1051, $M$3)</f>
        <v>44</v>
      </c>
      <c r="N4" s="89">
        <f ca="1">+COUNTIFS('Maestro infraestructura'!$A$2:$A$1051, I4,'Maestro infraestructura'!$K$2:$K$1051, $N$3)</f>
        <v>2</v>
      </c>
    </row>
    <row r="5" spans="1:14" x14ac:dyDescent="0.15">
      <c r="A5" s="43" t="s">
        <v>296</v>
      </c>
      <c r="B5" s="5" t="s">
        <v>277</v>
      </c>
      <c r="C5" s="18">
        <v>2</v>
      </c>
      <c r="D5" s="44">
        <f>COUNTIFS('Maestro infraestructura'!$A$2:$A$1052, A5,'Maestro infraestructura'!$X$2:$X$1052,B5,'Maestro infraestructura'!$Y$2:$Y$1052,C5)</f>
        <v>1</v>
      </c>
      <c r="E5" s="45">
        <f ca="1">COUNTIFS('Maestro infraestructura'!$A$2:$A$1051, A5,'Maestro infraestructura'!$X$2:$X$1051,B5,'Maestro infraestructura'!$Y$2:$Y$1051,C5,'Maestro infraestructura'!$V$2:$V$1051, "AL DÍA")</f>
        <v>1</v>
      </c>
      <c r="F5" s="46">
        <f t="shared" ca="1" si="0"/>
        <v>1</v>
      </c>
      <c r="G5" s="47" t="str">
        <f t="shared" ref="G5:G6" ca="1" si="1">IF(F5=1, "✅ ÓPTIMO", IF(F5&gt;=0.8, "⚠️ PRECAUCIÓN", "❌ CRÍTICO"))</f>
        <v>✅ ÓPTIMO</v>
      </c>
      <c r="I5" s="82" t="s">
        <v>339</v>
      </c>
      <c r="J5" s="77">
        <f>COUNTIFS('Maestro infraestructura'!$A$2:$A$1052, I5)</f>
        <v>153</v>
      </c>
      <c r="K5" s="78">
        <f ca="1">+COUNTIFS('Maestro infraestructura'!$A$2:$A$1051, I5,'Maestro infraestructura'!$K$2:$K$1051, $K$3)</f>
        <v>153</v>
      </c>
      <c r="L5" s="77">
        <f ca="1">+COUNTIFS('Maestro infraestructura'!$A$2:$A$1051, I5,'Maestro infraestructura'!$K$2:$K$1051, $L$3)</f>
        <v>0</v>
      </c>
      <c r="M5" s="77">
        <f ca="1">+COUNTIFS('Maestro infraestructura'!$A$2:$A$1051, I5,'Maestro infraestructura'!$K$2:$K$1051, $M$3)</f>
        <v>0</v>
      </c>
      <c r="N5" s="90">
        <f ca="1">+COUNTIFS('Maestro infraestructura'!$A$2:$A$1051, I5,'Maestro infraestructura'!$K$2:$K$1051, $N$3)</f>
        <v>0</v>
      </c>
    </row>
    <row r="6" spans="1:14" x14ac:dyDescent="0.15">
      <c r="A6" s="43" t="s">
        <v>296</v>
      </c>
      <c r="B6" s="5" t="s">
        <v>277</v>
      </c>
      <c r="C6" s="18">
        <v>3</v>
      </c>
      <c r="D6" s="44">
        <f>COUNTIFS('Maestro infraestructura'!$A$2:$A$1052, A6,'Maestro infraestructura'!$X$2:$X$1052,B6,'Maestro infraestructura'!$Y$2:$Y$1052,C6)</f>
        <v>0</v>
      </c>
      <c r="E6" s="45">
        <f>COUNTIFS('Maestro infraestructura'!$A$2:$A$1051, A6,'Maestro infraestructura'!$X$2:$X$1051,B6,'Maestro infraestructura'!$Y$2:$Y$1051,C6,'Maestro infraestructura'!$V$2:$V$1051, "AL DÍA")</f>
        <v>0</v>
      </c>
      <c r="F6" s="46">
        <f>IF(D6=0,100%,IF(D6&gt;0,E6/D6,0))</f>
        <v>1</v>
      </c>
      <c r="G6" s="47" t="str">
        <f t="shared" si="1"/>
        <v>✅ ÓPTIMO</v>
      </c>
      <c r="I6" s="82" t="s">
        <v>114</v>
      </c>
      <c r="J6" s="77">
        <f>COUNTIFS('Maestro infraestructura'!$A$2:$A$1052, I6)</f>
        <v>175</v>
      </c>
      <c r="K6" s="78">
        <f ca="1">+COUNTIFS('Maestro infraestructura'!$A$2:$A$1051, I6,'Maestro infraestructura'!$K$2:$K$1051, $K$3)</f>
        <v>175</v>
      </c>
      <c r="L6" s="77">
        <f ca="1">+COUNTIFS('Maestro infraestructura'!$A$2:$A$1051, I6,'Maestro infraestructura'!$K$2:$K$1051, $L$3)</f>
        <v>0</v>
      </c>
      <c r="M6" s="77">
        <f ca="1">+COUNTIFS('Maestro infraestructura'!$A$2:$A$1051, I6,'Maestro infraestructura'!$K$2:$K$1051, $M$3)</f>
        <v>0</v>
      </c>
      <c r="N6" s="90">
        <f ca="1">+COUNTIFS('Maestro infraestructura'!$A$2:$A$1051, I6,'Maestro infraestructura'!$K$2:$K$1051, $N$3)</f>
        <v>0</v>
      </c>
    </row>
    <row r="7" spans="1:14" x14ac:dyDescent="0.15">
      <c r="A7" s="55" t="s">
        <v>296</v>
      </c>
      <c r="B7" s="56" t="s">
        <v>267</v>
      </c>
      <c r="C7" s="57">
        <v>1</v>
      </c>
      <c r="D7" s="58">
        <f>COUNTIFS('Maestro infraestructura'!$A$2:$A$1052, A7,'Maestro infraestructura'!$X$2:$X$1052,B7,'Maestro infraestructura'!$Y$2:$Y$1052,C7)</f>
        <v>4</v>
      </c>
      <c r="E7" s="59">
        <f ca="1">COUNTIFS('Maestro infraestructura'!$A$2:$A$1051, A7,'Maestro infraestructura'!$X$2:$X$1051,B7,'Maestro infraestructura'!$Y$2:$Y$1051,C7,'Maestro infraestructura'!$V$2:$V$1051, "AL DÍA")</f>
        <v>0</v>
      </c>
      <c r="F7" s="60">
        <f t="shared" ref="F7:F70" ca="1" si="2">IF(D7=0,100%,IF(D7&gt;0,E7/D7,0))</f>
        <v>0</v>
      </c>
      <c r="G7" s="61" t="str">
        <f ca="1">IF(F7=1, "✅ ÓPTIMO", IF(F7&gt;=0.8, "⚠️ PRECAUCIÓN", "❌ CRÍTICO"))</f>
        <v>❌ CRÍTICO</v>
      </c>
      <c r="I7" s="82" t="s">
        <v>353</v>
      </c>
      <c r="J7" s="77">
        <f>COUNTIFS('Maestro infraestructura'!$A$2:$A$1052, I7)</f>
        <v>47</v>
      </c>
      <c r="K7" s="78">
        <f ca="1">+COUNTIFS('Maestro infraestructura'!$A$2:$A$1051, I7,'Maestro infraestructura'!$K$2:$K$1051, $K$3)</f>
        <v>45</v>
      </c>
      <c r="L7" s="77">
        <f ca="1">+COUNTIFS('Maestro infraestructura'!$A$2:$A$1051, I7,'Maestro infraestructura'!$K$2:$K$1051, $L$3)</f>
        <v>0</v>
      </c>
      <c r="M7" s="77">
        <f ca="1">+COUNTIFS('Maestro infraestructura'!$A$2:$A$1051, I7,'Maestro infraestructura'!$K$2:$K$1051, $M$3)</f>
        <v>1</v>
      </c>
      <c r="N7" s="90">
        <f ca="1">+COUNTIFS('Maestro infraestructura'!$A$2:$A$1051, I7,'Maestro infraestructura'!$K$2:$K$1051, $N$3)</f>
        <v>0</v>
      </c>
    </row>
    <row r="8" spans="1:14" x14ac:dyDescent="0.15">
      <c r="A8" s="43" t="s">
        <v>296</v>
      </c>
      <c r="B8" s="5" t="s">
        <v>267</v>
      </c>
      <c r="C8" s="18">
        <v>2</v>
      </c>
      <c r="D8" s="44">
        <f>COUNTIFS('Maestro infraestructura'!$A$2:$A$1052, A8,'Maestro infraestructura'!$X$2:$X$1052,B8,'Maestro infraestructura'!$Y$2:$Y$1052,C8)</f>
        <v>13</v>
      </c>
      <c r="E8" s="45">
        <f ca="1">COUNTIFS('Maestro infraestructura'!$A$2:$A$1051, A8,'Maestro infraestructura'!$X$2:$X$1051,B8,'Maestro infraestructura'!$Y$2:$Y$1051,C8,'Maestro infraestructura'!$V$2:$V$1051, "AL DÍA")</f>
        <v>4</v>
      </c>
      <c r="F8" s="46">
        <f t="shared" ca="1" si="2"/>
        <v>0.30769230769230771</v>
      </c>
      <c r="G8" s="47" t="str">
        <f t="shared" ref="G8:G83" ca="1" si="3">IF(F8=1, "✅ ÓPTIMO", IF(F8&gt;=0.8, "⚠️ PRECAUCIÓN", "❌ CRÍTICO"))</f>
        <v>❌ CRÍTICO</v>
      </c>
      <c r="I8" s="82" t="s">
        <v>122</v>
      </c>
      <c r="J8" s="77">
        <f>COUNTIFS('Maestro infraestructura'!$A$2:$A$1052, I8)</f>
        <v>14</v>
      </c>
      <c r="K8" s="78">
        <f ca="1">+COUNTIFS('Maestro infraestructura'!$A$2:$A$1051, I8,'Maestro infraestructura'!$K$2:$K$1051, $K$3)</f>
        <v>13</v>
      </c>
      <c r="L8" s="77">
        <f ca="1">+COUNTIFS('Maestro infraestructura'!$A$2:$A$1051, I8,'Maestro infraestructura'!$K$2:$K$1051, $L$3)</f>
        <v>0</v>
      </c>
      <c r="M8" s="77">
        <f ca="1">+COUNTIFS('Maestro infraestructura'!$A$2:$A$1051, I8,'Maestro infraestructura'!$K$2:$K$1051, $M$3)</f>
        <v>1</v>
      </c>
      <c r="N8" s="90">
        <f ca="1">+COUNTIFS('Maestro infraestructura'!$A$2:$A$1051, I8,'Maestro infraestructura'!$K$2:$K$1051, $N$3)</f>
        <v>0</v>
      </c>
    </row>
    <row r="9" spans="1:14" x14ac:dyDescent="0.15">
      <c r="A9" s="43" t="s">
        <v>296</v>
      </c>
      <c r="B9" s="5" t="s">
        <v>267</v>
      </c>
      <c r="C9" s="18">
        <v>3</v>
      </c>
      <c r="D9" s="44">
        <f>COUNTIFS('Maestro infraestructura'!$A$2:$A$1052, A9,'Maestro infraestructura'!$X$2:$X$1052,B9,'Maestro infraestructura'!$Y$2:$Y$1052,C9)</f>
        <v>0</v>
      </c>
      <c r="E9" s="45">
        <f>COUNTIFS('Maestro infraestructura'!$A$2:$A$1051, A9,'Maestro infraestructura'!$X$2:$X$1051,B9,'Maestro infraestructura'!$Y$2:$Y$1051,C9,'Maestro infraestructura'!$V$2:$V$1051, "AL DÍA")</f>
        <v>0</v>
      </c>
      <c r="F9" s="46">
        <f t="shared" si="2"/>
        <v>1</v>
      </c>
      <c r="G9" s="47" t="str">
        <f t="shared" si="3"/>
        <v>✅ ÓPTIMO</v>
      </c>
      <c r="I9" s="82" t="s">
        <v>257</v>
      </c>
      <c r="J9" s="77">
        <f>COUNTIFS('Maestro infraestructura'!$A$2:$A$1052, I9)</f>
        <v>23</v>
      </c>
      <c r="K9" s="78">
        <f ca="1">+COUNTIFS('Maestro infraestructura'!$A$2:$A$1051, I9,'Maestro infraestructura'!$K$2:$K$1051, $K$3)</f>
        <v>21</v>
      </c>
      <c r="L9" s="77">
        <f ca="1">+COUNTIFS('Maestro infraestructura'!$A$2:$A$1051, I9,'Maestro infraestructura'!$K$2:$K$1051, $L$3)</f>
        <v>1</v>
      </c>
      <c r="M9" s="77">
        <f ca="1">+COUNTIFS('Maestro infraestructura'!$A$2:$A$1051, I9,'Maestro infraestructura'!$K$2:$K$1051, $M$3)</f>
        <v>0</v>
      </c>
      <c r="N9" s="90">
        <f ca="1">+COUNTIFS('Maestro infraestructura'!$A$2:$A$1051, I9,'Maestro infraestructura'!$K$2:$K$1051, $N$3)</f>
        <v>1</v>
      </c>
    </row>
    <row r="10" spans="1:14" x14ac:dyDescent="0.15">
      <c r="A10" s="55" t="s">
        <v>296</v>
      </c>
      <c r="B10" s="56" t="s">
        <v>271</v>
      </c>
      <c r="C10" s="57">
        <v>1</v>
      </c>
      <c r="D10" s="58">
        <f>COUNTIFS('Maestro infraestructura'!$A$2:$A$1052, A10,'Maestro infraestructura'!$X$2:$X$1052,B10,'Maestro infraestructura'!$Y$2:$Y$1052,C10)</f>
        <v>1</v>
      </c>
      <c r="E10" s="59">
        <f ca="1">COUNTIFS('Maestro infraestructura'!$A$2:$A$1051, A10,'Maestro infraestructura'!$X$2:$X$1051,B10,'Maestro infraestructura'!$Y$2:$Y$1051,C10,'Maestro infraestructura'!$V$2:$V$1051, "AL DÍA")</f>
        <v>1</v>
      </c>
      <c r="F10" s="60">
        <f t="shared" ca="1" si="2"/>
        <v>1</v>
      </c>
      <c r="G10" s="61" t="str">
        <f t="shared" ca="1" si="3"/>
        <v>✅ ÓPTIMO</v>
      </c>
      <c r="I10" s="82" t="s">
        <v>234</v>
      </c>
      <c r="J10" s="77">
        <f>COUNTIFS('Maestro infraestructura'!$A$2:$A$1052, I10)</f>
        <v>12</v>
      </c>
      <c r="K10" s="78">
        <f ca="1">+COUNTIFS('Maestro infraestructura'!$A$2:$A$1051, I10,'Maestro infraestructura'!$K$2:$K$1051, $K$3)</f>
        <v>12</v>
      </c>
      <c r="L10" s="77">
        <f ca="1">+COUNTIFS('Maestro infraestructura'!$A$2:$A$1051, I10,'Maestro infraestructura'!$K$2:$K$1051, $L$3)</f>
        <v>0</v>
      </c>
      <c r="M10" s="77">
        <f ca="1">+COUNTIFS('Maestro infraestructura'!$A$2:$A$1051, I10,'Maestro infraestructura'!$K$2:$K$1051, $M$3)</f>
        <v>0</v>
      </c>
      <c r="N10" s="90">
        <f ca="1">+COUNTIFS('Maestro infraestructura'!$A$2:$A$1051, I10,'Maestro infraestructura'!$K$2:$K$1051, $N$3)</f>
        <v>0</v>
      </c>
    </row>
    <row r="11" spans="1:14" x14ac:dyDescent="0.15">
      <c r="A11" s="43" t="s">
        <v>296</v>
      </c>
      <c r="B11" s="5" t="s">
        <v>271</v>
      </c>
      <c r="C11" s="18">
        <v>2</v>
      </c>
      <c r="D11" s="44">
        <f>COUNTIFS('Maestro infraestructura'!$A$2:$A$1052, A11,'Maestro infraestructura'!$X$2:$X$1052,B11,'Maestro infraestructura'!$Y$2:$Y$1052,C11)</f>
        <v>345</v>
      </c>
      <c r="E11" s="45">
        <f ca="1">COUNTIFS('Maestro infraestructura'!$A$2:$A$1051, A11,'Maestro infraestructura'!$X$2:$X$1051,B11,'Maestro infraestructura'!$Y$2:$Y$1051,C11,'Maestro infraestructura'!$V$2:$V$1051, "AL DÍA")</f>
        <v>345</v>
      </c>
      <c r="F11" s="46">
        <f t="shared" ca="1" si="2"/>
        <v>1</v>
      </c>
      <c r="G11" s="47" t="str">
        <f t="shared" ca="1" si="3"/>
        <v>✅ ÓPTIMO</v>
      </c>
      <c r="I11" s="82" t="s">
        <v>258</v>
      </c>
      <c r="J11" s="77">
        <f>COUNTIFS('Maestro infraestructura'!$A$2:$A$1052, I11)</f>
        <v>2</v>
      </c>
      <c r="K11" s="78">
        <f ca="1">+COUNTIFS('Maestro infraestructura'!$A$2:$A$1051, I11,'Maestro infraestructura'!$K$2:$K$1051, $K$3)</f>
        <v>2</v>
      </c>
      <c r="L11" s="77">
        <f ca="1">+COUNTIFS('Maestro infraestructura'!$A$2:$A$1051, I11,'Maestro infraestructura'!$K$2:$K$1051, $L$3)</f>
        <v>0</v>
      </c>
      <c r="M11" s="77">
        <f ca="1">+COUNTIFS('Maestro infraestructura'!$A$2:$A$1051, I11,'Maestro infraestructura'!$K$2:$K$1051, $M$3)</f>
        <v>0</v>
      </c>
      <c r="N11" s="90">
        <f ca="1">+COUNTIFS('Maestro infraestructura'!$A$2:$A$1051, I11,'Maestro infraestructura'!$K$2:$K$1051, $N$3)</f>
        <v>0</v>
      </c>
    </row>
    <row r="12" spans="1:14" x14ac:dyDescent="0.15">
      <c r="A12" s="43" t="s">
        <v>296</v>
      </c>
      <c r="B12" s="5" t="s">
        <v>271</v>
      </c>
      <c r="C12" s="18">
        <v>3</v>
      </c>
      <c r="D12" s="44">
        <f>COUNTIFS('Maestro infraestructura'!$A$2:$A$1052, A12,'Maestro infraestructura'!$X$2:$X$1052,B12,'Maestro infraestructura'!$Y$2:$Y$1052,C12)</f>
        <v>0</v>
      </c>
      <c r="E12" s="45">
        <f>COUNTIFS('Maestro infraestructura'!$A$2:$A$1051, A12,'Maestro infraestructura'!$X$2:$X$1051,B12,'Maestro infraestructura'!$Y$2:$Y$1051,C12,'Maestro infraestructura'!$V$2:$V$1051, "AL DÍA")</f>
        <v>0</v>
      </c>
      <c r="F12" s="46">
        <f t="shared" si="2"/>
        <v>1</v>
      </c>
      <c r="G12" s="47" t="str">
        <f t="shared" si="3"/>
        <v>✅ ÓPTIMO</v>
      </c>
      <c r="I12" s="82" t="s">
        <v>259</v>
      </c>
      <c r="J12" s="77">
        <f>COUNTIFS('Maestro infraestructura'!$A$2:$A$1052, I12)</f>
        <v>3</v>
      </c>
      <c r="K12" s="78">
        <f ca="1">+COUNTIFS('Maestro infraestructura'!$A$2:$A$1051, I12,'Maestro infraestructura'!$K$2:$K$1051, $K$3)</f>
        <v>3</v>
      </c>
      <c r="L12" s="77">
        <f ca="1">+COUNTIFS('Maestro infraestructura'!$A$2:$A$1051, I12,'Maestro infraestructura'!$K$2:$K$1051, $L$3)</f>
        <v>0</v>
      </c>
      <c r="M12" s="77">
        <f ca="1">+COUNTIFS('Maestro infraestructura'!$A$2:$A$1051, I12,'Maestro infraestructura'!$K$2:$K$1051, $M$3)</f>
        <v>0</v>
      </c>
      <c r="N12" s="90">
        <f ca="1">+COUNTIFS('Maestro infraestructura'!$A$2:$A$1051, I12,'Maestro infraestructura'!$K$2:$K$1051, $N$3)</f>
        <v>0</v>
      </c>
    </row>
    <row r="13" spans="1:14" ht="15" thickBot="1" x14ac:dyDescent="0.2">
      <c r="A13" s="55" t="s">
        <v>296</v>
      </c>
      <c r="B13" s="56" t="s">
        <v>262</v>
      </c>
      <c r="C13" s="57">
        <v>1</v>
      </c>
      <c r="D13" s="58">
        <f>COUNTIFS('Maestro infraestructura'!$A$2:$A$1052, A13,'Maestro infraestructura'!$X$2:$X$1052,B13,'Maestro infraestructura'!$Y$2:$Y$1052,C13)</f>
        <v>42</v>
      </c>
      <c r="E13" s="59">
        <f ca="1">COUNTIFS('Maestro infraestructura'!$A$2:$A$1051, A13,'Maestro infraestructura'!$X$2:$X$1051,B13,'Maestro infraestructura'!$Y$2:$Y$1051,C13,'Maestro infraestructura'!$V$2:$V$1051, "AL DÍA")</f>
        <v>42</v>
      </c>
      <c r="F13" s="60">
        <f t="shared" ca="1" si="2"/>
        <v>1</v>
      </c>
      <c r="G13" s="61" t="str">
        <f t="shared" ca="1" si="3"/>
        <v>✅ ÓPTIMO</v>
      </c>
      <c r="I13" s="83" t="s">
        <v>244</v>
      </c>
      <c r="J13" s="84">
        <f>COUNTIFS('Maestro infraestructura'!$A$2:$A$1052, I13)</f>
        <v>4</v>
      </c>
      <c r="K13" s="85">
        <f ca="1">+COUNTIFS('Maestro infraestructura'!$A$2:$A$1051, I13,'Maestro infraestructura'!$K$2:$K$1051, $K$3)</f>
        <v>4</v>
      </c>
      <c r="L13" s="84">
        <f ca="1">+COUNTIFS('Maestro infraestructura'!$A$2:$A$1051, I13,'Maestro infraestructura'!$K$2:$K$1051, $L$3)</f>
        <v>0</v>
      </c>
      <c r="M13" s="84">
        <f ca="1">+COUNTIFS('Maestro infraestructura'!$A$2:$A$1051, I13,'Maestro infraestructura'!$K$2:$K$1051, $M$3)</f>
        <v>0</v>
      </c>
      <c r="N13" s="91">
        <f ca="1">+COUNTIFS('Maestro infraestructura'!$A$2:$A$1051, I13,'Maestro infraestructura'!$K$2:$K$1051, $N$3)</f>
        <v>0</v>
      </c>
    </row>
    <row r="14" spans="1:14" x14ac:dyDescent="0.15">
      <c r="A14" s="43" t="s">
        <v>296</v>
      </c>
      <c r="B14" s="5" t="s">
        <v>262</v>
      </c>
      <c r="C14" s="18">
        <v>2</v>
      </c>
      <c r="D14" s="44">
        <f>COUNTIFS('Maestro infraestructura'!$A$2:$A$1052, A14,'Maestro infraestructura'!$X$2:$X$1052,B14,'Maestro infraestructura'!$Y$2:$Y$1052,C14)</f>
        <v>158</v>
      </c>
      <c r="E14" s="45">
        <f ca="1">COUNTIFS('Maestro infraestructura'!$A$2:$A$1051, A14,'Maestro infraestructura'!$X$2:$X$1051,B14,'Maestro infraestructura'!$Y$2:$Y$1051,C14,'Maestro infraestructura'!$V$2:$V$1051, "AL DÍA")</f>
        <v>157</v>
      </c>
      <c r="F14" s="46">
        <f t="shared" ca="1" si="2"/>
        <v>0.99367088607594933</v>
      </c>
      <c r="G14" s="47" t="str">
        <f t="shared" ca="1" si="3"/>
        <v>⚠️ PRECAUCIÓN</v>
      </c>
    </row>
    <row r="15" spans="1:14" ht="15" thickBot="1" x14ac:dyDescent="0.2">
      <c r="A15" s="48" t="s">
        <v>296</v>
      </c>
      <c r="B15" s="49" t="s">
        <v>262</v>
      </c>
      <c r="C15" s="50">
        <v>3</v>
      </c>
      <c r="D15" s="51">
        <f>COUNTIFS('Maestro infraestructura'!$A$2:$A$1052, A15,'Maestro infraestructura'!$X$2:$X$1052,B15,'Maestro infraestructura'!$Y$2:$Y$1052,C15)</f>
        <v>0</v>
      </c>
      <c r="E15" s="52">
        <f>COUNTIFS('Maestro infraestructura'!$A$2:$A$1051, A15,'Maestro infraestructura'!$X$2:$X$1051,B15,'Maestro infraestructura'!$Y$2:$Y$1051,C15,'Maestro infraestructura'!$V$2:$V$1051, "AL DÍA")</f>
        <v>0</v>
      </c>
      <c r="F15" s="53">
        <f t="shared" si="2"/>
        <v>1</v>
      </c>
      <c r="G15" s="54" t="str">
        <f t="shared" si="3"/>
        <v>✅ ÓPTIMO</v>
      </c>
    </row>
    <row r="16" spans="1:14" x14ac:dyDescent="0.15">
      <c r="A16" s="36" t="s">
        <v>339</v>
      </c>
      <c r="B16" s="37" t="s">
        <v>277</v>
      </c>
      <c r="C16" s="38">
        <v>1</v>
      </c>
      <c r="D16" s="39">
        <f>COUNTIFS('Maestro infraestructura'!$A$2:$A$1052, A16,'Maestro infraestructura'!$X$2:$X$1052,B16,'Maestro infraestructura'!$Y$2:$Y$1052,C16)</f>
        <v>4</v>
      </c>
      <c r="E16" s="40">
        <f ca="1">COUNTIFS('Maestro infraestructura'!$A$2:$A$1051, A16,'Maestro infraestructura'!$X$2:$X$1051,B16,'Maestro infraestructura'!$Y$2:$Y$1051,C16,'Maestro infraestructura'!$V$2:$V$1051, "AL DÍA")</f>
        <v>4</v>
      </c>
      <c r="F16" s="41">
        <f t="shared" ca="1" si="2"/>
        <v>1</v>
      </c>
      <c r="G16" s="42" t="str">
        <f t="shared" ca="1" si="3"/>
        <v>✅ ÓPTIMO</v>
      </c>
    </row>
    <row r="17" spans="1:7" x14ac:dyDescent="0.15">
      <c r="A17" s="43" t="s">
        <v>339</v>
      </c>
      <c r="B17" s="5" t="s">
        <v>277</v>
      </c>
      <c r="C17" s="18">
        <v>2</v>
      </c>
      <c r="D17" s="44">
        <f>COUNTIFS('Maestro infraestructura'!$A$2:$A$1052, A17,'Maestro infraestructura'!$X$2:$X$1052,B17,'Maestro infraestructura'!$Y$2:$Y$1052,C17)</f>
        <v>13</v>
      </c>
      <c r="E17" s="45">
        <f ca="1">COUNTIFS('Maestro infraestructura'!$A$2:$A$1051, A17,'Maestro infraestructura'!$X$2:$X$1051,B17,'Maestro infraestructura'!$Y$2:$Y$1051,C17,'Maestro infraestructura'!$V$2:$V$1051, "AL DÍA")</f>
        <v>13</v>
      </c>
      <c r="F17" s="46">
        <f t="shared" ca="1" si="2"/>
        <v>1</v>
      </c>
      <c r="G17" s="47" t="str">
        <f t="shared" ca="1" si="3"/>
        <v>✅ ÓPTIMO</v>
      </c>
    </row>
    <row r="18" spans="1:7" x14ac:dyDescent="0.15">
      <c r="A18" s="43" t="s">
        <v>339</v>
      </c>
      <c r="B18" s="5" t="s">
        <v>277</v>
      </c>
      <c r="C18" s="18">
        <v>3</v>
      </c>
      <c r="D18" s="44">
        <f>COUNTIFS('Maestro infraestructura'!$A$2:$A$1052, A18,'Maestro infraestructura'!$X$2:$X$1052,B18,'Maestro infraestructura'!$Y$2:$Y$1052,C18)</f>
        <v>0</v>
      </c>
      <c r="E18" s="45">
        <f>COUNTIFS('Maestro infraestructura'!$A$2:$A$1051, A18,'Maestro infraestructura'!$X$2:$X$1051,B18,'Maestro infraestructura'!$Y$2:$Y$1051,C18,'Maestro infraestructura'!$V$2:$V$1051, "AL DÍA")</f>
        <v>0</v>
      </c>
      <c r="F18" s="46">
        <f t="shared" si="2"/>
        <v>1</v>
      </c>
      <c r="G18" s="47" t="str">
        <f t="shared" si="3"/>
        <v>✅ ÓPTIMO</v>
      </c>
    </row>
    <row r="19" spans="1:7" x14ac:dyDescent="0.15">
      <c r="A19" s="55" t="s">
        <v>339</v>
      </c>
      <c r="B19" s="56" t="s">
        <v>267</v>
      </c>
      <c r="C19" s="57">
        <v>1</v>
      </c>
      <c r="D19" s="58">
        <f>COUNTIFS('Maestro infraestructura'!$A$2:$A$1052, A19,'Maestro infraestructura'!$X$2:$X$1052,B19,'Maestro infraestructura'!$Y$2:$Y$1052,C19)</f>
        <v>2</v>
      </c>
      <c r="E19" s="59">
        <f ca="1">COUNTIFS('Maestro infraestructura'!$A$2:$A$1051, A19,'Maestro infraestructura'!$X$2:$X$1051,B19,'Maestro infraestructura'!$Y$2:$Y$1051,C19,'Maestro infraestructura'!$V$2:$V$1051, "AL DÍA")</f>
        <v>0</v>
      </c>
      <c r="F19" s="60">
        <f t="shared" ca="1" si="2"/>
        <v>0</v>
      </c>
      <c r="G19" s="61" t="str">
        <f t="shared" ca="1" si="3"/>
        <v>❌ CRÍTICO</v>
      </c>
    </row>
    <row r="20" spans="1:7" x14ac:dyDescent="0.15">
      <c r="A20" s="43" t="s">
        <v>339</v>
      </c>
      <c r="B20" s="5" t="s">
        <v>267</v>
      </c>
      <c r="C20" s="18">
        <v>2</v>
      </c>
      <c r="D20" s="44">
        <f>COUNTIFS('Maestro infraestructura'!$A$2:$A$1052, A20,'Maestro infraestructura'!$X$2:$X$1052,B20,'Maestro infraestructura'!$Y$2:$Y$1052,C20)</f>
        <v>2</v>
      </c>
      <c r="E20" s="45">
        <f ca="1">COUNTIFS('Maestro infraestructura'!$A$2:$A$1051, A20,'Maestro infraestructura'!$X$2:$X$1051,B20,'Maestro infraestructura'!$Y$2:$Y$1051,C20,'Maestro infraestructura'!$V$2:$V$1051, "AL DÍA")</f>
        <v>0</v>
      </c>
      <c r="F20" s="46">
        <f t="shared" ca="1" si="2"/>
        <v>0</v>
      </c>
      <c r="G20" s="47" t="str">
        <f t="shared" ca="1" si="3"/>
        <v>❌ CRÍTICO</v>
      </c>
    </row>
    <row r="21" spans="1:7" x14ac:dyDescent="0.15">
      <c r="A21" s="43" t="s">
        <v>339</v>
      </c>
      <c r="B21" s="5" t="s">
        <v>267</v>
      </c>
      <c r="C21" s="18">
        <v>3</v>
      </c>
      <c r="D21" s="44">
        <f>COUNTIFS('Maestro infraestructura'!$A$2:$A$1052, A21,'Maestro infraestructura'!$X$2:$X$1052,B21,'Maestro infraestructura'!$Y$2:$Y$1052,C21)</f>
        <v>0</v>
      </c>
      <c r="E21" s="45">
        <f>COUNTIFS('Maestro infraestructura'!$A$2:$A$1051, A21,'Maestro infraestructura'!$X$2:$X$1051,B21,'Maestro infraestructura'!$Y$2:$Y$1051,C21,'Maestro infraestructura'!$V$2:$V$1051, "AL DÍA")</f>
        <v>0</v>
      </c>
      <c r="F21" s="46">
        <f t="shared" si="2"/>
        <v>1</v>
      </c>
      <c r="G21" s="47" t="str">
        <f t="shared" si="3"/>
        <v>✅ ÓPTIMO</v>
      </c>
    </row>
    <row r="22" spans="1:7" x14ac:dyDescent="0.15">
      <c r="A22" s="55" t="s">
        <v>339</v>
      </c>
      <c r="B22" s="56" t="s">
        <v>271</v>
      </c>
      <c r="C22" s="57">
        <v>1</v>
      </c>
      <c r="D22" s="58">
        <f>COUNTIFS('Maestro infraestructura'!$A$2:$A$1052, A22,'Maestro infraestructura'!$X$2:$X$1052,B22,'Maestro infraestructura'!$Y$2:$Y$1052,C22)</f>
        <v>1</v>
      </c>
      <c r="E22" s="59">
        <f ca="1">COUNTIFS('Maestro infraestructura'!$A$2:$A$1051, A22,'Maestro infraestructura'!$X$2:$X$1051,B22,'Maestro infraestructura'!$Y$2:$Y$1051,C22,'Maestro infraestructura'!$V$2:$V$1051, "AL DÍA")</f>
        <v>1</v>
      </c>
      <c r="F22" s="60">
        <f t="shared" ca="1" si="2"/>
        <v>1</v>
      </c>
      <c r="G22" s="61" t="str">
        <f t="shared" ca="1" si="3"/>
        <v>✅ ÓPTIMO</v>
      </c>
    </row>
    <row r="23" spans="1:7" x14ac:dyDescent="0.15">
      <c r="A23" s="43" t="s">
        <v>339</v>
      </c>
      <c r="B23" s="5" t="s">
        <v>271</v>
      </c>
      <c r="C23" s="18">
        <v>2</v>
      </c>
      <c r="D23" s="44">
        <f>COUNTIFS('Maestro infraestructura'!$A$2:$A$1052, A23,'Maestro infraestructura'!$X$2:$X$1052,B23,'Maestro infraestructura'!$Y$2:$Y$1052,C23)</f>
        <v>76</v>
      </c>
      <c r="E23" s="45">
        <f ca="1">COUNTIFS('Maestro infraestructura'!$A$2:$A$1051, A23,'Maestro infraestructura'!$X$2:$X$1051,B23,'Maestro infraestructura'!$Y$2:$Y$1051,C23,'Maestro infraestructura'!$V$2:$V$1051, "AL DÍA")</f>
        <v>76</v>
      </c>
      <c r="F23" s="46">
        <f t="shared" ca="1" si="2"/>
        <v>1</v>
      </c>
      <c r="G23" s="47" t="str">
        <f t="shared" ca="1" si="3"/>
        <v>✅ ÓPTIMO</v>
      </c>
    </row>
    <row r="24" spans="1:7" x14ac:dyDescent="0.15">
      <c r="A24" s="43" t="s">
        <v>339</v>
      </c>
      <c r="B24" s="5" t="s">
        <v>271</v>
      </c>
      <c r="C24" s="18">
        <v>3</v>
      </c>
      <c r="D24" s="44">
        <f>COUNTIFS('Maestro infraestructura'!$A$2:$A$1052, A24,'Maestro infraestructura'!$X$2:$X$1052,B24,'Maestro infraestructura'!$Y$2:$Y$1052,C24)</f>
        <v>0</v>
      </c>
      <c r="E24" s="45">
        <f>COUNTIFS('Maestro infraestructura'!$A$2:$A$1051, A24,'Maestro infraestructura'!$X$2:$X$1051,B24,'Maestro infraestructura'!$Y$2:$Y$1051,C24,'Maestro infraestructura'!$V$2:$V$1051, "AL DÍA")</f>
        <v>0</v>
      </c>
      <c r="F24" s="46">
        <f t="shared" si="2"/>
        <v>1</v>
      </c>
      <c r="G24" s="47" t="str">
        <f t="shared" si="3"/>
        <v>✅ ÓPTIMO</v>
      </c>
    </row>
    <row r="25" spans="1:7" x14ac:dyDescent="0.15">
      <c r="A25" s="55" t="s">
        <v>339</v>
      </c>
      <c r="B25" s="56" t="s">
        <v>262</v>
      </c>
      <c r="C25" s="57">
        <v>1</v>
      </c>
      <c r="D25" s="58">
        <f>COUNTIFS('Maestro infraestructura'!$A$2:$A$1052, A25,'Maestro infraestructura'!$X$2:$X$1052,B25,'Maestro infraestructura'!$Y$2:$Y$1052,C25)</f>
        <v>14</v>
      </c>
      <c r="E25" s="59">
        <f ca="1">COUNTIFS('Maestro infraestructura'!$A$2:$A$1051, A25,'Maestro infraestructura'!$X$2:$X$1051,B25,'Maestro infraestructura'!$Y$2:$Y$1051,C25,'Maestro infraestructura'!$V$2:$V$1051, "AL DÍA")</f>
        <v>14</v>
      </c>
      <c r="F25" s="60">
        <f t="shared" ca="1" si="2"/>
        <v>1</v>
      </c>
      <c r="G25" s="61" t="str">
        <f t="shared" ca="1" si="3"/>
        <v>✅ ÓPTIMO</v>
      </c>
    </row>
    <row r="26" spans="1:7" x14ac:dyDescent="0.15">
      <c r="A26" s="43" t="s">
        <v>339</v>
      </c>
      <c r="B26" s="5" t="s">
        <v>262</v>
      </c>
      <c r="C26" s="18">
        <v>2</v>
      </c>
      <c r="D26" s="44">
        <f>COUNTIFS('Maestro infraestructura'!$A$2:$A$1052, A26,'Maestro infraestructura'!$X$2:$X$1052,B26,'Maestro infraestructura'!$Y$2:$Y$1052,C26)</f>
        <v>40</v>
      </c>
      <c r="E26" s="45">
        <f ca="1">COUNTIFS('Maestro infraestructura'!$A$2:$A$1051, A26,'Maestro infraestructura'!$X$2:$X$1051,B26,'Maestro infraestructura'!$Y$2:$Y$1051,C26,'Maestro infraestructura'!$V$2:$V$1051, "AL DÍA")</f>
        <v>40</v>
      </c>
      <c r="F26" s="46">
        <f t="shared" ca="1" si="2"/>
        <v>1</v>
      </c>
      <c r="G26" s="47" t="str">
        <f t="shared" ca="1" si="3"/>
        <v>✅ ÓPTIMO</v>
      </c>
    </row>
    <row r="27" spans="1:7" ht="15" thickBot="1" x14ac:dyDescent="0.2">
      <c r="A27" s="48" t="s">
        <v>339</v>
      </c>
      <c r="B27" s="49" t="s">
        <v>262</v>
      </c>
      <c r="C27" s="50">
        <v>3</v>
      </c>
      <c r="D27" s="51">
        <f>COUNTIFS('Maestro infraestructura'!$A$2:$A$1052, A27,'Maestro infraestructura'!$X$2:$X$1052,B27,'Maestro infraestructura'!$Y$2:$Y$1052,C27)</f>
        <v>1</v>
      </c>
      <c r="E27" s="52">
        <f ca="1">COUNTIFS('Maestro infraestructura'!$A$2:$A$1051, A27,'Maestro infraestructura'!$X$2:$X$1051,B27,'Maestro infraestructura'!$Y$2:$Y$1051,C27,'Maestro infraestructura'!$V$2:$V$1051, "AL DÍA")</f>
        <v>1</v>
      </c>
      <c r="F27" s="53">
        <f t="shared" ca="1" si="2"/>
        <v>1</v>
      </c>
      <c r="G27" s="54" t="str">
        <f t="shared" ca="1" si="3"/>
        <v>✅ ÓPTIMO</v>
      </c>
    </row>
    <row r="28" spans="1:7" x14ac:dyDescent="0.15">
      <c r="A28" s="36" t="s">
        <v>114</v>
      </c>
      <c r="B28" s="37" t="s">
        <v>277</v>
      </c>
      <c r="C28" s="38">
        <v>1</v>
      </c>
      <c r="D28" s="39">
        <f>COUNTIFS('Maestro infraestructura'!$A$2:$A$1052, A28,'Maestro infraestructura'!$X$2:$X$1052,B28,'Maestro infraestructura'!$Y$2:$Y$1052,C28)</f>
        <v>1</v>
      </c>
      <c r="E28" s="40">
        <f ca="1">COUNTIFS('Maestro infraestructura'!$A$2:$A$1051, A28,'Maestro infraestructura'!$X$2:$X$1051,B28,'Maestro infraestructura'!$Y$2:$Y$1051,C28,'Maestro infraestructura'!$V$2:$V$1051, "AL DÍA")</f>
        <v>1</v>
      </c>
      <c r="F28" s="41">
        <f t="shared" ca="1" si="2"/>
        <v>1</v>
      </c>
      <c r="G28" s="42" t="str">
        <f t="shared" ca="1" si="3"/>
        <v>✅ ÓPTIMO</v>
      </c>
    </row>
    <row r="29" spans="1:7" x14ac:dyDescent="0.15">
      <c r="A29" s="43" t="s">
        <v>114</v>
      </c>
      <c r="B29" s="5" t="s">
        <v>277</v>
      </c>
      <c r="C29" s="18">
        <v>2</v>
      </c>
      <c r="D29" s="44">
        <f>COUNTIFS('Maestro infraestructura'!$A$2:$A$1052, A29,'Maestro infraestructura'!$X$2:$X$1052,B29,'Maestro infraestructura'!$Y$2:$Y$1052,C29)</f>
        <v>16</v>
      </c>
      <c r="E29" s="45">
        <f ca="1">COUNTIFS('Maestro infraestructura'!$A$2:$A$1051, A29,'Maestro infraestructura'!$X$2:$X$1051,B29,'Maestro infraestructura'!$Y$2:$Y$1051,C29,'Maestro infraestructura'!$V$2:$V$1051, "AL DÍA")</f>
        <v>16</v>
      </c>
      <c r="F29" s="46">
        <f t="shared" ca="1" si="2"/>
        <v>1</v>
      </c>
      <c r="G29" s="47" t="str">
        <f t="shared" ca="1" si="3"/>
        <v>✅ ÓPTIMO</v>
      </c>
    </row>
    <row r="30" spans="1:7" x14ac:dyDescent="0.15">
      <c r="A30" s="43" t="s">
        <v>114</v>
      </c>
      <c r="B30" s="5" t="s">
        <v>277</v>
      </c>
      <c r="C30" s="18">
        <v>3</v>
      </c>
      <c r="D30" s="44">
        <f>COUNTIFS('Maestro infraestructura'!$A$2:$A$1052, A30,'Maestro infraestructura'!$X$2:$X$1052,B30,'Maestro infraestructura'!$Y$2:$Y$1052,C30)</f>
        <v>0</v>
      </c>
      <c r="E30" s="45">
        <f>COUNTIFS('Maestro infraestructura'!$A$2:$A$1051, A30,'Maestro infraestructura'!$X$2:$X$1051,B30,'Maestro infraestructura'!$Y$2:$Y$1051,C30,'Maestro infraestructura'!$V$2:$V$1051, "AL DÍA")</f>
        <v>0</v>
      </c>
      <c r="F30" s="46">
        <f t="shared" si="2"/>
        <v>1</v>
      </c>
      <c r="G30" s="47" t="str">
        <f t="shared" si="3"/>
        <v>✅ ÓPTIMO</v>
      </c>
    </row>
    <row r="31" spans="1:7" x14ac:dyDescent="0.15">
      <c r="A31" s="55" t="s">
        <v>114</v>
      </c>
      <c r="B31" s="56" t="s">
        <v>267</v>
      </c>
      <c r="C31" s="57">
        <v>1</v>
      </c>
      <c r="D31" s="58">
        <f>COUNTIFS('Maestro infraestructura'!$A$2:$A$1052, A31,'Maestro infraestructura'!$X$2:$X$1052,B31,'Maestro infraestructura'!$Y$2:$Y$1052,C31)</f>
        <v>3</v>
      </c>
      <c r="E31" s="59">
        <f ca="1">COUNTIFS('Maestro infraestructura'!$A$2:$A$1051, A31,'Maestro infraestructura'!$X$2:$X$1051,B31,'Maestro infraestructura'!$Y$2:$Y$1051,C31,'Maestro infraestructura'!$V$2:$V$1051, "AL DÍA")</f>
        <v>0</v>
      </c>
      <c r="F31" s="60">
        <f t="shared" ca="1" si="2"/>
        <v>0</v>
      </c>
      <c r="G31" s="61" t="str">
        <f t="shared" ca="1" si="3"/>
        <v>❌ CRÍTICO</v>
      </c>
    </row>
    <row r="32" spans="1:7" x14ac:dyDescent="0.15">
      <c r="A32" s="43" t="s">
        <v>114</v>
      </c>
      <c r="B32" s="5" t="s">
        <v>267</v>
      </c>
      <c r="C32" s="18">
        <v>2</v>
      </c>
      <c r="D32" s="44">
        <f>COUNTIFS('Maestro infraestructura'!$A$2:$A$1052, A32,'Maestro infraestructura'!$X$2:$X$1052,B32,'Maestro infraestructura'!$Y$2:$Y$1052,C32)</f>
        <v>5</v>
      </c>
      <c r="E32" s="45">
        <f ca="1">COUNTIFS('Maestro infraestructura'!$A$2:$A$1051, A32,'Maestro infraestructura'!$X$2:$X$1051,B32,'Maestro infraestructura'!$Y$2:$Y$1051,C32,'Maestro infraestructura'!$V$2:$V$1051, "AL DÍA")</f>
        <v>0</v>
      </c>
      <c r="F32" s="46">
        <f t="shared" ca="1" si="2"/>
        <v>0</v>
      </c>
      <c r="G32" s="47" t="str">
        <f t="shared" ca="1" si="3"/>
        <v>❌ CRÍTICO</v>
      </c>
    </row>
    <row r="33" spans="1:7" x14ac:dyDescent="0.15">
      <c r="A33" s="43" t="s">
        <v>114</v>
      </c>
      <c r="B33" s="5" t="s">
        <v>267</v>
      </c>
      <c r="C33" s="18">
        <v>3</v>
      </c>
      <c r="D33" s="44">
        <f>COUNTIFS('Maestro infraestructura'!$A$2:$A$1052, A33,'Maestro infraestructura'!$X$2:$X$1052,B33,'Maestro infraestructura'!$Y$2:$Y$1052,C33)</f>
        <v>0</v>
      </c>
      <c r="E33" s="45">
        <f>COUNTIFS('Maestro infraestructura'!$A$2:$A$1051, A33,'Maestro infraestructura'!$X$2:$X$1051,B33,'Maestro infraestructura'!$Y$2:$Y$1051,C33,'Maestro infraestructura'!$V$2:$V$1051, "AL DÍA")</f>
        <v>0</v>
      </c>
      <c r="F33" s="46">
        <f t="shared" si="2"/>
        <v>1</v>
      </c>
      <c r="G33" s="47" t="str">
        <f t="shared" si="3"/>
        <v>✅ ÓPTIMO</v>
      </c>
    </row>
    <row r="34" spans="1:7" x14ac:dyDescent="0.15">
      <c r="A34" s="55" t="s">
        <v>114</v>
      </c>
      <c r="B34" s="56" t="s">
        <v>271</v>
      </c>
      <c r="C34" s="57">
        <v>1</v>
      </c>
      <c r="D34" s="58">
        <f>COUNTIFS('Maestro infraestructura'!$A$2:$A$1052, A34,'Maestro infraestructura'!$X$2:$X$1052,B34,'Maestro infraestructura'!$Y$2:$Y$1052,C34)</f>
        <v>1</v>
      </c>
      <c r="E34" s="59">
        <f ca="1">COUNTIFS('Maestro infraestructura'!$A$2:$A$1051, A34,'Maestro infraestructura'!$X$2:$X$1051,B34,'Maestro infraestructura'!$Y$2:$Y$1051,C34,'Maestro infraestructura'!$V$2:$V$1051, "AL DÍA")</f>
        <v>1</v>
      </c>
      <c r="F34" s="60">
        <f t="shared" ca="1" si="2"/>
        <v>1</v>
      </c>
      <c r="G34" s="61" t="str">
        <f t="shared" ca="1" si="3"/>
        <v>✅ ÓPTIMO</v>
      </c>
    </row>
    <row r="35" spans="1:7" x14ac:dyDescent="0.15">
      <c r="A35" s="43" t="s">
        <v>114</v>
      </c>
      <c r="B35" s="5" t="s">
        <v>271</v>
      </c>
      <c r="C35" s="18">
        <v>2</v>
      </c>
      <c r="D35" s="44">
        <f>COUNTIFS('Maestro infraestructura'!$A$2:$A$1052, A35,'Maestro infraestructura'!$X$2:$X$1052,B35,'Maestro infraestructura'!$Y$2:$Y$1052,C35)</f>
        <v>87</v>
      </c>
      <c r="E35" s="45">
        <f ca="1">COUNTIFS('Maestro infraestructura'!$A$2:$A$1051, A35,'Maestro infraestructura'!$X$2:$X$1051,B35,'Maestro infraestructura'!$Y$2:$Y$1051,C35,'Maestro infraestructura'!$V$2:$V$1051, "AL DÍA")</f>
        <v>87</v>
      </c>
      <c r="F35" s="46">
        <f t="shared" ca="1" si="2"/>
        <v>1</v>
      </c>
      <c r="G35" s="47" t="str">
        <f t="shared" ca="1" si="3"/>
        <v>✅ ÓPTIMO</v>
      </c>
    </row>
    <row r="36" spans="1:7" x14ac:dyDescent="0.15">
      <c r="A36" s="43" t="s">
        <v>114</v>
      </c>
      <c r="B36" s="5" t="s">
        <v>271</v>
      </c>
      <c r="C36" s="18">
        <v>3</v>
      </c>
      <c r="D36" s="44">
        <f>COUNTIFS('Maestro infraestructura'!$A$2:$A$1052, A36,'Maestro infraestructura'!$X$2:$X$1052,B36,'Maestro infraestructura'!$Y$2:$Y$1052,C36)</f>
        <v>0</v>
      </c>
      <c r="E36" s="45">
        <f>COUNTIFS('Maestro infraestructura'!$A$2:$A$1051, A36,'Maestro infraestructura'!$X$2:$X$1051,B36,'Maestro infraestructura'!$Y$2:$Y$1051,C36,'Maestro infraestructura'!$V$2:$V$1051, "AL DÍA")</f>
        <v>0</v>
      </c>
      <c r="F36" s="46">
        <f t="shared" si="2"/>
        <v>1</v>
      </c>
      <c r="G36" s="47" t="str">
        <f t="shared" si="3"/>
        <v>✅ ÓPTIMO</v>
      </c>
    </row>
    <row r="37" spans="1:7" x14ac:dyDescent="0.15">
      <c r="A37" s="55" t="s">
        <v>114</v>
      </c>
      <c r="B37" s="56" t="s">
        <v>262</v>
      </c>
      <c r="C37" s="57">
        <v>1</v>
      </c>
      <c r="D37" s="58">
        <f>COUNTIFS('Maestro infraestructura'!$A$2:$A$1052, A37,'Maestro infraestructura'!$X$2:$X$1052,B37,'Maestro infraestructura'!$Y$2:$Y$1052,C37)</f>
        <v>17</v>
      </c>
      <c r="E37" s="59">
        <f ca="1">COUNTIFS('Maestro infraestructura'!$A$2:$A$1051, A37,'Maestro infraestructura'!$X$2:$X$1051,B37,'Maestro infraestructura'!$Y$2:$Y$1051,C37,'Maestro infraestructura'!$V$2:$V$1051, "AL DÍA")</f>
        <v>17</v>
      </c>
      <c r="F37" s="60">
        <f t="shared" ca="1" si="2"/>
        <v>1</v>
      </c>
      <c r="G37" s="61" t="str">
        <f t="shared" ca="1" si="3"/>
        <v>✅ ÓPTIMO</v>
      </c>
    </row>
    <row r="38" spans="1:7" x14ac:dyDescent="0.15">
      <c r="A38" s="43" t="s">
        <v>114</v>
      </c>
      <c r="B38" s="5" t="s">
        <v>262</v>
      </c>
      <c r="C38" s="18">
        <v>2</v>
      </c>
      <c r="D38" s="44">
        <f>COUNTIFS('Maestro infraestructura'!$A$2:$A$1052, A38,'Maestro infraestructura'!$X$2:$X$1052,B38,'Maestro infraestructura'!$Y$2:$Y$1052,C38)</f>
        <v>43</v>
      </c>
      <c r="E38" s="45">
        <f ca="1">COUNTIFS('Maestro infraestructura'!$A$2:$A$1051, A38,'Maestro infraestructura'!$X$2:$X$1051,B38,'Maestro infraestructura'!$Y$2:$Y$1051,C38,'Maestro infraestructura'!$V$2:$V$1051, "AL DÍA")</f>
        <v>43</v>
      </c>
      <c r="F38" s="46">
        <f t="shared" ca="1" si="2"/>
        <v>1</v>
      </c>
      <c r="G38" s="47" t="str">
        <f t="shared" ca="1" si="3"/>
        <v>✅ ÓPTIMO</v>
      </c>
    </row>
    <row r="39" spans="1:7" ht="15" thickBot="1" x14ac:dyDescent="0.2">
      <c r="A39" s="48" t="s">
        <v>114</v>
      </c>
      <c r="B39" s="49" t="s">
        <v>262</v>
      </c>
      <c r="C39" s="50">
        <v>3</v>
      </c>
      <c r="D39" s="51">
        <f>COUNTIFS('Maestro infraestructura'!$A$2:$A$1052, A39,'Maestro infraestructura'!$X$2:$X$1052,B39,'Maestro infraestructura'!$Y$2:$Y$1052,C39)</f>
        <v>2</v>
      </c>
      <c r="E39" s="52">
        <f ca="1">COUNTIFS('Maestro infraestructura'!$A$2:$A$1051, A39,'Maestro infraestructura'!$X$2:$X$1051,B39,'Maestro infraestructura'!$Y$2:$Y$1051,C39,'Maestro infraestructura'!$V$2:$V$1051, "AL DÍA")</f>
        <v>2</v>
      </c>
      <c r="F39" s="53">
        <f t="shared" ca="1" si="2"/>
        <v>1</v>
      </c>
      <c r="G39" s="54" t="str">
        <f t="shared" ca="1" si="3"/>
        <v>✅ ÓPTIMO</v>
      </c>
    </row>
    <row r="40" spans="1:7" x14ac:dyDescent="0.15">
      <c r="A40" s="36" t="s">
        <v>353</v>
      </c>
      <c r="B40" s="37" t="s">
        <v>277</v>
      </c>
      <c r="C40" s="38">
        <v>1</v>
      </c>
      <c r="D40" s="39">
        <f>COUNTIFS('Maestro infraestructura'!$A$2:$A$1052, A40,'Maestro infraestructura'!$X$2:$X$1052,B40,'Maestro infraestructura'!$Y$2:$Y$1052,C40)</f>
        <v>3</v>
      </c>
      <c r="E40" s="40">
        <f ca="1">COUNTIFS('Maestro infraestructura'!$A$2:$A$1051, A40,'Maestro infraestructura'!$X$2:$X$1051,B40,'Maestro infraestructura'!$Y$2:$Y$1051,C40,'Maestro infraestructura'!$V$2:$V$1051, "AL DÍA")</f>
        <v>3</v>
      </c>
      <c r="F40" s="41">
        <f t="shared" ca="1" si="2"/>
        <v>1</v>
      </c>
      <c r="G40" s="42" t="str">
        <f t="shared" ca="1" si="3"/>
        <v>✅ ÓPTIMO</v>
      </c>
    </row>
    <row r="41" spans="1:7" x14ac:dyDescent="0.15">
      <c r="A41" s="43" t="s">
        <v>353</v>
      </c>
      <c r="B41" s="5" t="s">
        <v>277</v>
      </c>
      <c r="C41" s="18">
        <v>2</v>
      </c>
      <c r="D41" s="44">
        <f>COUNTIFS('Maestro infraestructura'!$A$2:$A$1052, A41,'Maestro infraestructura'!$X$2:$X$1052,B41,'Maestro infraestructura'!$Y$2:$Y$1052,C41)</f>
        <v>4</v>
      </c>
      <c r="E41" s="45">
        <f ca="1">COUNTIFS('Maestro infraestructura'!$A$2:$A$1051, A41,'Maestro infraestructura'!$X$2:$X$1051,B41,'Maestro infraestructura'!$Y$2:$Y$1051,C41,'Maestro infraestructura'!$V$2:$V$1051, "AL DÍA")</f>
        <v>4</v>
      </c>
      <c r="F41" s="46">
        <f t="shared" ca="1" si="2"/>
        <v>1</v>
      </c>
      <c r="G41" s="47" t="str">
        <f t="shared" ca="1" si="3"/>
        <v>✅ ÓPTIMO</v>
      </c>
    </row>
    <row r="42" spans="1:7" x14ac:dyDescent="0.15">
      <c r="A42" s="43" t="s">
        <v>353</v>
      </c>
      <c r="B42" s="5" t="s">
        <v>277</v>
      </c>
      <c r="C42" s="18">
        <v>3</v>
      </c>
      <c r="D42" s="44">
        <f>COUNTIFS('Maestro infraestructura'!$A$2:$A$1052, A42,'Maestro infraestructura'!$X$2:$X$1052,B42,'Maestro infraestructura'!$Y$2:$Y$1052,C42)</f>
        <v>0</v>
      </c>
      <c r="E42" s="45">
        <f>COUNTIFS('Maestro infraestructura'!$A$2:$A$1051, A42,'Maestro infraestructura'!$X$2:$X$1051,B42,'Maestro infraestructura'!$Y$2:$Y$1051,C42,'Maestro infraestructura'!$V$2:$V$1051, "AL DÍA")</f>
        <v>0</v>
      </c>
      <c r="F42" s="46">
        <f t="shared" si="2"/>
        <v>1</v>
      </c>
      <c r="G42" s="47" t="str">
        <f t="shared" si="3"/>
        <v>✅ ÓPTIMO</v>
      </c>
    </row>
    <row r="43" spans="1:7" x14ac:dyDescent="0.15">
      <c r="A43" s="55" t="s">
        <v>353</v>
      </c>
      <c r="B43" s="56" t="s">
        <v>267</v>
      </c>
      <c r="C43" s="57">
        <v>1</v>
      </c>
      <c r="D43" s="58">
        <f>COUNTIFS('Maestro infraestructura'!$A$2:$A$1052, A43,'Maestro infraestructura'!$X$2:$X$1052,B43,'Maestro infraestructura'!$Y$2:$Y$1052,C43)</f>
        <v>1</v>
      </c>
      <c r="E43" s="59">
        <f ca="1">COUNTIFS('Maestro infraestructura'!$A$2:$A$1051, A43,'Maestro infraestructura'!$X$2:$X$1051,B43,'Maestro infraestructura'!$Y$2:$Y$1051,C43,'Maestro infraestructura'!$V$2:$V$1051, "AL DÍA")</f>
        <v>0</v>
      </c>
      <c r="F43" s="60">
        <f t="shared" ca="1" si="2"/>
        <v>0</v>
      </c>
      <c r="G43" s="61" t="str">
        <f t="shared" ca="1" si="3"/>
        <v>❌ CRÍTICO</v>
      </c>
    </row>
    <row r="44" spans="1:7" x14ac:dyDescent="0.15">
      <c r="A44" s="43" t="s">
        <v>353</v>
      </c>
      <c r="B44" s="5" t="s">
        <v>267</v>
      </c>
      <c r="C44" s="18">
        <v>2</v>
      </c>
      <c r="D44" s="44">
        <f>COUNTIFS('Maestro infraestructura'!$A$2:$A$1052, A44,'Maestro infraestructura'!$X$2:$X$1052,B44,'Maestro infraestructura'!$Y$2:$Y$1052,C44)</f>
        <v>1</v>
      </c>
      <c r="E44" s="45">
        <f ca="1">COUNTIFS('Maestro infraestructura'!$A$2:$A$1051, A44,'Maestro infraestructura'!$X$2:$X$1051,B44,'Maestro infraestructura'!$Y$2:$Y$1051,C44,'Maestro infraestructura'!$V$2:$V$1051, "AL DÍA")</f>
        <v>0</v>
      </c>
      <c r="F44" s="46">
        <f t="shared" ca="1" si="2"/>
        <v>0</v>
      </c>
      <c r="G44" s="47" t="str">
        <f t="shared" ca="1" si="3"/>
        <v>❌ CRÍTICO</v>
      </c>
    </row>
    <row r="45" spans="1:7" x14ac:dyDescent="0.15">
      <c r="A45" s="43" t="s">
        <v>353</v>
      </c>
      <c r="B45" s="5" t="s">
        <v>267</v>
      </c>
      <c r="C45" s="18">
        <v>3</v>
      </c>
      <c r="D45" s="44">
        <f>COUNTIFS('Maestro infraestructura'!$A$2:$A$1052, A45,'Maestro infraestructura'!$X$2:$X$1052,B45,'Maestro infraestructura'!$Y$2:$Y$1052,C45)</f>
        <v>0</v>
      </c>
      <c r="E45" s="45">
        <f>COUNTIFS('Maestro infraestructura'!$A$2:$A$1051, A45,'Maestro infraestructura'!$X$2:$X$1051,B45,'Maestro infraestructura'!$Y$2:$Y$1051,C45,'Maestro infraestructura'!$V$2:$V$1051, "AL DÍA")</f>
        <v>0</v>
      </c>
      <c r="F45" s="46">
        <f t="shared" si="2"/>
        <v>1</v>
      </c>
      <c r="G45" s="47" t="str">
        <f t="shared" si="3"/>
        <v>✅ ÓPTIMO</v>
      </c>
    </row>
    <row r="46" spans="1:7" x14ac:dyDescent="0.15">
      <c r="A46" s="55" t="s">
        <v>353</v>
      </c>
      <c r="B46" s="56" t="s">
        <v>271</v>
      </c>
      <c r="C46" s="57">
        <v>1</v>
      </c>
      <c r="D46" s="58">
        <f>COUNTIFS('Maestro infraestructura'!$A$2:$A$1052, A46,'Maestro infraestructura'!$X$2:$X$1052,B46,'Maestro infraestructura'!$Y$2:$Y$1052,C46)</f>
        <v>1</v>
      </c>
      <c r="E46" s="59">
        <f ca="1">COUNTIFS('Maestro infraestructura'!$A$2:$A$1051, A46,'Maestro infraestructura'!$X$2:$X$1051,B46,'Maestro infraestructura'!$Y$2:$Y$1051,C46,'Maestro infraestructura'!$V$2:$V$1051, "AL DÍA")</f>
        <v>1</v>
      </c>
      <c r="F46" s="60">
        <f t="shared" ca="1" si="2"/>
        <v>1</v>
      </c>
      <c r="G46" s="61" t="str">
        <f t="shared" ca="1" si="3"/>
        <v>✅ ÓPTIMO</v>
      </c>
    </row>
    <row r="47" spans="1:7" x14ac:dyDescent="0.15">
      <c r="A47" s="43" t="s">
        <v>353</v>
      </c>
      <c r="B47" s="5" t="s">
        <v>271</v>
      </c>
      <c r="C47" s="18">
        <v>2</v>
      </c>
      <c r="D47" s="44">
        <f>COUNTIFS('Maestro infraestructura'!$A$2:$A$1052, A47,'Maestro infraestructura'!$X$2:$X$1052,B47,'Maestro infraestructura'!$Y$2:$Y$1052,C47)</f>
        <v>19</v>
      </c>
      <c r="E47" s="45">
        <f ca="1">COUNTIFS('Maestro infraestructura'!$A$2:$A$1051, A47,'Maestro infraestructura'!$X$2:$X$1051,B47,'Maestro infraestructura'!$Y$2:$Y$1051,C47,'Maestro infraestructura'!$V$2:$V$1051, "AL DÍA")</f>
        <v>19</v>
      </c>
      <c r="F47" s="46">
        <f t="shared" ca="1" si="2"/>
        <v>1</v>
      </c>
      <c r="G47" s="47" t="str">
        <f t="shared" ca="1" si="3"/>
        <v>✅ ÓPTIMO</v>
      </c>
    </row>
    <row r="48" spans="1:7" x14ac:dyDescent="0.15">
      <c r="A48" s="43" t="s">
        <v>353</v>
      </c>
      <c r="B48" s="5" t="s">
        <v>271</v>
      </c>
      <c r="C48" s="18">
        <v>3</v>
      </c>
      <c r="D48" s="44">
        <f>COUNTIFS('Maestro infraestructura'!$A$2:$A$1052, A48,'Maestro infraestructura'!$X$2:$X$1052,B48,'Maestro infraestructura'!$Y$2:$Y$1052,C48)</f>
        <v>0</v>
      </c>
      <c r="E48" s="45">
        <f>COUNTIFS('Maestro infraestructura'!$A$2:$A$1051, A48,'Maestro infraestructura'!$X$2:$X$1051,B48,'Maestro infraestructura'!$Y$2:$Y$1051,C48,'Maestro infraestructura'!$V$2:$V$1051, "AL DÍA")</f>
        <v>0</v>
      </c>
      <c r="F48" s="46">
        <f t="shared" si="2"/>
        <v>1</v>
      </c>
      <c r="G48" s="47" t="str">
        <f t="shared" si="3"/>
        <v>✅ ÓPTIMO</v>
      </c>
    </row>
    <row r="49" spans="1:8" x14ac:dyDescent="0.15">
      <c r="A49" s="55" t="s">
        <v>353</v>
      </c>
      <c r="B49" s="56" t="s">
        <v>262</v>
      </c>
      <c r="C49" s="57">
        <v>1</v>
      </c>
      <c r="D49" s="58">
        <f>COUNTIFS('Maestro infraestructura'!$A$2:$A$1052, A49,'Maestro infraestructura'!$X$2:$X$1052,B49,'Maestro infraestructura'!$Y$2:$Y$1052,C49)</f>
        <v>6</v>
      </c>
      <c r="E49" s="59">
        <f ca="1">COUNTIFS('Maestro infraestructura'!$A$2:$A$1051, A49,'Maestro infraestructura'!$X$2:$X$1051,B49,'Maestro infraestructura'!$Y$2:$Y$1051,C49,'Maestro infraestructura'!$V$2:$V$1051, "AL DÍA")</f>
        <v>6</v>
      </c>
      <c r="F49" s="60">
        <f t="shared" ca="1" si="2"/>
        <v>1</v>
      </c>
      <c r="G49" s="61" t="str">
        <f t="shared" ca="1" si="3"/>
        <v>✅ ÓPTIMO</v>
      </c>
    </row>
    <row r="50" spans="1:8" x14ac:dyDescent="0.15">
      <c r="A50" s="43" t="s">
        <v>353</v>
      </c>
      <c r="B50" s="5" t="s">
        <v>262</v>
      </c>
      <c r="C50" s="18">
        <v>2</v>
      </c>
      <c r="D50" s="44">
        <f>COUNTIFS('Maestro infraestructura'!$A$2:$A$1052, A50,'Maestro infraestructura'!$X$2:$X$1052,B50,'Maestro infraestructura'!$Y$2:$Y$1052,C50)</f>
        <v>11</v>
      </c>
      <c r="E50" s="45">
        <f ca="1">COUNTIFS('Maestro infraestructura'!$A$2:$A$1051, A50,'Maestro infraestructura'!$X$2:$X$1051,B50,'Maestro infraestructura'!$Y$2:$Y$1051,C50,'Maestro infraestructura'!$V$2:$V$1051, "AL DÍA")</f>
        <v>10</v>
      </c>
      <c r="F50" s="46">
        <f t="shared" ca="1" si="2"/>
        <v>0.90909090909090906</v>
      </c>
      <c r="G50" s="47" t="str">
        <f t="shared" ca="1" si="3"/>
        <v>⚠️ PRECAUCIÓN</v>
      </c>
      <c r="H50" s="18" t="s">
        <v>458</v>
      </c>
    </row>
    <row r="51" spans="1:8" ht="15" thickBot="1" x14ac:dyDescent="0.2">
      <c r="A51" s="48" t="s">
        <v>353</v>
      </c>
      <c r="B51" s="49" t="s">
        <v>262</v>
      </c>
      <c r="C51" s="50">
        <v>3</v>
      </c>
      <c r="D51" s="51">
        <f>COUNTIFS('Maestro infraestructura'!$A$2:$A$1052, A51,'Maestro infraestructura'!$X$2:$X$1052,B51,'Maestro infraestructura'!$Y$2:$Y$1052,C51)</f>
        <v>1</v>
      </c>
      <c r="E51" s="52">
        <f ca="1">COUNTIFS('Maestro infraestructura'!$A$2:$A$1051, A51,'Maestro infraestructura'!$X$2:$X$1051,B51,'Maestro infraestructura'!$Y$2:$Y$1051,C51,'Maestro infraestructura'!$V$2:$V$1051, "AL DÍA")</f>
        <v>1</v>
      </c>
      <c r="F51" s="53">
        <f t="shared" ca="1" si="2"/>
        <v>1</v>
      </c>
      <c r="G51" s="54" t="str">
        <f t="shared" ca="1" si="3"/>
        <v>✅ ÓPTIMO</v>
      </c>
    </row>
    <row r="52" spans="1:8" x14ac:dyDescent="0.15">
      <c r="A52" s="36" t="s">
        <v>122</v>
      </c>
      <c r="B52" s="37" t="s">
        <v>277</v>
      </c>
      <c r="C52" s="38">
        <v>1</v>
      </c>
      <c r="D52" s="39">
        <f>COUNTIFS('Maestro infraestructura'!$A$2:$A$1052, A52,'Maestro infraestructura'!$X$2:$X$1052,B52,'Maestro infraestructura'!$Y$2:$Y$1052,C52)</f>
        <v>2</v>
      </c>
      <c r="E52" s="40">
        <f ca="1">COUNTIFS('Maestro infraestructura'!$A$2:$A$1051, A52,'Maestro infraestructura'!$X$2:$X$1051,B52,'Maestro infraestructura'!$Y$2:$Y$1051,C52,'Maestro infraestructura'!$V$2:$V$1051, "AL DÍA")</f>
        <v>2</v>
      </c>
      <c r="F52" s="41">
        <f t="shared" ca="1" si="2"/>
        <v>1</v>
      </c>
      <c r="G52" s="42" t="str">
        <f t="shared" ca="1" si="3"/>
        <v>✅ ÓPTIMO</v>
      </c>
    </row>
    <row r="53" spans="1:8" x14ac:dyDescent="0.15">
      <c r="A53" s="43" t="s">
        <v>122</v>
      </c>
      <c r="B53" s="5" t="s">
        <v>277</v>
      </c>
      <c r="C53" s="18">
        <v>2</v>
      </c>
      <c r="D53" s="44">
        <f>COUNTIFS('Maestro infraestructura'!$A$2:$A$1052, A53,'Maestro infraestructura'!$X$2:$X$1052,B53,'Maestro infraestructura'!$Y$2:$Y$1052,C53)</f>
        <v>0</v>
      </c>
      <c r="E53" s="45">
        <f>COUNTIFS('Maestro infraestructura'!$A$2:$A$1051, A53,'Maestro infraestructura'!$X$2:$X$1051,B53,'Maestro infraestructura'!$Y$2:$Y$1051,C53,'Maestro infraestructura'!$V$2:$V$1051, "AL DÍA")</f>
        <v>0</v>
      </c>
      <c r="F53" s="46">
        <f t="shared" si="2"/>
        <v>1</v>
      </c>
      <c r="G53" s="47" t="str">
        <f t="shared" si="3"/>
        <v>✅ ÓPTIMO</v>
      </c>
    </row>
    <row r="54" spans="1:8" x14ac:dyDescent="0.15">
      <c r="A54" s="43" t="s">
        <v>122</v>
      </c>
      <c r="B54" s="5" t="s">
        <v>277</v>
      </c>
      <c r="C54" s="18">
        <v>3</v>
      </c>
      <c r="D54" s="44">
        <f>COUNTIFS('Maestro infraestructura'!$A$2:$A$1052, A54,'Maestro infraestructura'!$X$2:$X$1052,B54,'Maestro infraestructura'!$Y$2:$Y$1052,C54)</f>
        <v>0</v>
      </c>
      <c r="E54" s="45">
        <f>COUNTIFS('Maestro infraestructura'!$A$2:$A$1051, A54,'Maestro infraestructura'!$X$2:$X$1051,B54,'Maestro infraestructura'!$Y$2:$Y$1051,C54,'Maestro infraestructura'!$V$2:$V$1051, "AL DÍA")</f>
        <v>0</v>
      </c>
      <c r="F54" s="46">
        <f t="shared" si="2"/>
        <v>1</v>
      </c>
      <c r="G54" s="47" t="str">
        <f t="shared" si="3"/>
        <v>✅ ÓPTIMO</v>
      </c>
    </row>
    <row r="55" spans="1:8" x14ac:dyDescent="0.15">
      <c r="A55" s="55" t="s">
        <v>122</v>
      </c>
      <c r="B55" s="56" t="s">
        <v>267</v>
      </c>
      <c r="C55" s="57">
        <v>1</v>
      </c>
      <c r="D55" s="58">
        <f>COUNTIFS('Maestro infraestructura'!$A$2:$A$1052, A55,'Maestro infraestructura'!$X$2:$X$1052,B55,'Maestro infraestructura'!$Y$2:$Y$1052,C55)</f>
        <v>2</v>
      </c>
      <c r="E55" s="59">
        <f ca="1">COUNTIFS('Maestro infraestructura'!$A$2:$A$1051, A55,'Maestro infraestructura'!$X$2:$X$1051,B55,'Maestro infraestructura'!$Y$2:$Y$1051,C55,'Maestro infraestructura'!$V$2:$V$1051, "AL DÍA")</f>
        <v>0</v>
      </c>
      <c r="F55" s="60">
        <f t="shared" ca="1" si="2"/>
        <v>0</v>
      </c>
      <c r="G55" s="61" t="str">
        <f t="shared" ca="1" si="3"/>
        <v>❌ CRÍTICO</v>
      </c>
    </row>
    <row r="56" spans="1:8" x14ac:dyDescent="0.15">
      <c r="A56" s="43" t="s">
        <v>122</v>
      </c>
      <c r="B56" s="5" t="s">
        <v>267</v>
      </c>
      <c r="C56" s="18">
        <v>2</v>
      </c>
      <c r="D56" s="44">
        <f>COUNTIFS('Maestro infraestructura'!$A$2:$A$1052, A56,'Maestro infraestructura'!$X$2:$X$1052,B56,'Maestro infraestructura'!$Y$2:$Y$1052,C56)</f>
        <v>0</v>
      </c>
      <c r="E56" s="45">
        <f>COUNTIFS('Maestro infraestructura'!$A$2:$A$1051, A56,'Maestro infraestructura'!$X$2:$X$1051,B56,'Maestro infraestructura'!$Y$2:$Y$1051,C56,'Maestro infraestructura'!$V$2:$V$1051, "AL DÍA")</f>
        <v>0</v>
      </c>
      <c r="F56" s="46">
        <f t="shared" si="2"/>
        <v>1</v>
      </c>
      <c r="G56" s="47" t="str">
        <f t="shared" si="3"/>
        <v>✅ ÓPTIMO</v>
      </c>
    </row>
    <row r="57" spans="1:8" x14ac:dyDescent="0.15">
      <c r="A57" s="43" t="s">
        <v>122</v>
      </c>
      <c r="B57" s="5" t="s">
        <v>267</v>
      </c>
      <c r="C57" s="18">
        <v>3</v>
      </c>
      <c r="D57" s="44">
        <f>COUNTIFS('Maestro infraestructura'!$A$2:$A$1052, A57,'Maestro infraestructura'!$X$2:$X$1052,B57,'Maestro infraestructura'!$Y$2:$Y$1052,C57)</f>
        <v>0</v>
      </c>
      <c r="E57" s="45">
        <f>COUNTIFS('Maestro infraestructura'!$A$2:$A$1051, A57,'Maestro infraestructura'!$X$2:$X$1051,B57,'Maestro infraestructura'!$Y$2:$Y$1051,C57,'Maestro infraestructura'!$V$2:$V$1051, "AL DÍA")</f>
        <v>0</v>
      </c>
      <c r="F57" s="46">
        <f t="shared" si="2"/>
        <v>1</v>
      </c>
      <c r="G57" s="47" t="str">
        <f t="shared" si="3"/>
        <v>✅ ÓPTIMO</v>
      </c>
    </row>
    <row r="58" spans="1:8" x14ac:dyDescent="0.15">
      <c r="A58" s="55" t="s">
        <v>122</v>
      </c>
      <c r="B58" s="56" t="s">
        <v>271</v>
      </c>
      <c r="C58" s="57">
        <v>1</v>
      </c>
      <c r="D58" s="58">
        <f>COUNTIFS('Maestro infraestructura'!$A$2:$A$1052, A58,'Maestro infraestructura'!$X$2:$X$1052,B58,'Maestro infraestructura'!$Y$2:$Y$1052,C58)</f>
        <v>0</v>
      </c>
      <c r="E58" s="59">
        <f>COUNTIFS('Maestro infraestructura'!$A$2:$A$1051, A58,'Maestro infraestructura'!$X$2:$X$1051,B58,'Maestro infraestructura'!$Y$2:$Y$1051,C58,'Maestro infraestructura'!$V$2:$V$1051, "AL DÍA")</f>
        <v>0</v>
      </c>
      <c r="F58" s="60">
        <f t="shared" si="2"/>
        <v>1</v>
      </c>
      <c r="G58" s="61" t="str">
        <f t="shared" si="3"/>
        <v>✅ ÓPTIMO</v>
      </c>
    </row>
    <row r="59" spans="1:8" x14ac:dyDescent="0.15">
      <c r="A59" s="43" t="s">
        <v>122</v>
      </c>
      <c r="B59" s="5" t="s">
        <v>271</v>
      </c>
      <c r="C59" s="18">
        <v>2</v>
      </c>
      <c r="D59" s="44">
        <f>COUNTIFS('Maestro infraestructura'!$A$2:$A$1052, A59,'Maestro infraestructura'!$X$2:$X$1052,B59,'Maestro infraestructura'!$Y$2:$Y$1052,C59)</f>
        <v>7</v>
      </c>
      <c r="E59" s="45">
        <f ca="1">COUNTIFS('Maestro infraestructura'!$A$2:$A$1051, A59,'Maestro infraestructura'!$X$2:$X$1051,B59,'Maestro infraestructura'!$Y$2:$Y$1051,C59,'Maestro infraestructura'!$V$2:$V$1051, "AL DÍA")</f>
        <v>7</v>
      </c>
      <c r="F59" s="46">
        <f t="shared" ca="1" si="2"/>
        <v>1</v>
      </c>
      <c r="G59" s="47" t="str">
        <f t="shared" ca="1" si="3"/>
        <v>✅ ÓPTIMO</v>
      </c>
    </row>
    <row r="60" spans="1:8" x14ac:dyDescent="0.15">
      <c r="A60" s="43" t="s">
        <v>122</v>
      </c>
      <c r="B60" s="5" t="s">
        <v>271</v>
      </c>
      <c r="C60" s="18">
        <v>3</v>
      </c>
      <c r="D60" s="44">
        <f>COUNTIFS('Maestro infraestructura'!$A$2:$A$1052, A60,'Maestro infraestructura'!$X$2:$X$1052,B60,'Maestro infraestructura'!$Y$2:$Y$1052,C60)</f>
        <v>0</v>
      </c>
      <c r="E60" s="45">
        <f>COUNTIFS('Maestro infraestructura'!$A$2:$A$1051, A60,'Maestro infraestructura'!$X$2:$X$1051,B60,'Maestro infraestructura'!$Y$2:$Y$1051,C60,'Maestro infraestructura'!$V$2:$V$1051, "AL DÍA")</f>
        <v>0</v>
      </c>
      <c r="F60" s="46">
        <f t="shared" si="2"/>
        <v>1</v>
      </c>
      <c r="G60" s="47" t="str">
        <f t="shared" si="3"/>
        <v>✅ ÓPTIMO</v>
      </c>
    </row>
    <row r="61" spans="1:8" x14ac:dyDescent="0.15">
      <c r="A61" s="55" t="s">
        <v>122</v>
      </c>
      <c r="B61" s="56" t="s">
        <v>262</v>
      </c>
      <c r="C61" s="57">
        <v>1</v>
      </c>
      <c r="D61" s="58">
        <f>COUNTIFS('Maestro infraestructura'!$A$2:$A$1052, A61,'Maestro infraestructura'!$X$2:$X$1052,B61,'Maestro infraestructura'!$Y$2:$Y$1052,C61)</f>
        <v>2</v>
      </c>
      <c r="E61" s="59">
        <f ca="1">COUNTIFS('Maestro infraestructura'!$A$2:$A$1051, A61,'Maestro infraestructura'!$X$2:$X$1051,B61,'Maestro infraestructura'!$Y$2:$Y$1051,C61,'Maestro infraestructura'!$V$2:$V$1051, "AL DÍA")</f>
        <v>2</v>
      </c>
      <c r="F61" s="60">
        <f t="shared" ca="1" si="2"/>
        <v>1</v>
      </c>
      <c r="G61" s="61" t="str">
        <f t="shared" ca="1" si="3"/>
        <v>✅ ÓPTIMO</v>
      </c>
    </row>
    <row r="62" spans="1:8" x14ac:dyDescent="0.15">
      <c r="A62" s="43" t="s">
        <v>122</v>
      </c>
      <c r="B62" s="5" t="s">
        <v>262</v>
      </c>
      <c r="C62" s="18">
        <v>2</v>
      </c>
      <c r="D62" s="44">
        <f>COUNTIFS('Maestro infraestructura'!$A$2:$A$1052, A62,'Maestro infraestructura'!$X$2:$X$1052,B62,'Maestro infraestructura'!$Y$2:$Y$1052,C62)</f>
        <v>0</v>
      </c>
      <c r="E62" s="45">
        <f>COUNTIFS('Maestro infraestructura'!$A$2:$A$1051, A62,'Maestro infraestructura'!$X$2:$X$1051,B62,'Maestro infraestructura'!$Y$2:$Y$1051,C62,'Maestro infraestructura'!$V$2:$V$1051, "AL DÍA")</f>
        <v>0</v>
      </c>
      <c r="F62" s="46">
        <f t="shared" si="2"/>
        <v>1</v>
      </c>
      <c r="G62" s="47" t="str">
        <f t="shared" si="3"/>
        <v>✅ ÓPTIMO</v>
      </c>
    </row>
    <row r="63" spans="1:8" ht="15" thickBot="1" x14ac:dyDescent="0.2">
      <c r="A63" s="48" t="s">
        <v>122</v>
      </c>
      <c r="B63" s="49" t="s">
        <v>262</v>
      </c>
      <c r="C63" s="50">
        <v>3</v>
      </c>
      <c r="D63" s="51">
        <f>COUNTIFS('Maestro infraestructura'!$A$2:$A$1052, A63,'Maestro infraestructura'!$X$2:$X$1052,B63,'Maestro infraestructura'!$Y$2:$Y$1052,C63)</f>
        <v>1</v>
      </c>
      <c r="E63" s="52">
        <f ca="1">COUNTIFS('Maestro infraestructura'!$A$2:$A$1051, A63,'Maestro infraestructura'!$X$2:$X$1051,B63,'Maestro infraestructura'!$Y$2:$Y$1051,C63,'Maestro infraestructura'!$V$2:$V$1051, "AL DÍA")</f>
        <v>1</v>
      </c>
      <c r="F63" s="53">
        <f t="shared" ca="1" si="2"/>
        <v>1</v>
      </c>
      <c r="G63" s="54" t="str">
        <f t="shared" ca="1" si="3"/>
        <v>✅ ÓPTIMO</v>
      </c>
    </row>
    <row r="64" spans="1:8" x14ac:dyDescent="0.15">
      <c r="A64" s="36" t="s">
        <v>257</v>
      </c>
      <c r="B64" s="37" t="s">
        <v>277</v>
      </c>
      <c r="C64" s="38">
        <v>1</v>
      </c>
      <c r="D64" s="39">
        <f>COUNTIFS('Maestro infraestructura'!$A$2:$A$1052, A64,'Maestro infraestructura'!$X$2:$X$1052,B64,'Maestro infraestructura'!$Y$2:$Y$1052,C64)</f>
        <v>2</v>
      </c>
      <c r="E64" s="40">
        <f ca="1">COUNTIFS('Maestro infraestructura'!$A$2:$A$1051, A64,'Maestro infraestructura'!$X$2:$X$1051,B64,'Maestro infraestructura'!$Y$2:$Y$1051,C64,'Maestro infraestructura'!$V$2:$V$1051, "AL DÍA")</f>
        <v>2</v>
      </c>
      <c r="F64" s="41">
        <f t="shared" ca="1" si="2"/>
        <v>1</v>
      </c>
      <c r="G64" s="42" t="str">
        <f t="shared" ca="1" si="3"/>
        <v>✅ ÓPTIMO</v>
      </c>
    </row>
    <row r="65" spans="1:7" x14ac:dyDescent="0.15">
      <c r="A65" s="43" t="s">
        <v>257</v>
      </c>
      <c r="B65" s="5" t="s">
        <v>277</v>
      </c>
      <c r="C65" s="18">
        <v>2</v>
      </c>
      <c r="D65" s="44">
        <f>COUNTIFS('Maestro infraestructura'!$A$2:$A$1052, A65,'Maestro infraestructura'!$X$2:$X$1052,B65,'Maestro infraestructura'!$Y$2:$Y$1052,C65)</f>
        <v>0</v>
      </c>
      <c r="E65" s="45">
        <f>COUNTIFS('Maestro infraestructura'!$A$2:$A$1051, A65,'Maestro infraestructura'!$X$2:$X$1051,B65,'Maestro infraestructura'!$Y$2:$Y$1051,C65,'Maestro infraestructura'!$V$2:$V$1051, "AL DÍA")</f>
        <v>0</v>
      </c>
      <c r="F65" s="46">
        <f t="shared" si="2"/>
        <v>1</v>
      </c>
      <c r="G65" s="47" t="str">
        <f t="shared" si="3"/>
        <v>✅ ÓPTIMO</v>
      </c>
    </row>
    <row r="66" spans="1:7" x14ac:dyDescent="0.15">
      <c r="A66" s="43" t="s">
        <v>257</v>
      </c>
      <c r="B66" s="5" t="s">
        <v>277</v>
      </c>
      <c r="C66" s="18">
        <v>3</v>
      </c>
      <c r="D66" s="44">
        <f>COUNTIFS('Maestro infraestructura'!$A$2:$A$1052, A66,'Maestro infraestructura'!$X$2:$X$1052,B66,'Maestro infraestructura'!$Y$2:$Y$1052,C66)</f>
        <v>0</v>
      </c>
      <c r="E66" s="45">
        <f>COUNTIFS('Maestro infraestructura'!$A$2:$A$1051, A66,'Maestro infraestructura'!$X$2:$X$1051,B66,'Maestro infraestructura'!$Y$2:$Y$1051,C66,'Maestro infraestructura'!$V$2:$V$1051, "AL DÍA")</f>
        <v>0</v>
      </c>
      <c r="F66" s="46">
        <f t="shared" si="2"/>
        <v>1</v>
      </c>
      <c r="G66" s="47" t="str">
        <f t="shared" si="3"/>
        <v>✅ ÓPTIMO</v>
      </c>
    </row>
    <row r="67" spans="1:7" x14ac:dyDescent="0.15">
      <c r="A67" s="55" t="s">
        <v>257</v>
      </c>
      <c r="B67" s="56" t="s">
        <v>267</v>
      </c>
      <c r="C67" s="57">
        <v>1</v>
      </c>
      <c r="D67" s="58">
        <f>COUNTIFS('Maestro infraestructura'!$A$2:$A$1052, A67,'Maestro infraestructura'!$X$2:$X$1052,B67,'Maestro infraestructura'!$Y$2:$Y$1052,C67)</f>
        <v>7</v>
      </c>
      <c r="E67" s="59">
        <f ca="1">COUNTIFS('Maestro infraestructura'!$A$2:$A$1051, A67,'Maestro infraestructura'!$X$2:$X$1051,B67,'Maestro infraestructura'!$Y$2:$Y$1051,C67,'Maestro infraestructura'!$V$2:$V$1051, "AL DÍA")</f>
        <v>0</v>
      </c>
      <c r="F67" s="60">
        <f t="shared" ca="1" si="2"/>
        <v>0</v>
      </c>
      <c r="G67" s="61" t="str">
        <f t="shared" ca="1" si="3"/>
        <v>❌ CRÍTICO</v>
      </c>
    </row>
    <row r="68" spans="1:7" x14ac:dyDescent="0.15">
      <c r="A68" s="43" t="s">
        <v>257</v>
      </c>
      <c r="B68" s="5" t="s">
        <v>267</v>
      </c>
      <c r="C68" s="18">
        <v>2</v>
      </c>
      <c r="D68" s="44">
        <f>COUNTIFS('Maestro infraestructura'!$A$2:$A$1052, A68,'Maestro infraestructura'!$X$2:$X$1052,B68,'Maestro infraestructura'!$Y$2:$Y$1052,C68)</f>
        <v>0</v>
      </c>
      <c r="E68" s="45">
        <f>COUNTIFS('Maestro infraestructura'!$A$2:$A$1051, A68,'Maestro infraestructura'!$X$2:$X$1051,B68,'Maestro infraestructura'!$Y$2:$Y$1051,C68,'Maestro infraestructura'!$V$2:$V$1051, "AL DÍA")</f>
        <v>0</v>
      </c>
      <c r="F68" s="46">
        <f t="shared" si="2"/>
        <v>1</v>
      </c>
      <c r="G68" s="47" t="str">
        <f t="shared" si="3"/>
        <v>✅ ÓPTIMO</v>
      </c>
    </row>
    <row r="69" spans="1:7" x14ac:dyDescent="0.15">
      <c r="A69" s="43" t="s">
        <v>257</v>
      </c>
      <c r="B69" s="5" t="s">
        <v>267</v>
      </c>
      <c r="C69" s="18">
        <v>3</v>
      </c>
      <c r="D69" s="44">
        <f>COUNTIFS('Maestro infraestructura'!$A$2:$A$1052, A69,'Maestro infraestructura'!$X$2:$X$1052,B69,'Maestro infraestructura'!$Y$2:$Y$1052,C69)</f>
        <v>0</v>
      </c>
      <c r="E69" s="45">
        <f>COUNTIFS('Maestro infraestructura'!$A$2:$A$1051, A69,'Maestro infraestructura'!$X$2:$X$1051,B69,'Maestro infraestructura'!$Y$2:$Y$1051,C69,'Maestro infraestructura'!$V$2:$V$1051, "AL DÍA")</f>
        <v>0</v>
      </c>
      <c r="F69" s="46">
        <f t="shared" si="2"/>
        <v>1</v>
      </c>
      <c r="G69" s="47" t="str">
        <f t="shared" si="3"/>
        <v>✅ ÓPTIMO</v>
      </c>
    </row>
    <row r="70" spans="1:7" x14ac:dyDescent="0.15">
      <c r="A70" s="55" t="s">
        <v>257</v>
      </c>
      <c r="B70" s="56" t="s">
        <v>271</v>
      </c>
      <c r="C70" s="57">
        <v>1</v>
      </c>
      <c r="D70" s="58">
        <f>COUNTIFS('Maestro infraestructura'!$A$2:$A$1052, A70,'Maestro infraestructura'!$X$2:$X$1052,B70,'Maestro infraestructura'!$Y$2:$Y$1052,C70)</f>
        <v>11</v>
      </c>
      <c r="E70" s="59">
        <f ca="1">COUNTIFS('Maestro infraestructura'!$A$2:$A$1051, A70,'Maestro infraestructura'!$X$2:$X$1051,B70,'Maestro infraestructura'!$Y$2:$Y$1051,C70,'Maestro infraestructura'!$V$2:$V$1051, "AL DÍA")</f>
        <v>11</v>
      </c>
      <c r="F70" s="60">
        <f t="shared" ca="1" si="2"/>
        <v>1</v>
      </c>
      <c r="G70" s="61" t="str">
        <f t="shared" ca="1" si="3"/>
        <v>✅ ÓPTIMO</v>
      </c>
    </row>
    <row r="71" spans="1:7" x14ac:dyDescent="0.15">
      <c r="A71" s="43" t="s">
        <v>257</v>
      </c>
      <c r="B71" s="5" t="s">
        <v>271</v>
      </c>
      <c r="C71" s="18">
        <v>2</v>
      </c>
      <c r="D71" s="44">
        <f>COUNTIFS('Maestro infraestructura'!$A$2:$A$1052, A71,'Maestro infraestructura'!$X$2:$X$1052,B71,'Maestro infraestructura'!$Y$2:$Y$1052,C71)</f>
        <v>0</v>
      </c>
      <c r="E71" s="45">
        <f>COUNTIFS('Maestro infraestructura'!$A$2:$A$1051, A71,'Maestro infraestructura'!$X$2:$X$1051,B71,'Maestro infraestructura'!$Y$2:$Y$1051,C71,'Maestro infraestructura'!$V$2:$V$1051, "AL DÍA")</f>
        <v>0</v>
      </c>
      <c r="F71" s="46">
        <f t="shared" ref="F71:F123" si="4">IF(D71=0,100%,IF(D71&gt;0,E71/D71,0))</f>
        <v>1</v>
      </c>
      <c r="G71" s="47" t="str">
        <f t="shared" si="3"/>
        <v>✅ ÓPTIMO</v>
      </c>
    </row>
    <row r="72" spans="1:7" x14ac:dyDescent="0.15">
      <c r="A72" s="43" t="s">
        <v>257</v>
      </c>
      <c r="B72" s="5" t="s">
        <v>271</v>
      </c>
      <c r="C72" s="18">
        <v>3</v>
      </c>
      <c r="D72" s="44">
        <f>COUNTIFS('Maestro infraestructura'!$A$2:$A$1052, A72,'Maestro infraestructura'!$X$2:$X$1052,B72,'Maestro infraestructura'!$Y$2:$Y$1052,C72)</f>
        <v>0</v>
      </c>
      <c r="E72" s="45">
        <f>COUNTIFS('Maestro infraestructura'!$A$2:$A$1051, A72,'Maestro infraestructura'!$X$2:$X$1051,B72,'Maestro infraestructura'!$Y$2:$Y$1051,C72,'Maestro infraestructura'!$V$2:$V$1051, "AL DÍA")</f>
        <v>0</v>
      </c>
      <c r="F72" s="46">
        <f t="shared" si="4"/>
        <v>1</v>
      </c>
      <c r="G72" s="47" t="str">
        <f t="shared" si="3"/>
        <v>✅ ÓPTIMO</v>
      </c>
    </row>
    <row r="73" spans="1:7" x14ac:dyDescent="0.15">
      <c r="A73" s="55" t="s">
        <v>257</v>
      </c>
      <c r="B73" s="56" t="s">
        <v>262</v>
      </c>
      <c r="C73" s="57">
        <v>1</v>
      </c>
      <c r="D73" s="58">
        <f>COUNTIFS('Maestro infraestructura'!$A$2:$A$1052, A73,'Maestro infraestructura'!$X$2:$X$1052,B73,'Maestro infraestructura'!$Y$2:$Y$1052,C73)</f>
        <v>2</v>
      </c>
      <c r="E73" s="59">
        <f ca="1">COUNTIFS('Maestro infraestructura'!$A$2:$A$1051, A73,'Maestro infraestructura'!$X$2:$X$1051,B73,'Maestro infraestructura'!$Y$2:$Y$1051,C73,'Maestro infraestructura'!$V$2:$V$1051, "AL DÍA")</f>
        <v>2</v>
      </c>
      <c r="F73" s="60">
        <f t="shared" ca="1" si="4"/>
        <v>1</v>
      </c>
      <c r="G73" s="61" t="str">
        <f t="shared" ca="1" si="3"/>
        <v>✅ ÓPTIMO</v>
      </c>
    </row>
    <row r="74" spans="1:7" x14ac:dyDescent="0.15">
      <c r="A74" s="43" t="s">
        <v>257</v>
      </c>
      <c r="B74" s="5" t="s">
        <v>262</v>
      </c>
      <c r="C74" s="18">
        <v>2</v>
      </c>
      <c r="D74" s="44">
        <f>COUNTIFS('Maestro infraestructura'!$A$2:$A$1052, A74,'Maestro infraestructura'!$X$2:$X$1052,B74,'Maestro infraestructura'!$Y$2:$Y$1052,C74)</f>
        <v>0</v>
      </c>
      <c r="E74" s="45">
        <f>COUNTIFS('Maestro infraestructura'!$A$2:$A$1051, A74,'Maestro infraestructura'!$X$2:$X$1051,B74,'Maestro infraestructura'!$Y$2:$Y$1051,C74,'Maestro infraestructura'!$V$2:$V$1051, "AL DÍA")</f>
        <v>0</v>
      </c>
      <c r="F74" s="46">
        <f t="shared" si="4"/>
        <v>1</v>
      </c>
      <c r="G74" s="47" t="str">
        <f t="shared" si="3"/>
        <v>✅ ÓPTIMO</v>
      </c>
    </row>
    <row r="75" spans="1:7" ht="15" thickBot="1" x14ac:dyDescent="0.2">
      <c r="A75" s="48" t="s">
        <v>257</v>
      </c>
      <c r="B75" s="49" t="s">
        <v>262</v>
      </c>
      <c r="C75" s="50">
        <v>3</v>
      </c>
      <c r="D75" s="51">
        <f>COUNTIFS('Maestro infraestructura'!$A$2:$A$1052, A75,'Maestro infraestructura'!$X$2:$X$1052,B75,'Maestro infraestructura'!$Y$2:$Y$1052,C75)</f>
        <v>1</v>
      </c>
      <c r="E75" s="52">
        <f ca="1">COUNTIFS('Maestro infraestructura'!$A$2:$A$1051, A75,'Maestro infraestructura'!$X$2:$X$1051,B75,'Maestro infraestructura'!$Y$2:$Y$1051,C75,'Maestro infraestructura'!$V$2:$V$1051, "AL DÍA")</f>
        <v>1</v>
      </c>
      <c r="F75" s="53">
        <f t="shared" ca="1" si="4"/>
        <v>1</v>
      </c>
      <c r="G75" s="54" t="str">
        <f t="shared" ca="1" si="3"/>
        <v>✅ ÓPTIMO</v>
      </c>
    </row>
    <row r="76" spans="1:7" x14ac:dyDescent="0.15">
      <c r="A76" s="36" t="s">
        <v>234</v>
      </c>
      <c r="B76" s="37" t="s">
        <v>277</v>
      </c>
      <c r="C76" s="38">
        <v>1</v>
      </c>
      <c r="D76" s="39">
        <f>COUNTIFS('Maestro infraestructura'!$A$2:$A$1052, A76,'Maestro infraestructura'!$X$2:$X$1052,B76,'Maestro infraestructura'!$Y$2:$Y$1052,C76)</f>
        <v>0</v>
      </c>
      <c r="E76" s="40">
        <f>COUNTIFS('Maestro infraestructura'!$A$2:$A$1051, A76,'Maestro infraestructura'!$X$2:$X$1051,B76,'Maestro infraestructura'!$Y$2:$Y$1051,C76,'Maestro infraestructura'!$V$2:$V$1051, "AL DÍA")</f>
        <v>0</v>
      </c>
      <c r="F76" s="41">
        <f t="shared" si="4"/>
        <v>1</v>
      </c>
      <c r="G76" s="42" t="str">
        <f t="shared" si="3"/>
        <v>✅ ÓPTIMO</v>
      </c>
    </row>
    <row r="77" spans="1:7" x14ac:dyDescent="0.15">
      <c r="A77" s="43" t="s">
        <v>234</v>
      </c>
      <c r="B77" s="5" t="s">
        <v>277</v>
      </c>
      <c r="C77" s="18">
        <v>2</v>
      </c>
      <c r="D77" s="44">
        <f>COUNTIFS('Maestro infraestructura'!$A$2:$A$1052, A77,'Maestro infraestructura'!$X$2:$X$1052,B77,'Maestro infraestructura'!$Y$2:$Y$1052,C77)</f>
        <v>0</v>
      </c>
      <c r="E77" s="45">
        <f>COUNTIFS('Maestro infraestructura'!$A$2:$A$1051, A77,'Maestro infraestructura'!$X$2:$X$1051,B77,'Maestro infraestructura'!$Y$2:$Y$1051,C77,'Maestro infraestructura'!$V$2:$V$1051, "AL DÍA")</f>
        <v>0</v>
      </c>
      <c r="F77" s="46">
        <f t="shared" si="4"/>
        <v>1</v>
      </c>
      <c r="G77" s="47" t="str">
        <f t="shared" si="3"/>
        <v>✅ ÓPTIMO</v>
      </c>
    </row>
    <row r="78" spans="1:7" x14ac:dyDescent="0.15">
      <c r="A78" s="43" t="s">
        <v>234</v>
      </c>
      <c r="B78" s="5" t="s">
        <v>277</v>
      </c>
      <c r="C78" s="18">
        <v>3</v>
      </c>
      <c r="D78" s="44">
        <f>COUNTIFS('Maestro infraestructura'!$A$2:$A$1052, A78,'Maestro infraestructura'!$X$2:$X$1052,B78,'Maestro infraestructura'!$Y$2:$Y$1052,C78)</f>
        <v>0</v>
      </c>
      <c r="E78" s="45">
        <f>COUNTIFS('Maestro infraestructura'!$A$2:$A$1051, A78,'Maestro infraestructura'!$X$2:$X$1051,B78,'Maestro infraestructura'!$Y$2:$Y$1051,C78,'Maestro infraestructura'!$V$2:$V$1051, "AL DÍA")</f>
        <v>0</v>
      </c>
      <c r="F78" s="46">
        <f t="shared" si="4"/>
        <v>1</v>
      </c>
      <c r="G78" s="47" t="str">
        <f t="shared" si="3"/>
        <v>✅ ÓPTIMO</v>
      </c>
    </row>
    <row r="79" spans="1:7" x14ac:dyDescent="0.15">
      <c r="A79" s="55" t="s">
        <v>234</v>
      </c>
      <c r="B79" s="56" t="s">
        <v>267</v>
      </c>
      <c r="C79" s="57">
        <v>1</v>
      </c>
      <c r="D79" s="58">
        <f>COUNTIFS('Maestro infraestructura'!$A$2:$A$1052, A79,'Maestro infraestructura'!$X$2:$X$1052,B79,'Maestro infraestructura'!$Y$2:$Y$1052,C79)</f>
        <v>2</v>
      </c>
      <c r="E79" s="59">
        <f ca="1">COUNTIFS('Maestro infraestructura'!$A$2:$A$1051, A79,'Maestro infraestructura'!$X$2:$X$1051,B79,'Maestro infraestructura'!$Y$2:$Y$1051,C79,'Maestro infraestructura'!$V$2:$V$1051, "AL DÍA")</f>
        <v>0</v>
      </c>
      <c r="F79" s="60">
        <f t="shared" ca="1" si="4"/>
        <v>0</v>
      </c>
      <c r="G79" s="61" t="str">
        <f t="shared" ca="1" si="3"/>
        <v>❌ CRÍTICO</v>
      </c>
    </row>
    <row r="80" spans="1:7" x14ac:dyDescent="0.15">
      <c r="A80" s="43" t="s">
        <v>234</v>
      </c>
      <c r="B80" s="5" t="s">
        <v>267</v>
      </c>
      <c r="C80" s="18">
        <v>2</v>
      </c>
      <c r="D80" s="44">
        <f>COUNTIFS('Maestro infraestructura'!$A$2:$A$1052, A80,'Maestro infraestructura'!$X$2:$X$1052,B80,'Maestro infraestructura'!$Y$2:$Y$1052,C80)</f>
        <v>5</v>
      </c>
      <c r="E80" s="45">
        <f ca="1">COUNTIFS('Maestro infraestructura'!$A$2:$A$1051, A80,'Maestro infraestructura'!$X$2:$X$1051,B80,'Maestro infraestructura'!$Y$2:$Y$1051,C80,'Maestro infraestructura'!$V$2:$V$1051, "AL DÍA")</f>
        <v>0</v>
      </c>
      <c r="F80" s="46">
        <f t="shared" ca="1" si="4"/>
        <v>0</v>
      </c>
      <c r="G80" s="47" t="str">
        <f t="shared" ca="1" si="3"/>
        <v>❌ CRÍTICO</v>
      </c>
    </row>
    <row r="81" spans="1:7" x14ac:dyDescent="0.15">
      <c r="A81" s="43" t="s">
        <v>234</v>
      </c>
      <c r="B81" s="5" t="s">
        <v>267</v>
      </c>
      <c r="C81" s="18">
        <v>3</v>
      </c>
      <c r="D81" s="44">
        <f>COUNTIFS('Maestro infraestructura'!$A$2:$A$1052, A81,'Maestro infraestructura'!$X$2:$X$1052,B81,'Maestro infraestructura'!$Y$2:$Y$1052,C81)</f>
        <v>0</v>
      </c>
      <c r="E81" s="45">
        <f>COUNTIFS('Maestro infraestructura'!$A$2:$A$1051, A81,'Maestro infraestructura'!$X$2:$X$1051,B81,'Maestro infraestructura'!$Y$2:$Y$1051,C81,'Maestro infraestructura'!$V$2:$V$1051, "AL DÍA")</f>
        <v>0</v>
      </c>
      <c r="F81" s="46">
        <f t="shared" si="4"/>
        <v>1</v>
      </c>
      <c r="G81" s="47" t="str">
        <f t="shared" si="3"/>
        <v>✅ ÓPTIMO</v>
      </c>
    </row>
    <row r="82" spans="1:7" x14ac:dyDescent="0.15">
      <c r="A82" s="55" t="s">
        <v>234</v>
      </c>
      <c r="B82" s="56" t="s">
        <v>271</v>
      </c>
      <c r="C82" s="57">
        <v>1</v>
      </c>
      <c r="D82" s="58">
        <f>COUNTIFS('Maestro infraestructura'!$A$2:$A$1052, A82,'Maestro infraestructura'!$X$2:$X$1052,B82,'Maestro infraestructura'!$Y$2:$Y$1052,C82)</f>
        <v>2</v>
      </c>
      <c r="E82" s="59">
        <f ca="1">COUNTIFS('Maestro infraestructura'!$A$2:$A$1051, A82,'Maestro infraestructura'!$X$2:$X$1051,B82,'Maestro infraestructura'!$Y$2:$Y$1051,C82,'Maestro infraestructura'!$V$2:$V$1051, "AL DÍA")</f>
        <v>2</v>
      </c>
      <c r="F82" s="60">
        <f t="shared" ca="1" si="4"/>
        <v>1</v>
      </c>
      <c r="G82" s="61" t="str">
        <f t="shared" ca="1" si="3"/>
        <v>✅ ÓPTIMO</v>
      </c>
    </row>
    <row r="83" spans="1:7" x14ac:dyDescent="0.15">
      <c r="A83" s="43" t="s">
        <v>234</v>
      </c>
      <c r="B83" s="5" t="s">
        <v>271</v>
      </c>
      <c r="C83" s="18">
        <v>2</v>
      </c>
      <c r="D83" s="44">
        <f>COUNTIFS('Maestro infraestructura'!$A$2:$A$1052, A83,'Maestro infraestructura'!$X$2:$X$1052,B83,'Maestro infraestructura'!$Y$2:$Y$1052,C83)</f>
        <v>1</v>
      </c>
      <c r="E83" s="45">
        <f ca="1">COUNTIFS('Maestro infraestructura'!$A$2:$A$1051, A83,'Maestro infraestructura'!$X$2:$X$1051,B83,'Maestro infraestructura'!$Y$2:$Y$1051,C83,'Maestro infraestructura'!$V$2:$V$1051, "AL DÍA")</f>
        <v>1</v>
      </c>
      <c r="F83" s="46">
        <f t="shared" ca="1" si="4"/>
        <v>1</v>
      </c>
      <c r="G83" s="47" t="str">
        <f t="shared" ca="1" si="3"/>
        <v>✅ ÓPTIMO</v>
      </c>
    </row>
    <row r="84" spans="1:7" x14ac:dyDescent="0.15">
      <c r="A84" s="43" t="s">
        <v>234</v>
      </c>
      <c r="B84" s="5" t="s">
        <v>271</v>
      </c>
      <c r="C84" s="18">
        <v>3</v>
      </c>
      <c r="D84" s="44">
        <f>COUNTIFS('Maestro infraestructura'!$A$2:$A$1052, A84,'Maestro infraestructura'!$X$2:$X$1052,B84,'Maestro infraestructura'!$Y$2:$Y$1052,C84)</f>
        <v>0</v>
      </c>
      <c r="E84" s="45">
        <f>COUNTIFS('Maestro infraestructura'!$A$2:$A$1051, A84,'Maestro infraestructura'!$X$2:$X$1051,B84,'Maestro infraestructura'!$Y$2:$Y$1051,C84,'Maestro infraestructura'!$V$2:$V$1051, "AL DÍA")</f>
        <v>0</v>
      </c>
      <c r="F84" s="46">
        <f t="shared" si="4"/>
        <v>1</v>
      </c>
      <c r="G84" s="47" t="str">
        <f t="shared" ref="G84:G124" si="5">IF(F84=1, "✅ ÓPTIMO", IF(F84&gt;=0.8, "⚠️ PRECAUCIÓN", "❌ CRÍTICO"))</f>
        <v>✅ ÓPTIMO</v>
      </c>
    </row>
    <row r="85" spans="1:7" x14ac:dyDescent="0.15">
      <c r="A85" s="55" t="s">
        <v>234</v>
      </c>
      <c r="B85" s="56" t="s">
        <v>262</v>
      </c>
      <c r="C85" s="57">
        <v>1</v>
      </c>
      <c r="D85" s="58">
        <f>COUNTIFS('Maestro infraestructura'!$A$2:$A$1052, A85,'Maestro infraestructura'!$X$2:$X$1052,B85,'Maestro infraestructura'!$Y$2:$Y$1052,C85)</f>
        <v>0</v>
      </c>
      <c r="E85" s="59">
        <f>COUNTIFS('Maestro infraestructura'!$A$2:$A$1051, A85,'Maestro infraestructura'!$X$2:$X$1051,B85,'Maestro infraestructura'!$Y$2:$Y$1051,C85,'Maestro infraestructura'!$V$2:$V$1051, "AL DÍA")</f>
        <v>0</v>
      </c>
      <c r="F85" s="60">
        <f t="shared" si="4"/>
        <v>1</v>
      </c>
      <c r="G85" s="61" t="str">
        <f t="shared" si="5"/>
        <v>✅ ÓPTIMO</v>
      </c>
    </row>
    <row r="86" spans="1:7" x14ac:dyDescent="0.15">
      <c r="A86" s="43" t="s">
        <v>234</v>
      </c>
      <c r="B86" s="5" t="s">
        <v>262</v>
      </c>
      <c r="C86" s="18">
        <v>2</v>
      </c>
      <c r="D86" s="44">
        <f>COUNTIFS('Maestro infraestructura'!$A$2:$A$1052, A86,'Maestro infraestructura'!$X$2:$X$1052,B86,'Maestro infraestructura'!$Y$2:$Y$1052,C86)</f>
        <v>2</v>
      </c>
      <c r="E86" s="45">
        <f ca="1">COUNTIFS('Maestro infraestructura'!$A$2:$A$1051, A86,'Maestro infraestructura'!$X$2:$X$1051,B86,'Maestro infraestructura'!$Y$2:$Y$1051,C86,'Maestro infraestructura'!$V$2:$V$1051, "AL DÍA")</f>
        <v>1</v>
      </c>
      <c r="F86" s="46">
        <f t="shared" ca="1" si="4"/>
        <v>0.5</v>
      </c>
      <c r="G86" s="47" t="str">
        <f t="shared" ca="1" si="5"/>
        <v>❌ CRÍTICO</v>
      </c>
    </row>
    <row r="87" spans="1:7" ht="15" thickBot="1" x14ac:dyDescent="0.2">
      <c r="A87" s="48" t="s">
        <v>234</v>
      </c>
      <c r="B87" s="49" t="s">
        <v>262</v>
      </c>
      <c r="C87" s="50">
        <v>3</v>
      </c>
      <c r="D87" s="51">
        <f>COUNTIFS('Maestro infraestructura'!$A$2:$A$1052, A87,'Maestro infraestructura'!$X$2:$X$1052,B87,'Maestro infraestructura'!$Y$2:$Y$1052,C87)</f>
        <v>0</v>
      </c>
      <c r="E87" s="52">
        <f>COUNTIFS('Maestro infraestructura'!$A$2:$A$1051, A87,'Maestro infraestructura'!$X$2:$X$1051,B87,'Maestro infraestructura'!$Y$2:$Y$1051,C87,'Maestro infraestructura'!$V$2:$V$1051, "AL DÍA")</f>
        <v>0</v>
      </c>
      <c r="F87" s="53">
        <f t="shared" si="4"/>
        <v>1</v>
      </c>
      <c r="G87" s="54" t="str">
        <f t="shared" si="5"/>
        <v>✅ ÓPTIMO</v>
      </c>
    </row>
    <row r="88" spans="1:7" x14ac:dyDescent="0.15">
      <c r="A88" s="36" t="s">
        <v>258</v>
      </c>
      <c r="B88" s="37" t="s">
        <v>277</v>
      </c>
      <c r="C88" s="38">
        <v>1</v>
      </c>
      <c r="D88" s="39">
        <f>COUNTIFS('Maestro infraestructura'!$A$2:$A$1052, A88,'Maestro infraestructura'!$X$2:$X$1052,B88,'Maestro infraestructura'!$Y$2:$Y$1052,C88)</f>
        <v>0</v>
      </c>
      <c r="E88" s="40">
        <f>COUNTIFS('Maestro infraestructura'!$A$2:$A$1051, A88,'Maestro infraestructura'!$X$2:$X$1051,B88,'Maestro infraestructura'!$Y$2:$Y$1051,C88,'Maestro infraestructura'!$V$2:$V$1051, "AL DÍA")</f>
        <v>0</v>
      </c>
      <c r="F88" s="41">
        <f t="shared" si="4"/>
        <v>1</v>
      </c>
      <c r="G88" s="42" t="str">
        <f t="shared" si="5"/>
        <v>✅ ÓPTIMO</v>
      </c>
    </row>
    <row r="89" spans="1:7" x14ac:dyDescent="0.15">
      <c r="A89" s="43" t="s">
        <v>258</v>
      </c>
      <c r="B89" s="5" t="s">
        <v>277</v>
      </c>
      <c r="C89" s="18">
        <v>2</v>
      </c>
      <c r="D89" s="44">
        <f>COUNTIFS('Maestro infraestructura'!$A$2:$A$1052, A89,'Maestro infraestructura'!$X$2:$X$1052,B89,'Maestro infraestructura'!$Y$2:$Y$1052,C89)</f>
        <v>0</v>
      </c>
      <c r="E89" s="45">
        <f>COUNTIFS('Maestro infraestructura'!$A$2:$A$1051, A89,'Maestro infraestructura'!$X$2:$X$1051,B89,'Maestro infraestructura'!$Y$2:$Y$1051,C89,'Maestro infraestructura'!$V$2:$V$1051, "AL DÍA")</f>
        <v>0</v>
      </c>
      <c r="F89" s="46">
        <f t="shared" si="4"/>
        <v>1</v>
      </c>
      <c r="G89" s="47" t="str">
        <f t="shared" si="5"/>
        <v>✅ ÓPTIMO</v>
      </c>
    </row>
    <row r="90" spans="1:7" x14ac:dyDescent="0.15">
      <c r="A90" s="43" t="s">
        <v>258</v>
      </c>
      <c r="B90" s="5" t="s">
        <v>277</v>
      </c>
      <c r="C90" s="18">
        <v>3</v>
      </c>
      <c r="D90" s="44">
        <f>COUNTIFS('Maestro infraestructura'!$A$2:$A$1052, A90,'Maestro infraestructura'!$X$2:$X$1052,B90,'Maestro infraestructura'!$Y$2:$Y$1052,C90)</f>
        <v>0</v>
      </c>
      <c r="E90" s="45">
        <f>COUNTIFS('Maestro infraestructura'!$A$2:$A$1051, A90,'Maestro infraestructura'!$X$2:$X$1051,B90,'Maestro infraestructura'!$Y$2:$Y$1051,C90,'Maestro infraestructura'!$V$2:$V$1051, "AL DÍA")</f>
        <v>0</v>
      </c>
      <c r="F90" s="46">
        <f t="shared" si="4"/>
        <v>1</v>
      </c>
      <c r="G90" s="47" t="str">
        <f t="shared" si="5"/>
        <v>✅ ÓPTIMO</v>
      </c>
    </row>
    <row r="91" spans="1:7" x14ac:dyDescent="0.15">
      <c r="A91" s="55" t="s">
        <v>258</v>
      </c>
      <c r="B91" s="56" t="s">
        <v>267</v>
      </c>
      <c r="C91" s="57">
        <v>1</v>
      </c>
      <c r="D91" s="58">
        <f>COUNTIFS('Maestro infraestructura'!$A$2:$A$1052, A91,'Maestro infraestructura'!$X$2:$X$1052,B91,'Maestro infraestructura'!$Y$2:$Y$1052,C91)</f>
        <v>2</v>
      </c>
      <c r="E91" s="59">
        <f ca="1">COUNTIFS('Maestro infraestructura'!$A$2:$A$1051, A91,'Maestro infraestructura'!$X$2:$X$1051,B91,'Maestro infraestructura'!$Y$2:$Y$1051,C91,'Maestro infraestructura'!$V$2:$V$1051, "AL DÍA")</f>
        <v>0</v>
      </c>
      <c r="F91" s="60">
        <f t="shared" ca="1" si="4"/>
        <v>0</v>
      </c>
      <c r="G91" s="61" t="str">
        <f t="shared" ca="1" si="5"/>
        <v>❌ CRÍTICO</v>
      </c>
    </row>
    <row r="92" spans="1:7" x14ac:dyDescent="0.15">
      <c r="A92" s="43" t="s">
        <v>258</v>
      </c>
      <c r="B92" s="5" t="s">
        <v>267</v>
      </c>
      <c r="C92" s="18">
        <v>2</v>
      </c>
      <c r="D92" s="44">
        <f>COUNTIFS('Maestro infraestructura'!$A$2:$A$1052, A92,'Maestro infraestructura'!$X$2:$X$1052,B92,'Maestro infraestructura'!$Y$2:$Y$1052,C92)</f>
        <v>0</v>
      </c>
      <c r="E92" s="45">
        <f>COUNTIFS('Maestro infraestructura'!$A$2:$A$1051, A92,'Maestro infraestructura'!$X$2:$X$1051,B92,'Maestro infraestructura'!$Y$2:$Y$1051,C92,'Maestro infraestructura'!$V$2:$V$1051, "AL DÍA")</f>
        <v>0</v>
      </c>
      <c r="F92" s="46">
        <f t="shared" si="4"/>
        <v>1</v>
      </c>
      <c r="G92" s="47" t="str">
        <f t="shared" si="5"/>
        <v>✅ ÓPTIMO</v>
      </c>
    </row>
    <row r="93" spans="1:7" x14ac:dyDescent="0.15">
      <c r="A93" s="43" t="s">
        <v>258</v>
      </c>
      <c r="B93" s="5" t="s">
        <v>267</v>
      </c>
      <c r="C93" s="18">
        <v>3</v>
      </c>
      <c r="D93" s="44">
        <f>COUNTIFS('Maestro infraestructura'!$A$2:$A$1052, A93,'Maestro infraestructura'!$X$2:$X$1052,B93,'Maestro infraestructura'!$Y$2:$Y$1052,C93)</f>
        <v>0</v>
      </c>
      <c r="E93" s="45">
        <f>COUNTIFS('Maestro infraestructura'!$A$2:$A$1051, A93,'Maestro infraestructura'!$X$2:$X$1051,B93,'Maestro infraestructura'!$Y$2:$Y$1051,C93,'Maestro infraestructura'!$V$2:$V$1051, "AL DÍA")</f>
        <v>0</v>
      </c>
      <c r="F93" s="46">
        <f t="shared" si="4"/>
        <v>1</v>
      </c>
      <c r="G93" s="47" t="str">
        <f t="shared" si="5"/>
        <v>✅ ÓPTIMO</v>
      </c>
    </row>
    <row r="94" spans="1:7" x14ac:dyDescent="0.15">
      <c r="A94" s="55" t="s">
        <v>258</v>
      </c>
      <c r="B94" s="56" t="s">
        <v>271</v>
      </c>
      <c r="C94" s="57">
        <v>1</v>
      </c>
      <c r="D94" s="58">
        <f>COUNTIFS('Maestro infraestructura'!$A$2:$A$1052, A94,'Maestro infraestructura'!$X$2:$X$1052,B94,'Maestro infraestructura'!$Y$2:$Y$1052,C94)</f>
        <v>0</v>
      </c>
      <c r="E94" s="59">
        <f>COUNTIFS('Maestro infraestructura'!$A$2:$A$1051, A94,'Maestro infraestructura'!$X$2:$X$1051,B94,'Maestro infraestructura'!$Y$2:$Y$1051,C94,'Maestro infraestructura'!$V$2:$V$1051, "AL DÍA")</f>
        <v>0</v>
      </c>
      <c r="F94" s="60">
        <f t="shared" si="4"/>
        <v>1</v>
      </c>
      <c r="G94" s="61" t="str">
        <f t="shared" si="5"/>
        <v>✅ ÓPTIMO</v>
      </c>
    </row>
    <row r="95" spans="1:7" x14ac:dyDescent="0.15">
      <c r="A95" s="43" t="s">
        <v>258</v>
      </c>
      <c r="B95" s="5" t="s">
        <v>271</v>
      </c>
      <c r="C95" s="18">
        <v>2</v>
      </c>
      <c r="D95" s="44">
        <f>COUNTIFS('Maestro infraestructura'!$A$2:$A$1052, A95,'Maestro infraestructura'!$X$2:$X$1052,B95,'Maestro infraestructura'!$Y$2:$Y$1052,C95)</f>
        <v>0</v>
      </c>
      <c r="E95" s="45">
        <f>COUNTIFS('Maestro infraestructura'!$A$2:$A$1051, A95,'Maestro infraestructura'!$X$2:$X$1051,B95,'Maestro infraestructura'!$Y$2:$Y$1051,C95,'Maestro infraestructura'!$V$2:$V$1051, "AL DÍA")</f>
        <v>0</v>
      </c>
      <c r="F95" s="46">
        <f t="shared" si="4"/>
        <v>1</v>
      </c>
      <c r="G95" s="47" t="str">
        <f t="shared" si="5"/>
        <v>✅ ÓPTIMO</v>
      </c>
    </row>
    <row r="96" spans="1:7" x14ac:dyDescent="0.15">
      <c r="A96" s="43" t="s">
        <v>258</v>
      </c>
      <c r="B96" s="5" t="s">
        <v>271</v>
      </c>
      <c r="C96" s="18">
        <v>3</v>
      </c>
      <c r="D96" s="44">
        <f>COUNTIFS('Maestro infraestructura'!$A$2:$A$1052, A96,'Maestro infraestructura'!$X$2:$X$1052,B96,'Maestro infraestructura'!$Y$2:$Y$1052,C96)</f>
        <v>0</v>
      </c>
      <c r="E96" s="45">
        <f>COUNTIFS('Maestro infraestructura'!$A$2:$A$1051, A96,'Maestro infraestructura'!$X$2:$X$1051,B96,'Maestro infraestructura'!$Y$2:$Y$1051,C96,'Maestro infraestructura'!$V$2:$V$1051, "AL DÍA")</f>
        <v>0</v>
      </c>
      <c r="F96" s="46">
        <f t="shared" si="4"/>
        <v>1</v>
      </c>
      <c r="G96" s="47" t="str">
        <f t="shared" si="5"/>
        <v>✅ ÓPTIMO</v>
      </c>
    </row>
    <row r="97" spans="1:14" x14ac:dyDescent="0.15">
      <c r="A97" s="55" t="s">
        <v>258</v>
      </c>
      <c r="B97" s="56" t="s">
        <v>262</v>
      </c>
      <c r="C97" s="57">
        <v>1</v>
      </c>
      <c r="D97" s="58">
        <f>COUNTIFS('Maestro infraestructura'!$A$2:$A$1052, A97,'Maestro infraestructura'!$X$2:$X$1052,B97,'Maestro infraestructura'!$Y$2:$Y$1052,C97)</f>
        <v>0</v>
      </c>
      <c r="E97" s="59">
        <f>COUNTIFS('Maestro infraestructura'!$A$2:$A$1051, A97,'Maestro infraestructura'!$X$2:$X$1051,B97,'Maestro infraestructura'!$Y$2:$Y$1051,C97,'Maestro infraestructura'!$V$2:$V$1051, "AL DÍA")</f>
        <v>0</v>
      </c>
      <c r="F97" s="60">
        <f t="shared" si="4"/>
        <v>1</v>
      </c>
      <c r="G97" s="61" t="str">
        <f t="shared" si="5"/>
        <v>✅ ÓPTIMO</v>
      </c>
    </row>
    <row r="98" spans="1:14" x14ac:dyDescent="0.15">
      <c r="A98" s="43" t="s">
        <v>258</v>
      </c>
      <c r="B98" s="5" t="s">
        <v>262</v>
      </c>
      <c r="C98" s="18">
        <v>2</v>
      </c>
      <c r="D98" s="44">
        <f>COUNTIFS('Maestro infraestructura'!$A$2:$A$1052, A98,'Maestro infraestructura'!$X$2:$X$1052,B98,'Maestro infraestructura'!$Y$2:$Y$1052,C98)</f>
        <v>0</v>
      </c>
      <c r="E98" s="45">
        <f>COUNTIFS('Maestro infraestructura'!$A$2:$A$1051, A98,'Maestro infraestructura'!$X$2:$X$1051,B98,'Maestro infraestructura'!$Y$2:$Y$1051,C98,'Maestro infraestructura'!$V$2:$V$1051, "AL DÍA")</f>
        <v>0</v>
      </c>
      <c r="F98" s="46">
        <f t="shared" si="4"/>
        <v>1</v>
      </c>
      <c r="G98" s="47" t="str">
        <f t="shared" si="5"/>
        <v>✅ ÓPTIMO</v>
      </c>
    </row>
    <row r="99" spans="1:14" ht="15" thickBot="1" x14ac:dyDescent="0.2">
      <c r="A99" s="48" t="s">
        <v>258</v>
      </c>
      <c r="B99" s="49" t="s">
        <v>262</v>
      </c>
      <c r="C99" s="50">
        <v>3</v>
      </c>
      <c r="D99" s="51">
        <f>COUNTIFS('Maestro infraestructura'!$A$2:$A$1052, A99,'Maestro infraestructura'!$X$2:$X$1052,B99,'Maestro infraestructura'!$Y$2:$Y$1052,C99)</f>
        <v>0</v>
      </c>
      <c r="E99" s="52">
        <f>COUNTIFS('Maestro infraestructura'!$A$2:$A$1051, A99,'Maestro infraestructura'!$X$2:$X$1051,B99,'Maestro infraestructura'!$Y$2:$Y$1051,C99,'Maestro infraestructura'!$V$2:$V$1051, "AL DÍA")</f>
        <v>0</v>
      </c>
      <c r="F99" s="53">
        <f t="shared" si="4"/>
        <v>1</v>
      </c>
      <c r="G99" s="54" t="str">
        <f t="shared" si="5"/>
        <v>✅ ÓPTIMO</v>
      </c>
    </row>
    <row r="100" spans="1:14" x14ac:dyDescent="0.15">
      <c r="A100" s="36" t="s">
        <v>259</v>
      </c>
      <c r="B100" s="37" t="s">
        <v>277</v>
      </c>
      <c r="C100" s="38">
        <v>1</v>
      </c>
      <c r="D100" s="39">
        <f>COUNTIFS('Maestro infraestructura'!$A$2:$A$1052, A100,'Maestro infraestructura'!$X$2:$X$1052,B100,'Maestro infraestructura'!$Y$2:$Y$1052,C100)</f>
        <v>0</v>
      </c>
      <c r="E100" s="40">
        <f>COUNTIFS('Maestro infraestructura'!$A$2:$A$1051, A100,'Maestro infraestructura'!$X$2:$X$1051,B100,'Maestro infraestructura'!$Y$2:$Y$1051,C100,'Maestro infraestructura'!$V$2:$V$1051, "AL DÍA")</f>
        <v>0</v>
      </c>
      <c r="F100" s="41">
        <f t="shared" si="4"/>
        <v>1</v>
      </c>
      <c r="G100" s="42" t="str">
        <f t="shared" si="5"/>
        <v>✅ ÓPTIMO</v>
      </c>
    </row>
    <row r="101" spans="1:14" x14ac:dyDescent="0.15">
      <c r="A101" s="43" t="s">
        <v>259</v>
      </c>
      <c r="B101" s="5" t="s">
        <v>277</v>
      </c>
      <c r="C101" s="18">
        <v>2</v>
      </c>
      <c r="D101" s="44">
        <f>COUNTIFS('Maestro infraestructura'!$A$2:$A$1052, A101,'Maestro infraestructura'!$X$2:$X$1052,B101,'Maestro infraestructura'!$Y$2:$Y$1052,C101)</f>
        <v>1</v>
      </c>
      <c r="E101" s="45">
        <f ca="1">COUNTIFS('Maestro infraestructura'!$A$2:$A$1051, A101,'Maestro infraestructura'!$X$2:$X$1051,B101,'Maestro infraestructura'!$Y$2:$Y$1051,C101,'Maestro infraestructura'!$V$2:$V$1051, "AL DÍA")</f>
        <v>1</v>
      </c>
      <c r="F101" s="46">
        <f t="shared" ca="1" si="4"/>
        <v>1</v>
      </c>
      <c r="G101" s="47" t="str">
        <f t="shared" ca="1" si="5"/>
        <v>✅ ÓPTIMO</v>
      </c>
    </row>
    <row r="102" spans="1:14" x14ac:dyDescent="0.15">
      <c r="A102" s="43" t="s">
        <v>259</v>
      </c>
      <c r="B102" s="5" t="s">
        <v>277</v>
      </c>
      <c r="C102" s="18">
        <v>3</v>
      </c>
      <c r="D102" s="44">
        <f>COUNTIFS('Maestro infraestructura'!$A$2:$A$1052, A102,'Maestro infraestructura'!$X$2:$X$1052,B102,'Maestro infraestructura'!$Y$2:$Y$1052,C102)</f>
        <v>0</v>
      </c>
      <c r="E102" s="45">
        <f>COUNTIFS('Maestro infraestructura'!$A$2:$A$1051, A102,'Maestro infraestructura'!$X$2:$X$1051,B102,'Maestro infraestructura'!$Y$2:$Y$1051,C102,'Maestro infraestructura'!$V$2:$V$1051, "AL DÍA")</f>
        <v>0</v>
      </c>
      <c r="F102" s="46">
        <f t="shared" si="4"/>
        <v>1</v>
      </c>
      <c r="G102" s="47" t="str">
        <f t="shared" si="5"/>
        <v>✅ ÓPTIMO</v>
      </c>
    </row>
    <row r="103" spans="1:14" x14ac:dyDescent="0.15">
      <c r="A103" s="55" t="s">
        <v>259</v>
      </c>
      <c r="B103" s="56" t="s">
        <v>267</v>
      </c>
      <c r="C103" s="57">
        <v>1</v>
      </c>
      <c r="D103" s="58">
        <f>COUNTIFS('Maestro infraestructura'!$A$2:$A$1052, A103,'Maestro infraestructura'!$X$2:$X$1052,B103,'Maestro infraestructura'!$Y$2:$Y$1052,C103)</f>
        <v>0</v>
      </c>
      <c r="E103" s="59">
        <f>COUNTIFS('Maestro infraestructura'!$A$2:$A$1051, A103,'Maestro infraestructura'!$X$2:$X$1051,B103,'Maestro infraestructura'!$Y$2:$Y$1051,C103,'Maestro infraestructura'!$V$2:$V$1051, "AL DÍA")</f>
        <v>0</v>
      </c>
      <c r="F103" s="60">
        <f t="shared" si="4"/>
        <v>1</v>
      </c>
      <c r="G103" s="61" t="str">
        <f t="shared" si="5"/>
        <v>✅ ÓPTIMO</v>
      </c>
    </row>
    <row r="104" spans="1:14" x14ac:dyDescent="0.15">
      <c r="A104" s="43" t="s">
        <v>259</v>
      </c>
      <c r="B104" s="5" t="s">
        <v>267</v>
      </c>
      <c r="C104" s="18">
        <v>2</v>
      </c>
      <c r="D104" s="44">
        <f>COUNTIFS('Maestro infraestructura'!$A$2:$A$1052, A104,'Maestro infraestructura'!$X$2:$X$1052,B104,'Maestro infraestructura'!$Y$2:$Y$1052,C104)</f>
        <v>1</v>
      </c>
      <c r="E104" s="45">
        <f ca="1">COUNTIFS('Maestro infraestructura'!$A$2:$A$1051, A104,'Maestro infraestructura'!$X$2:$X$1051,B104,'Maestro infraestructura'!$Y$2:$Y$1051,C104,'Maestro infraestructura'!$V$2:$V$1051, "AL DÍA")</f>
        <v>0</v>
      </c>
      <c r="F104" s="46">
        <f t="shared" ca="1" si="4"/>
        <v>0</v>
      </c>
      <c r="G104" s="47" t="str">
        <f t="shared" ca="1" si="5"/>
        <v>❌ CRÍTICO</v>
      </c>
    </row>
    <row r="105" spans="1:14" x14ac:dyDescent="0.15">
      <c r="A105" s="43" t="s">
        <v>259</v>
      </c>
      <c r="B105" s="5" t="s">
        <v>267</v>
      </c>
      <c r="C105" s="18">
        <v>3</v>
      </c>
      <c r="D105" s="44">
        <f>COUNTIFS('Maestro infraestructura'!$A$2:$A$1052, A105,'Maestro infraestructura'!$X$2:$X$1052,B105,'Maestro infraestructura'!$Y$2:$Y$1052,C105)</f>
        <v>1</v>
      </c>
      <c r="E105" s="45">
        <f ca="1">COUNTIFS('Maestro infraestructura'!$A$2:$A$1051, A105,'Maestro infraestructura'!$X$2:$X$1051,B105,'Maestro infraestructura'!$Y$2:$Y$1051,C105,'Maestro infraestructura'!$V$2:$V$1051, "AL DÍA")</f>
        <v>0</v>
      </c>
      <c r="F105" s="46">
        <f t="shared" ca="1" si="4"/>
        <v>0</v>
      </c>
      <c r="G105" s="47" t="str">
        <f t="shared" ca="1" si="5"/>
        <v>❌ CRÍTICO</v>
      </c>
    </row>
    <row r="106" spans="1:14" x14ac:dyDescent="0.15">
      <c r="A106" s="55" t="s">
        <v>259</v>
      </c>
      <c r="B106" s="56" t="s">
        <v>271</v>
      </c>
      <c r="C106" s="57">
        <v>1</v>
      </c>
      <c r="D106" s="58">
        <f>COUNTIFS('Maestro infraestructura'!$A$2:$A$1052, A106,'Maestro infraestructura'!$X$2:$X$1052,B106,'Maestro infraestructura'!$Y$2:$Y$1052,C106)</f>
        <v>0</v>
      </c>
      <c r="E106" s="59">
        <f>COUNTIFS('Maestro infraestructura'!$A$2:$A$1051, A106,'Maestro infraestructura'!$X$2:$X$1051,B106,'Maestro infraestructura'!$Y$2:$Y$1051,C106,'Maestro infraestructura'!$V$2:$V$1051, "AL DÍA")</f>
        <v>0</v>
      </c>
      <c r="F106" s="60">
        <f t="shared" si="4"/>
        <v>1</v>
      </c>
      <c r="G106" s="61" t="str">
        <f t="shared" si="5"/>
        <v>✅ ÓPTIMO</v>
      </c>
    </row>
    <row r="107" spans="1:14" x14ac:dyDescent="0.15">
      <c r="A107" s="43" t="s">
        <v>259</v>
      </c>
      <c r="B107" s="5" t="s">
        <v>271</v>
      </c>
      <c r="C107" s="18">
        <v>2</v>
      </c>
      <c r="D107" s="44">
        <f>COUNTIFS('Maestro infraestructura'!$A$2:$A$1052, A107,'Maestro infraestructura'!$X$2:$X$1052,B107,'Maestro infraestructura'!$Y$2:$Y$1052,C107)</f>
        <v>0</v>
      </c>
      <c r="E107" s="45">
        <f>COUNTIFS('Maestro infraestructura'!$A$2:$A$1051, A107,'Maestro infraestructura'!$X$2:$X$1051,B107,'Maestro infraestructura'!$Y$2:$Y$1051,C107,'Maestro infraestructura'!$V$2:$V$1051, "AL DÍA")</f>
        <v>0</v>
      </c>
      <c r="F107" s="46">
        <f t="shared" si="4"/>
        <v>1</v>
      </c>
      <c r="G107" s="47" t="str">
        <f t="shared" si="5"/>
        <v>✅ ÓPTIMO</v>
      </c>
    </row>
    <row r="108" spans="1:14" x14ac:dyDescent="0.15">
      <c r="A108" s="43" t="s">
        <v>259</v>
      </c>
      <c r="B108" s="5" t="s">
        <v>271</v>
      </c>
      <c r="C108" s="18">
        <v>3</v>
      </c>
      <c r="D108" s="44">
        <f>COUNTIFS('Maestro infraestructura'!$A$2:$A$1052, A108,'Maestro infraestructura'!$X$2:$X$1052,B108,'Maestro infraestructura'!$Y$2:$Y$1052,C108)</f>
        <v>0</v>
      </c>
      <c r="E108" s="45">
        <f>COUNTIFS('Maestro infraestructura'!$A$2:$A$1051, A108,'Maestro infraestructura'!$X$2:$X$1051,B108,'Maestro infraestructura'!$Y$2:$Y$1051,C108,'Maestro infraestructura'!$V$2:$V$1051, "AL DÍA")</f>
        <v>0</v>
      </c>
      <c r="F108" s="46">
        <f t="shared" si="4"/>
        <v>1</v>
      </c>
      <c r="G108" s="47" t="str">
        <f t="shared" si="5"/>
        <v>✅ ÓPTIMO</v>
      </c>
    </row>
    <row r="109" spans="1:14" x14ac:dyDescent="0.15">
      <c r="A109" s="55" t="s">
        <v>259</v>
      </c>
      <c r="B109" s="56" t="s">
        <v>262</v>
      </c>
      <c r="C109" s="57">
        <v>1</v>
      </c>
      <c r="D109" s="58">
        <f>COUNTIFS('Maestro infraestructura'!$A$2:$A$1052, A109,'Maestro infraestructura'!$X$2:$X$1052,B109,'Maestro infraestructura'!$Y$2:$Y$1052,C109)</f>
        <v>0</v>
      </c>
      <c r="E109" s="59">
        <f>COUNTIFS('Maestro infraestructura'!$A$2:$A$1051, A109,'Maestro infraestructura'!$X$2:$X$1051,B109,'Maestro infraestructura'!$Y$2:$Y$1051,C109,'Maestro infraestructura'!$V$2:$V$1051, "AL DÍA")</f>
        <v>0</v>
      </c>
      <c r="F109" s="60">
        <f t="shared" si="4"/>
        <v>1</v>
      </c>
      <c r="G109" s="61" t="str">
        <f t="shared" si="5"/>
        <v>✅ ÓPTIMO</v>
      </c>
    </row>
    <row r="110" spans="1:14" x14ac:dyDescent="0.15">
      <c r="A110" s="43" t="s">
        <v>259</v>
      </c>
      <c r="B110" s="5" t="s">
        <v>262</v>
      </c>
      <c r="C110" s="18">
        <v>2</v>
      </c>
      <c r="D110" s="44">
        <f>COUNTIFS('Maestro infraestructura'!$A$2:$A$1052, A110,'Maestro infraestructura'!$X$2:$X$1052,B110,'Maestro infraestructura'!$Y$2:$Y$1052,C110)</f>
        <v>0</v>
      </c>
      <c r="E110" s="45">
        <f>COUNTIFS('Maestro infraestructura'!$A$2:$A$1051, A110,'Maestro infraestructura'!$X$2:$X$1051,B110,'Maestro infraestructura'!$Y$2:$Y$1051,C110,'Maestro infraestructura'!$V$2:$V$1051, "AL DÍA")</f>
        <v>0</v>
      </c>
      <c r="F110" s="46">
        <f t="shared" si="4"/>
        <v>1</v>
      </c>
      <c r="G110" s="47" t="str">
        <f t="shared" si="5"/>
        <v>✅ ÓPTIMO</v>
      </c>
    </row>
    <row r="111" spans="1:14" ht="15" thickBot="1" x14ac:dyDescent="0.2">
      <c r="A111" s="48" t="s">
        <v>259</v>
      </c>
      <c r="B111" s="49" t="s">
        <v>262</v>
      </c>
      <c r="C111" s="50">
        <v>3</v>
      </c>
      <c r="D111" s="51">
        <f>COUNTIFS('Maestro infraestructura'!$A$2:$A$1052, A111,'Maestro infraestructura'!$X$2:$X$1052,B111,'Maestro infraestructura'!$Y$2:$Y$1052,C111)</f>
        <v>0</v>
      </c>
      <c r="E111" s="52">
        <f>COUNTIFS('Maestro infraestructura'!$A$2:$A$1051, A111,'Maestro infraestructura'!$X$2:$X$1051,B111,'Maestro infraestructura'!$Y$2:$Y$1051,C111,'Maestro infraestructura'!$V$2:$V$1051, "AL DÍA")</f>
        <v>0</v>
      </c>
      <c r="F111" s="53">
        <f t="shared" si="4"/>
        <v>1</v>
      </c>
      <c r="G111" s="54" t="str">
        <f t="shared" si="5"/>
        <v>✅ ÓPTIMO</v>
      </c>
      <c r="J111" s="44"/>
      <c r="K111" s="44"/>
      <c r="L111" s="44"/>
      <c r="M111" s="44"/>
      <c r="N111" s="44"/>
    </row>
    <row r="112" spans="1:14" x14ac:dyDescent="0.15">
      <c r="A112" s="36" t="s">
        <v>244</v>
      </c>
      <c r="B112" s="37" t="s">
        <v>277</v>
      </c>
      <c r="C112" s="38">
        <v>1</v>
      </c>
      <c r="D112" s="39">
        <f>COUNTIFS('Maestro infraestructura'!$A$2:$A$1052, A112,'Maestro infraestructura'!$X$2:$X$1052,B112,'Maestro infraestructura'!$Y$2:$Y$1052,C112)</f>
        <v>0</v>
      </c>
      <c r="E112" s="40">
        <f>COUNTIFS('Maestro infraestructura'!$A$2:$A$1051, A112,'Maestro infraestructura'!$X$2:$X$1051,B112,'Maestro infraestructura'!$Y$2:$Y$1051,C112,'Maestro infraestructura'!$V$2:$V$1051, "AL DÍA")</f>
        <v>0</v>
      </c>
      <c r="F112" s="41">
        <f t="shared" si="4"/>
        <v>1</v>
      </c>
      <c r="G112" s="42" t="str">
        <f t="shared" si="5"/>
        <v>✅ ÓPTIMO</v>
      </c>
      <c r="J112" s="44"/>
      <c r="K112" s="44"/>
      <c r="L112" s="44"/>
      <c r="M112" s="44"/>
      <c r="N112" s="44"/>
    </row>
    <row r="113" spans="1:14" x14ac:dyDescent="0.15">
      <c r="A113" s="43" t="s">
        <v>244</v>
      </c>
      <c r="B113" s="5" t="s">
        <v>277</v>
      </c>
      <c r="C113" s="18">
        <v>2</v>
      </c>
      <c r="D113" s="44">
        <f>COUNTIFS('Maestro infraestructura'!$A$2:$A$1052, A113,'Maestro infraestructura'!$X$2:$X$1052,B113,'Maestro infraestructura'!$Y$2:$Y$1052,C113)</f>
        <v>0</v>
      </c>
      <c r="E113" s="45">
        <f>COUNTIFS('Maestro infraestructura'!$A$2:$A$1051, A113,'Maestro infraestructura'!$X$2:$X$1051,B113,'Maestro infraestructura'!$Y$2:$Y$1051,C113,'Maestro infraestructura'!$V$2:$V$1051, "AL DÍA")</f>
        <v>0</v>
      </c>
      <c r="F113" s="46">
        <f t="shared" si="4"/>
        <v>1</v>
      </c>
      <c r="G113" s="47" t="str">
        <f t="shared" si="5"/>
        <v>✅ ÓPTIMO</v>
      </c>
      <c r="J113" s="44"/>
      <c r="K113" s="44"/>
      <c r="L113" s="44"/>
      <c r="M113" s="44"/>
      <c r="N113" s="44"/>
    </row>
    <row r="114" spans="1:14" x14ac:dyDescent="0.15">
      <c r="A114" s="43" t="s">
        <v>244</v>
      </c>
      <c r="B114" s="5" t="s">
        <v>277</v>
      </c>
      <c r="C114" s="18">
        <v>3</v>
      </c>
      <c r="D114" s="44">
        <f>COUNTIFS('Maestro infraestructura'!$A$2:$A$1052, A114,'Maestro infraestructura'!$X$2:$X$1052,B114,'Maestro infraestructura'!$Y$2:$Y$1052,C114)</f>
        <v>0</v>
      </c>
      <c r="E114" s="45">
        <f>COUNTIFS('Maestro infraestructura'!$A$2:$A$1051, A114,'Maestro infraestructura'!$X$2:$X$1051,B114,'Maestro infraestructura'!$Y$2:$Y$1051,C114,'Maestro infraestructura'!$V$2:$V$1051, "AL DÍA")</f>
        <v>0</v>
      </c>
      <c r="F114" s="46">
        <f t="shared" si="4"/>
        <v>1</v>
      </c>
      <c r="G114" s="47" t="str">
        <f t="shared" si="5"/>
        <v>✅ ÓPTIMO</v>
      </c>
      <c r="J114" s="44"/>
      <c r="K114" s="44"/>
      <c r="L114" s="44"/>
      <c r="M114" s="44"/>
      <c r="N114" s="44"/>
    </row>
    <row r="115" spans="1:14" x14ac:dyDescent="0.15">
      <c r="A115" s="55" t="s">
        <v>244</v>
      </c>
      <c r="B115" s="56" t="s">
        <v>267</v>
      </c>
      <c r="C115" s="57">
        <v>1</v>
      </c>
      <c r="D115" s="58">
        <f>COUNTIFS('Maestro infraestructura'!$A$2:$A$1052, A115,'Maestro infraestructura'!$X$2:$X$1052,B115,'Maestro infraestructura'!$Y$2:$Y$1052,C115)</f>
        <v>0</v>
      </c>
      <c r="E115" s="59">
        <f>COUNTIFS('Maestro infraestructura'!$A$2:$A$1051, A115,'Maestro infraestructura'!$X$2:$X$1051,B115,'Maestro infraestructura'!$Y$2:$Y$1051,C115,'Maestro infraestructura'!$V$2:$V$1051, "AL DÍA")</f>
        <v>0</v>
      </c>
      <c r="F115" s="60">
        <f t="shared" si="4"/>
        <v>1</v>
      </c>
      <c r="G115" s="61" t="str">
        <f t="shared" si="5"/>
        <v>✅ ÓPTIMO</v>
      </c>
      <c r="J115" s="44"/>
      <c r="K115" s="44"/>
      <c r="L115" s="44"/>
      <c r="M115" s="44"/>
      <c r="N115" s="44"/>
    </row>
    <row r="116" spans="1:14" x14ac:dyDescent="0.15">
      <c r="A116" s="43" t="s">
        <v>244</v>
      </c>
      <c r="B116" s="5" t="s">
        <v>267</v>
      </c>
      <c r="C116" s="18">
        <v>2</v>
      </c>
      <c r="D116" s="44">
        <f>COUNTIFS('Maestro infraestructura'!$A$2:$A$1052, A116,'Maestro infraestructura'!$X$2:$X$1052,B116,'Maestro infraestructura'!$Y$2:$Y$1052,C116)</f>
        <v>0</v>
      </c>
      <c r="E116" s="45">
        <f>COUNTIFS('Maestro infraestructura'!$A$2:$A$1051, A116,'Maestro infraestructura'!$X$2:$X$1051,B116,'Maestro infraestructura'!$Y$2:$Y$1051,C116,'Maestro infraestructura'!$V$2:$V$1051, "AL DÍA")</f>
        <v>0</v>
      </c>
      <c r="F116" s="46">
        <f t="shared" si="4"/>
        <v>1</v>
      </c>
      <c r="G116" s="47" t="str">
        <f t="shared" si="5"/>
        <v>✅ ÓPTIMO</v>
      </c>
      <c r="J116" s="44"/>
      <c r="K116" s="44"/>
      <c r="L116" s="44"/>
      <c r="M116" s="44"/>
      <c r="N116" s="44"/>
    </row>
    <row r="117" spans="1:14" x14ac:dyDescent="0.15">
      <c r="A117" s="43" t="s">
        <v>244</v>
      </c>
      <c r="B117" s="5" t="s">
        <v>267</v>
      </c>
      <c r="C117" s="18">
        <v>3</v>
      </c>
      <c r="D117" s="44">
        <f>COUNTIFS('Maestro infraestructura'!$A$2:$A$1052, A117,'Maestro infraestructura'!$X$2:$X$1052,B117,'Maestro infraestructura'!$Y$2:$Y$1052,C117)</f>
        <v>0</v>
      </c>
      <c r="E117" s="45">
        <f>COUNTIFS('Maestro infraestructura'!$A$2:$A$1051, A117,'Maestro infraestructura'!$X$2:$X$1051,B117,'Maestro infraestructura'!$Y$2:$Y$1051,C117,'Maestro infraestructura'!$V$2:$V$1051, "AL DÍA")</f>
        <v>0</v>
      </c>
      <c r="F117" s="46">
        <f t="shared" si="4"/>
        <v>1</v>
      </c>
      <c r="G117" s="47" t="str">
        <f t="shared" si="5"/>
        <v>✅ ÓPTIMO</v>
      </c>
      <c r="J117" s="44"/>
      <c r="K117" s="44"/>
      <c r="L117" s="44"/>
      <c r="M117" s="44"/>
      <c r="N117" s="44"/>
    </row>
    <row r="118" spans="1:14" x14ac:dyDescent="0.15">
      <c r="A118" s="55" t="s">
        <v>244</v>
      </c>
      <c r="B118" s="56" t="s">
        <v>271</v>
      </c>
      <c r="C118" s="57">
        <v>1</v>
      </c>
      <c r="D118" s="58">
        <f>COUNTIFS('Maestro infraestructura'!$A$2:$A$1052, A118,'Maestro infraestructura'!$X$2:$X$1052,B118,'Maestro infraestructura'!$Y$2:$Y$1052,C118)</f>
        <v>4</v>
      </c>
      <c r="E118" s="59">
        <f ca="1">COUNTIFS('Maestro infraestructura'!$A$2:$A$1051, A118,'Maestro infraestructura'!$X$2:$X$1051,B118,'Maestro infraestructura'!$Y$2:$Y$1051,C118,'Maestro infraestructura'!$V$2:$V$1051, "AL DÍA")</f>
        <v>4</v>
      </c>
      <c r="F118" s="60">
        <f t="shared" ca="1" si="4"/>
        <v>1</v>
      </c>
      <c r="G118" s="61" t="str">
        <f t="shared" ca="1" si="5"/>
        <v>✅ ÓPTIMO</v>
      </c>
      <c r="J118" s="44"/>
      <c r="K118" s="44"/>
      <c r="L118" s="44"/>
      <c r="M118" s="44"/>
      <c r="N118" s="44"/>
    </row>
    <row r="119" spans="1:14" x14ac:dyDescent="0.15">
      <c r="A119" s="43" t="s">
        <v>244</v>
      </c>
      <c r="B119" s="5" t="s">
        <v>271</v>
      </c>
      <c r="C119" s="18">
        <v>2</v>
      </c>
      <c r="D119" s="44">
        <f>COUNTIFS('Maestro infraestructura'!$A$2:$A$1052, A119,'Maestro infraestructura'!$X$2:$X$1052,B119,'Maestro infraestructura'!$Y$2:$Y$1052,C119)</f>
        <v>0</v>
      </c>
      <c r="E119" s="45">
        <f>COUNTIFS('Maestro infraestructura'!$A$2:$A$1051, A119,'Maestro infraestructura'!$X$2:$X$1051,B119,'Maestro infraestructura'!$Y$2:$Y$1051,C119,'Maestro infraestructura'!$V$2:$V$1051, "AL DÍA")</f>
        <v>0</v>
      </c>
      <c r="F119" s="46">
        <f t="shared" si="4"/>
        <v>1</v>
      </c>
      <c r="G119" s="47" t="str">
        <f t="shared" si="5"/>
        <v>✅ ÓPTIMO</v>
      </c>
      <c r="J119" s="44"/>
      <c r="K119" s="44"/>
      <c r="L119" s="44"/>
      <c r="M119" s="44"/>
      <c r="N119" s="44"/>
    </row>
    <row r="120" spans="1:14" x14ac:dyDescent="0.15">
      <c r="A120" s="43" t="s">
        <v>244</v>
      </c>
      <c r="B120" s="5" t="s">
        <v>271</v>
      </c>
      <c r="C120" s="18">
        <v>3</v>
      </c>
      <c r="D120" s="44">
        <f>COUNTIFS('Maestro infraestructura'!$A$2:$A$1052, A120,'Maestro infraestructura'!$X$2:$X$1052,B120,'Maestro infraestructura'!$Y$2:$Y$1052,C120)</f>
        <v>0</v>
      </c>
      <c r="E120" s="45">
        <f>COUNTIFS('Maestro infraestructura'!$A$2:$A$1051, A120,'Maestro infraestructura'!$X$2:$X$1051,B120,'Maestro infraestructura'!$Y$2:$Y$1051,C120,'Maestro infraestructura'!$V$2:$V$1051, "AL DÍA")</f>
        <v>0</v>
      </c>
      <c r="F120" s="46">
        <f t="shared" si="4"/>
        <v>1</v>
      </c>
      <c r="G120" s="47" t="str">
        <f t="shared" si="5"/>
        <v>✅ ÓPTIMO</v>
      </c>
      <c r="J120" s="44"/>
      <c r="K120" s="44"/>
      <c r="L120" s="44"/>
      <c r="M120" s="44"/>
      <c r="N120" s="44"/>
    </row>
    <row r="121" spans="1:14" x14ac:dyDescent="0.15">
      <c r="A121" s="55" t="s">
        <v>244</v>
      </c>
      <c r="B121" s="56" t="s">
        <v>262</v>
      </c>
      <c r="C121" s="57">
        <v>1</v>
      </c>
      <c r="D121" s="58">
        <f>COUNTIFS('Maestro infraestructura'!$A$2:$A$1052, A121,'Maestro infraestructura'!$X$2:$X$1052,B121,'Maestro infraestructura'!$Y$2:$Y$1052,C121)</f>
        <v>0</v>
      </c>
      <c r="E121" s="59">
        <f>COUNTIFS('Maestro infraestructura'!$A$2:$A$1051, A121,'Maestro infraestructura'!$X$2:$X$1051,B121,'Maestro infraestructura'!$Y$2:$Y$1051,C121,'Maestro infraestructura'!$V$2:$V$1051, "AL DÍA")</f>
        <v>0</v>
      </c>
      <c r="F121" s="60">
        <f t="shared" si="4"/>
        <v>1</v>
      </c>
      <c r="G121" s="61" t="str">
        <f t="shared" si="5"/>
        <v>✅ ÓPTIMO</v>
      </c>
      <c r="J121" s="44"/>
      <c r="K121" s="44"/>
      <c r="L121" s="44"/>
      <c r="M121" s="44"/>
      <c r="N121" s="44"/>
    </row>
    <row r="122" spans="1:14" x14ac:dyDescent="0.15">
      <c r="A122" s="43" t="s">
        <v>244</v>
      </c>
      <c r="B122" s="5" t="s">
        <v>262</v>
      </c>
      <c r="C122" s="18">
        <v>2</v>
      </c>
      <c r="D122" s="44">
        <f>COUNTIFS('Maestro infraestructura'!$A$2:$A$1052, A122,'Maestro infraestructura'!$X$2:$X$1052,B122,'Maestro infraestructura'!$Y$2:$Y$1052,C122)</f>
        <v>0</v>
      </c>
      <c r="E122" s="45">
        <f>COUNTIFS('Maestro infraestructura'!$A$2:$A$1051, A122,'Maestro infraestructura'!$X$2:$X$1051,B122,'Maestro infraestructura'!$Y$2:$Y$1051,C122,'Maestro infraestructura'!$V$2:$V$1051, "AL DÍA")</f>
        <v>0</v>
      </c>
      <c r="F122" s="46">
        <f t="shared" si="4"/>
        <v>1</v>
      </c>
      <c r="G122" s="47" t="str">
        <f t="shared" si="5"/>
        <v>✅ ÓPTIMO</v>
      </c>
      <c r="J122" s="44"/>
      <c r="K122" s="44"/>
      <c r="L122" s="44"/>
      <c r="M122" s="44"/>
      <c r="N122" s="44"/>
    </row>
    <row r="123" spans="1:14" ht="15" thickBot="1" x14ac:dyDescent="0.2">
      <c r="A123" s="48" t="s">
        <v>244</v>
      </c>
      <c r="B123" s="49" t="s">
        <v>262</v>
      </c>
      <c r="C123" s="50">
        <v>3</v>
      </c>
      <c r="D123" s="51">
        <f>COUNTIFS('Maestro infraestructura'!$A$2:$A$1052, A123,'Maestro infraestructura'!$X$2:$X$1052,B123,'Maestro infraestructura'!$Y$2:$Y$1052,C123)</f>
        <v>0</v>
      </c>
      <c r="E123" s="52">
        <f>COUNTIFS('Maestro infraestructura'!$A$2:$A$1051, A123,'Maestro infraestructura'!$X$2:$X$1051,B123,'Maestro infraestructura'!$Y$2:$Y$1051,C123,'Maestro infraestructura'!$V$2:$V$1051, "AL DÍA")</f>
        <v>0</v>
      </c>
      <c r="F123" s="53">
        <f t="shared" si="4"/>
        <v>1</v>
      </c>
      <c r="G123" s="54" t="str">
        <f t="shared" si="5"/>
        <v>✅ ÓPTIMO</v>
      </c>
      <c r="J123" s="44"/>
      <c r="K123" s="44"/>
      <c r="L123" s="44"/>
      <c r="M123" s="44"/>
      <c r="N123" s="44"/>
    </row>
    <row r="124" spans="1:14" x14ac:dyDescent="0.15">
      <c r="D124" s="74">
        <f>SUM(D4:D123)</f>
        <v>1051</v>
      </c>
      <c r="E124" s="74">
        <f ca="1">SUM(E4:E123)</f>
        <v>1001</v>
      </c>
      <c r="F124" s="75">
        <f ca="1">+E124/D124</f>
        <v>0.95242626070409131</v>
      </c>
      <c r="G124" s="18" t="str">
        <f t="shared" ca="1" si="5"/>
        <v>⚠️ PRECAUCIÓN</v>
      </c>
      <c r="J124" s="74">
        <f>SUM(J4:J123)</f>
        <v>1051</v>
      </c>
      <c r="K124" s="74"/>
      <c r="L124" s="74"/>
      <c r="M124" s="74"/>
      <c r="N124" s="74"/>
    </row>
  </sheetData>
  <autoFilter ref="A3:N3" xr:uid="{00000000-0009-0000-0000-000000000000}"/>
  <conditionalFormatting sqref="F4:F123">
    <cfRule type="cellIs" dxfId="13" priority="4" operator="greaterThanOrEqual">
      <formula>1</formula>
    </cfRule>
    <cfRule type="cellIs" dxfId="12" priority="5" operator="between">
      <formula>0.99</formula>
      <formula>0.8</formula>
    </cfRule>
    <cfRule type="cellIs" dxfId="11" priority="6" operator="lessThan">
      <formula>0.7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92D050"/>
  </sheetPr>
  <dimension ref="A1:AF1058"/>
  <sheetViews>
    <sheetView zoomScale="137" zoomScaleNormal="85" workbookViewId="0">
      <pane xSplit="6" ySplit="1" topLeftCell="S811" activePane="bottomRight" state="frozen"/>
      <selection pane="bottomLeft" activeCell="A2" sqref="A2"/>
      <selection pane="topRight" activeCell="F1" sqref="F1"/>
      <selection pane="bottomRight" activeCell="T811" sqref="T811"/>
    </sheetView>
  </sheetViews>
  <sheetFormatPr defaultColWidth="14.390625" defaultRowHeight="15" customHeight="1" x14ac:dyDescent="0.15"/>
  <cols>
    <col min="1" max="1" width="9.14453125" style="24" customWidth="1"/>
    <col min="2" max="2" width="7.3984375" style="24" customWidth="1"/>
    <col min="3" max="3" width="11.296875" style="24" customWidth="1"/>
    <col min="4" max="5" width="7.80078125" style="24" customWidth="1"/>
    <col min="6" max="6" width="26.36328125" style="24" customWidth="1"/>
    <col min="7" max="7" width="10.4921875" style="21" customWidth="1"/>
    <col min="8" max="10" width="9.4140625" style="21" customWidth="1"/>
    <col min="11" max="11" width="24.75" style="25" customWidth="1"/>
    <col min="12" max="13" width="16.140625" style="25" customWidth="1"/>
    <col min="14" max="14" width="22.1953125" style="25" customWidth="1"/>
    <col min="15" max="15" width="16.41015625" style="25" customWidth="1"/>
    <col min="16" max="16" width="16.140625" style="25" customWidth="1"/>
    <col min="17" max="17" width="16.140625" style="32" customWidth="1"/>
    <col min="18" max="18" width="29.86328125" style="25" customWidth="1"/>
    <col min="19" max="19" width="16.140625" style="25" customWidth="1"/>
    <col min="20" max="20" width="15.6015625" style="25" customWidth="1"/>
    <col min="21" max="21" width="14.796875" style="25" bestFit="1" customWidth="1"/>
    <col min="22" max="22" width="15.6015625" style="25" customWidth="1"/>
    <col min="23" max="23" width="21.5234375" style="25" customWidth="1"/>
    <col min="24" max="24" width="16.41015625" style="25" customWidth="1"/>
    <col min="25" max="25" width="11.56640625" style="32" customWidth="1"/>
    <col min="26" max="26" width="80.84765625" style="1" bestFit="1" customWidth="1"/>
    <col min="27" max="32" width="8.875" style="1" customWidth="1"/>
    <col min="33" max="16384" width="14.390625" style="1"/>
  </cols>
  <sheetData>
    <row r="1" spans="1:32" s="14" customFormat="1" ht="40.5" customHeight="1" x14ac:dyDescent="0.15">
      <c r="A1" s="17" t="s">
        <v>261</v>
      </c>
      <c r="B1" s="17" t="s">
        <v>0</v>
      </c>
      <c r="C1" s="17" t="s">
        <v>253</v>
      </c>
      <c r="D1" s="17" t="s">
        <v>1</v>
      </c>
      <c r="E1" s="17" t="s">
        <v>448</v>
      </c>
      <c r="F1" s="17" t="s">
        <v>2</v>
      </c>
      <c r="G1" s="22" t="s">
        <v>3</v>
      </c>
      <c r="H1" s="22" t="s">
        <v>4</v>
      </c>
      <c r="I1" s="22" t="s">
        <v>372</v>
      </c>
      <c r="J1" s="22" t="s">
        <v>192</v>
      </c>
      <c r="K1" s="17" t="s">
        <v>444</v>
      </c>
      <c r="L1" s="17" t="s">
        <v>6</v>
      </c>
      <c r="M1" s="17" t="s">
        <v>7</v>
      </c>
      <c r="N1" s="17" t="s">
        <v>8</v>
      </c>
      <c r="O1" s="15" t="s">
        <v>9</v>
      </c>
      <c r="P1" s="15" t="s">
        <v>10</v>
      </c>
      <c r="Q1" s="23" t="s">
        <v>191</v>
      </c>
      <c r="R1" s="17" t="s">
        <v>11</v>
      </c>
      <c r="S1" s="15" t="s">
        <v>12</v>
      </c>
      <c r="T1" s="15" t="s">
        <v>13</v>
      </c>
      <c r="U1" s="15" t="s">
        <v>193</v>
      </c>
      <c r="V1" s="15" t="s">
        <v>192</v>
      </c>
      <c r="W1" s="15" t="s">
        <v>14</v>
      </c>
      <c r="X1" s="15" t="s">
        <v>297</v>
      </c>
      <c r="Y1" s="35" t="s">
        <v>254</v>
      </c>
      <c r="Z1" s="17" t="s">
        <v>255</v>
      </c>
      <c r="AA1" s="25"/>
      <c r="AB1" s="25"/>
      <c r="AC1" s="25"/>
      <c r="AD1" s="25"/>
      <c r="AE1" s="25"/>
      <c r="AF1" s="25"/>
    </row>
    <row r="2" spans="1:32" ht="14.25" hidden="1" customHeight="1" x14ac:dyDescent="0.15">
      <c r="A2" s="24" t="s">
        <v>122</v>
      </c>
      <c r="B2" s="24" t="s">
        <v>88</v>
      </c>
      <c r="C2" s="25" t="s">
        <v>124</v>
      </c>
      <c r="D2" s="24" t="s">
        <v>16</v>
      </c>
      <c r="E2" s="24" t="s">
        <v>451</v>
      </c>
      <c r="F2" s="24" t="s">
        <v>123</v>
      </c>
      <c r="G2" s="21">
        <v>2026</v>
      </c>
      <c r="H2" s="21">
        <v>15</v>
      </c>
      <c r="I2" s="21">
        <f t="shared" ref="I2:I65" ca="1" si="0">YEAR(TODAY())-G2</f>
        <v>0</v>
      </c>
      <c r="J2" s="21">
        <v>3</v>
      </c>
      <c r="K2" s="25" t="str">
        <f t="shared" ref="K2:K65" ca="1" si="1">IF(J2=1,"Cambiar",IF(J2=2,"Presupuestar",IF(H2=0,"Activo",IF(G2+H2&lt;YEAR(TODAY()),"Cambiar o Inspección externa",IF(G2+H2-1&lt;YEAR(TODAY()),"Presupuestar","Activo")))))</f>
        <v>Activo</v>
      </c>
      <c r="L2" s="25" t="s">
        <v>195</v>
      </c>
      <c r="M2" s="25" t="s">
        <v>196</v>
      </c>
      <c r="O2" s="25" t="s">
        <v>197</v>
      </c>
      <c r="P2" s="26" t="s">
        <v>22</v>
      </c>
      <c r="Q2" s="34">
        <v>365</v>
      </c>
      <c r="R2" s="25" t="s">
        <v>23</v>
      </c>
      <c r="S2" s="28">
        <v>46146</v>
      </c>
      <c r="T2" s="28">
        <f t="shared" ref="T2:T65" si="2">+S2+Q2</f>
        <v>46511</v>
      </c>
      <c r="U2" s="25">
        <f t="shared" ref="U2:U65" ca="1" si="3">T2-TODAY()</f>
        <v>250</v>
      </c>
      <c r="V2" s="25" t="str">
        <f t="shared" ref="V2:V65" ca="1" si="4">IF(U2&lt;0, "VENCIDO", "AL DÍA")</f>
        <v>AL DÍA</v>
      </c>
      <c r="W2" s="25" t="s">
        <v>24</v>
      </c>
      <c r="X2" s="25" t="s">
        <v>271</v>
      </c>
      <c r="Y2" s="25">
        <v>2</v>
      </c>
      <c r="Z2" s="1" t="s">
        <v>25</v>
      </c>
    </row>
    <row r="3" spans="1:32" ht="14.25" hidden="1" customHeight="1" x14ac:dyDescent="0.15">
      <c r="A3" s="24" t="s">
        <v>122</v>
      </c>
      <c r="B3" s="24" t="s">
        <v>88</v>
      </c>
      <c r="C3" s="25" t="s">
        <v>198</v>
      </c>
      <c r="D3" s="24" t="s">
        <v>65</v>
      </c>
      <c r="F3" s="24" t="s">
        <v>125</v>
      </c>
      <c r="G3" s="21">
        <v>2023</v>
      </c>
      <c r="H3" s="21">
        <v>20</v>
      </c>
      <c r="I3" s="21">
        <f t="shared" ca="1" si="0"/>
        <v>3</v>
      </c>
      <c r="J3" s="21">
        <v>3</v>
      </c>
      <c r="K3" s="25" t="str">
        <f t="shared" ca="1" si="1"/>
        <v>Activo</v>
      </c>
      <c r="L3" s="25" t="s">
        <v>49</v>
      </c>
      <c r="M3" s="25" t="s">
        <v>49</v>
      </c>
      <c r="N3" s="25" t="s">
        <v>49</v>
      </c>
      <c r="P3" s="26" t="s">
        <v>22</v>
      </c>
      <c r="Q3" s="34">
        <v>365</v>
      </c>
      <c r="R3" s="25" t="s">
        <v>69</v>
      </c>
      <c r="S3" s="28">
        <v>46073</v>
      </c>
      <c r="T3" s="28">
        <f t="shared" si="2"/>
        <v>46438</v>
      </c>
      <c r="U3" s="25">
        <f t="shared" ca="1" si="3"/>
        <v>177</v>
      </c>
      <c r="V3" s="25" t="str">
        <f t="shared" ca="1" si="4"/>
        <v>AL DÍA</v>
      </c>
      <c r="W3" s="25" t="s">
        <v>24</v>
      </c>
      <c r="X3" s="25" t="s">
        <v>262</v>
      </c>
      <c r="Y3" s="25">
        <v>1</v>
      </c>
      <c r="Z3" s="1" t="s">
        <v>266</v>
      </c>
    </row>
    <row r="4" spans="1:32" ht="14.25" hidden="1" customHeight="1" x14ac:dyDescent="0.15">
      <c r="A4" s="24" t="s">
        <v>122</v>
      </c>
      <c r="B4" s="24" t="s">
        <v>88</v>
      </c>
      <c r="C4" s="25" t="s">
        <v>198</v>
      </c>
      <c r="D4" s="24" t="s">
        <v>16</v>
      </c>
      <c r="E4" s="24" t="s">
        <v>453</v>
      </c>
      <c r="F4" s="24" t="s">
        <v>63</v>
      </c>
      <c r="G4" s="21">
        <v>2018</v>
      </c>
      <c r="H4" s="21">
        <v>40</v>
      </c>
      <c r="I4" s="21">
        <f t="shared" ca="1" si="0"/>
        <v>8</v>
      </c>
      <c r="J4" s="21">
        <v>3</v>
      </c>
      <c r="K4" s="25" t="str">
        <f t="shared" ca="1" si="1"/>
        <v>Activo</v>
      </c>
      <c r="L4" s="25" t="s">
        <v>49</v>
      </c>
      <c r="M4" s="25" t="s">
        <v>49</v>
      </c>
      <c r="N4" s="25" t="s">
        <v>49</v>
      </c>
      <c r="P4" s="26" t="s">
        <v>22</v>
      </c>
      <c r="Q4" s="34">
        <v>365</v>
      </c>
      <c r="R4" s="25" t="s">
        <v>64</v>
      </c>
      <c r="S4" s="28">
        <v>46037</v>
      </c>
      <c r="T4" s="28">
        <f t="shared" si="2"/>
        <v>46402</v>
      </c>
      <c r="U4" s="25">
        <f t="shared" ca="1" si="3"/>
        <v>141</v>
      </c>
      <c r="V4" s="25" t="str">
        <f t="shared" ca="1" si="4"/>
        <v>AL DÍA</v>
      </c>
      <c r="W4" s="25" t="s">
        <v>24</v>
      </c>
      <c r="X4" s="25" t="s">
        <v>277</v>
      </c>
      <c r="Y4" s="25">
        <v>1</v>
      </c>
      <c r="Z4" s="1" t="s">
        <v>284</v>
      </c>
    </row>
    <row r="5" spans="1:32" ht="14.25" hidden="1" customHeight="1" x14ac:dyDescent="0.15">
      <c r="A5" s="24" t="s">
        <v>122</v>
      </c>
      <c r="B5" s="24" t="s">
        <v>88</v>
      </c>
      <c r="C5" s="25" t="s">
        <v>127</v>
      </c>
      <c r="D5" s="24" t="s">
        <v>16</v>
      </c>
      <c r="E5" s="24" t="s">
        <v>453</v>
      </c>
      <c r="F5" s="24" t="s">
        <v>126</v>
      </c>
      <c r="G5" s="21">
        <v>2018</v>
      </c>
      <c r="H5" s="21">
        <v>40</v>
      </c>
      <c r="I5" s="21">
        <f t="shared" ca="1" si="0"/>
        <v>8</v>
      </c>
      <c r="J5" s="21">
        <v>3</v>
      </c>
      <c r="K5" s="25" t="str">
        <f t="shared" ca="1" si="1"/>
        <v>Activo</v>
      </c>
      <c r="L5" s="25" t="s">
        <v>49</v>
      </c>
      <c r="M5" s="25" t="s">
        <v>49</v>
      </c>
      <c r="N5" s="25" t="s">
        <v>49</v>
      </c>
      <c r="P5" s="26" t="s">
        <v>22</v>
      </c>
      <c r="Q5" s="34">
        <v>365</v>
      </c>
      <c r="R5" s="25" t="s">
        <v>64</v>
      </c>
      <c r="S5" s="28">
        <v>46037</v>
      </c>
      <c r="T5" s="28">
        <f t="shared" si="2"/>
        <v>46402</v>
      </c>
      <c r="U5" s="25">
        <f t="shared" ca="1" si="3"/>
        <v>141</v>
      </c>
      <c r="V5" s="25" t="str">
        <f t="shared" ca="1" si="4"/>
        <v>AL DÍA</v>
      </c>
      <c r="W5" s="25" t="s">
        <v>24</v>
      </c>
      <c r="X5" s="25" t="s">
        <v>271</v>
      </c>
      <c r="Y5" s="25">
        <v>2</v>
      </c>
      <c r="Z5" s="1" t="s">
        <v>283</v>
      </c>
    </row>
    <row r="6" spans="1:32" ht="14.25" hidden="1" customHeight="1" x14ac:dyDescent="0.15">
      <c r="A6" s="24" t="s">
        <v>122</v>
      </c>
      <c r="B6" s="24" t="s">
        <v>88</v>
      </c>
      <c r="C6" s="25" t="s">
        <v>88</v>
      </c>
      <c r="D6" s="24" t="s">
        <v>65</v>
      </c>
      <c r="F6" s="24" t="s">
        <v>84</v>
      </c>
      <c r="G6" s="21">
        <v>2000</v>
      </c>
      <c r="H6" s="21">
        <v>0</v>
      </c>
      <c r="I6" s="21">
        <f t="shared" ca="1" si="0"/>
        <v>26</v>
      </c>
      <c r="J6" s="21">
        <v>3</v>
      </c>
      <c r="K6" s="25" t="str">
        <f t="shared" ca="1" si="1"/>
        <v>Activo</v>
      </c>
      <c r="L6" s="25" t="s">
        <v>49</v>
      </c>
      <c r="M6" s="25" t="s">
        <v>49</v>
      </c>
      <c r="N6" s="25" t="s">
        <v>49</v>
      </c>
      <c r="P6" s="26" t="s">
        <v>85</v>
      </c>
      <c r="Q6" s="34">
        <f>365*2</f>
        <v>730</v>
      </c>
      <c r="R6" s="25" t="s">
        <v>69</v>
      </c>
      <c r="S6" s="28">
        <v>45840</v>
      </c>
      <c r="T6" s="28">
        <f t="shared" si="2"/>
        <v>46570</v>
      </c>
      <c r="U6" s="25">
        <f t="shared" ca="1" si="3"/>
        <v>309</v>
      </c>
      <c r="V6" s="25" t="str">
        <f t="shared" ca="1" si="4"/>
        <v>AL DÍA</v>
      </c>
      <c r="W6" s="25" t="s">
        <v>24</v>
      </c>
      <c r="X6" s="25" t="s">
        <v>262</v>
      </c>
      <c r="Y6" s="25">
        <v>3</v>
      </c>
    </row>
    <row r="7" spans="1:32" ht="14.25" hidden="1" customHeight="1" x14ac:dyDescent="0.15">
      <c r="A7" s="24" t="s">
        <v>122</v>
      </c>
      <c r="B7" s="24" t="s">
        <v>88</v>
      </c>
      <c r="C7" s="25" t="s">
        <v>88</v>
      </c>
      <c r="D7" s="24" t="s">
        <v>65</v>
      </c>
      <c r="F7" s="24" t="s">
        <v>86</v>
      </c>
      <c r="G7" s="21">
        <v>2000</v>
      </c>
      <c r="H7" s="21">
        <v>0</v>
      </c>
      <c r="I7" s="21">
        <f t="shared" ca="1" si="0"/>
        <v>26</v>
      </c>
      <c r="J7" s="21">
        <v>3</v>
      </c>
      <c r="K7" s="25" t="str">
        <f t="shared" ca="1" si="1"/>
        <v>Activo</v>
      </c>
      <c r="L7" s="25" t="s">
        <v>49</v>
      </c>
      <c r="M7" s="25" t="s">
        <v>49</v>
      </c>
      <c r="N7" s="25" t="s">
        <v>49</v>
      </c>
      <c r="P7" s="26" t="s">
        <v>87</v>
      </c>
      <c r="Q7" s="34">
        <f>5*365</f>
        <v>1825</v>
      </c>
      <c r="R7" s="25" t="s">
        <v>69</v>
      </c>
      <c r="S7" s="28">
        <v>45301</v>
      </c>
      <c r="T7" s="28">
        <f t="shared" si="2"/>
        <v>47126</v>
      </c>
      <c r="U7" s="25">
        <f t="shared" ca="1" si="3"/>
        <v>865</v>
      </c>
      <c r="V7" s="25" t="str">
        <f t="shared" ca="1" si="4"/>
        <v>AL DÍA</v>
      </c>
      <c r="W7" s="25" t="s">
        <v>24</v>
      </c>
      <c r="X7" s="25" t="s">
        <v>262</v>
      </c>
      <c r="Y7" s="25">
        <v>1</v>
      </c>
      <c r="Z7" s="1" t="s">
        <v>113</v>
      </c>
    </row>
    <row r="8" spans="1:32" ht="14.25" hidden="1" customHeight="1" x14ac:dyDescent="0.15">
      <c r="A8" s="24" t="s">
        <v>122</v>
      </c>
      <c r="B8" s="24" t="s">
        <v>88</v>
      </c>
      <c r="C8" s="25" t="s">
        <v>100</v>
      </c>
      <c r="D8" s="24" t="s">
        <v>65</v>
      </c>
      <c r="F8" s="24" t="s">
        <v>459</v>
      </c>
      <c r="G8" s="21">
        <v>2000</v>
      </c>
      <c r="H8" s="21">
        <v>25</v>
      </c>
      <c r="I8" s="21">
        <f t="shared" ca="1" si="0"/>
        <v>26</v>
      </c>
      <c r="J8" s="21">
        <v>3</v>
      </c>
      <c r="K8" s="25" t="str">
        <f t="shared" ca="1" si="1"/>
        <v>Cambiar o Inspección externa</v>
      </c>
      <c r="L8" s="25" t="s">
        <v>49</v>
      </c>
      <c r="M8" s="25" t="s">
        <v>49</v>
      </c>
      <c r="N8" s="25" t="s">
        <v>49</v>
      </c>
      <c r="P8" s="26" t="s">
        <v>81</v>
      </c>
      <c r="Q8" s="34">
        <f>365*3.5</f>
        <v>1277.5</v>
      </c>
      <c r="R8" s="25" t="s">
        <v>69</v>
      </c>
      <c r="S8" s="28">
        <v>45672</v>
      </c>
      <c r="T8" s="28">
        <f t="shared" si="2"/>
        <v>46949.5</v>
      </c>
      <c r="U8" s="25">
        <f t="shared" ca="1" si="3"/>
        <v>688.5</v>
      </c>
      <c r="V8" s="25" t="str">
        <f t="shared" ca="1" si="4"/>
        <v>AL DÍA</v>
      </c>
      <c r="W8" s="25" t="s">
        <v>24</v>
      </c>
      <c r="X8" s="25" t="s">
        <v>277</v>
      </c>
      <c r="Y8" s="25">
        <v>1</v>
      </c>
      <c r="Z8" s="1" t="s">
        <v>368</v>
      </c>
    </row>
    <row r="9" spans="1:32" ht="14.25" hidden="1" customHeight="1" x14ac:dyDescent="0.15">
      <c r="A9" s="24" t="s">
        <v>122</v>
      </c>
      <c r="B9" s="24" t="s">
        <v>88</v>
      </c>
      <c r="C9" s="25" t="s">
        <v>132</v>
      </c>
      <c r="D9" s="24" t="s">
        <v>16</v>
      </c>
      <c r="F9" s="24" t="s">
        <v>131</v>
      </c>
      <c r="G9" s="21">
        <v>2024</v>
      </c>
      <c r="H9" s="21">
        <v>10</v>
      </c>
      <c r="I9" s="21">
        <f t="shared" ca="1" si="0"/>
        <v>2</v>
      </c>
      <c r="J9" s="21">
        <v>3</v>
      </c>
      <c r="K9" s="25" t="str">
        <f t="shared" ca="1" si="1"/>
        <v>Activo</v>
      </c>
      <c r="P9" s="26" t="s">
        <v>133</v>
      </c>
      <c r="Q9" s="34">
        <v>365</v>
      </c>
      <c r="R9" s="25" t="s">
        <v>199</v>
      </c>
      <c r="S9" s="29">
        <v>46157</v>
      </c>
      <c r="T9" s="28">
        <f t="shared" si="2"/>
        <v>46522</v>
      </c>
      <c r="U9" s="25">
        <f t="shared" ca="1" si="3"/>
        <v>261</v>
      </c>
      <c r="V9" s="25" t="str">
        <f t="shared" ca="1" si="4"/>
        <v>AL DÍA</v>
      </c>
      <c r="W9" s="25" t="s">
        <v>24</v>
      </c>
      <c r="X9" s="25" t="s">
        <v>271</v>
      </c>
      <c r="Y9" s="25">
        <v>2</v>
      </c>
      <c r="Z9" s="1" t="s">
        <v>134</v>
      </c>
    </row>
    <row r="10" spans="1:32" ht="14.25" hidden="1" customHeight="1" x14ac:dyDescent="0.15">
      <c r="A10" s="24" t="s">
        <v>122</v>
      </c>
      <c r="B10" s="24" t="s">
        <v>88</v>
      </c>
      <c r="C10" s="25" t="s">
        <v>132</v>
      </c>
      <c r="D10" s="24" t="s">
        <v>16</v>
      </c>
      <c r="F10" s="24" t="s">
        <v>189</v>
      </c>
      <c r="G10" s="21">
        <v>2026</v>
      </c>
      <c r="H10" s="21">
        <v>10</v>
      </c>
      <c r="I10" s="21">
        <f t="shared" ca="1" si="0"/>
        <v>0</v>
      </c>
      <c r="J10" s="21">
        <v>3</v>
      </c>
      <c r="K10" s="25" t="str">
        <f t="shared" ca="1" si="1"/>
        <v>Activo</v>
      </c>
      <c r="P10" s="26" t="s">
        <v>133</v>
      </c>
      <c r="Q10" s="34">
        <v>365</v>
      </c>
      <c r="R10" s="25" t="s">
        <v>199</v>
      </c>
      <c r="S10" s="29">
        <v>46157</v>
      </c>
      <c r="T10" s="28">
        <f t="shared" si="2"/>
        <v>46522</v>
      </c>
      <c r="U10" s="25">
        <f t="shared" ca="1" si="3"/>
        <v>261</v>
      </c>
      <c r="V10" s="25" t="str">
        <f t="shared" ca="1" si="4"/>
        <v>AL DÍA</v>
      </c>
      <c r="W10" s="25" t="s">
        <v>24</v>
      </c>
      <c r="X10" s="25" t="s">
        <v>271</v>
      </c>
      <c r="Y10" s="25">
        <v>2</v>
      </c>
      <c r="Z10" s="1" t="s">
        <v>457</v>
      </c>
    </row>
    <row r="11" spans="1:32" ht="14.25" hidden="1" customHeight="1" x14ac:dyDescent="0.15">
      <c r="A11" s="24" t="s">
        <v>122</v>
      </c>
      <c r="B11" s="24" t="s">
        <v>88</v>
      </c>
      <c r="C11" s="25" t="s">
        <v>132</v>
      </c>
      <c r="D11" s="24" t="s">
        <v>16</v>
      </c>
      <c r="F11" s="24" t="s">
        <v>190</v>
      </c>
      <c r="G11" s="21">
        <v>2024</v>
      </c>
      <c r="H11" s="21">
        <v>10</v>
      </c>
      <c r="I11" s="21">
        <f t="shared" ca="1" si="0"/>
        <v>2</v>
      </c>
      <c r="J11" s="21">
        <v>3</v>
      </c>
      <c r="K11" s="25" t="str">
        <f t="shared" ca="1" si="1"/>
        <v>Activo</v>
      </c>
      <c r="P11" s="26" t="s">
        <v>133</v>
      </c>
      <c r="Q11" s="34">
        <v>365</v>
      </c>
      <c r="R11" s="25" t="s">
        <v>199</v>
      </c>
      <c r="S11" s="29">
        <v>46157</v>
      </c>
      <c r="T11" s="28">
        <f t="shared" si="2"/>
        <v>46522</v>
      </c>
      <c r="U11" s="25">
        <f t="shared" ca="1" si="3"/>
        <v>261</v>
      </c>
      <c r="V11" s="25" t="str">
        <f t="shared" ca="1" si="4"/>
        <v>AL DÍA</v>
      </c>
      <c r="W11" s="26" t="s">
        <v>24</v>
      </c>
      <c r="X11" s="25" t="s">
        <v>271</v>
      </c>
      <c r="Y11" s="25">
        <v>2</v>
      </c>
      <c r="Z11" s="1" t="s">
        <v>275</v>
      </c>
    </row>
    <row r="12" spans="1:32" ht="14.25" hidden="1" customHeight="1" x14ac:dyDescent="0.15">
      <c r="A12" s="24" t="s">
        <v>122</v>
      </c>
      <c r="B12" s="24" t="s">
        <v>88</v>
      </c>
      <c r="C12" s="25" t="s">
        <v>132</v>
      </c>
      <c r="D12" s="24" t="s">
        <v>16</v>
      </c>
      <c r="F12" s="24" t="s">
        <v>135</v>
      </c>
      <c r="G12" s="21">
        <v>2000</v>
      </c>
      <c r="H12" s="21">
        <v>30</v>
      </c>
      <c r="I12" s="21">
        <f t="shared" ca="1" si="0"/>
        <v>26</v>
      </c>
      <c r="J12" s="21">
        <v>3</v>
      </c>
      <c r="K12" s="25" t="str">
        <f t="shared" ca="1" si="1"/>
        <v>Activo</v>
      </c>
      <c r="P12" s="26" t="s">
        <v>133</v>
      </c>
      <c r="Q12" s="34">
        <v>365</v>
      </c>
      <c r="R12" s="25" t="s">
        <v>199</v>
      </c>
      <c r="S12" s="31">
        <v>46157</v>
      </c>
      <c r="T12" s="28">
        <f t="shared" si="2"/>
        <v>46522</v>
      </c>
      <c r="U12" s="25">
        <f t="shared" ca="1" si="3"/>
        <v>261</v>
      </c>
      <c r="V12" s="25" t="str">
        <f t="shared" ca="1" si="4"/>
        <v>AL DÍA</v>
      </c>
      <c r="W12" s="26" t="s">
        <v>24</v>
      </c>
      <c r="X12" s="25" t="s">
        <v>271</v>
      </c>
      <c r="Y12" s="25">
        <v>2</v>
      </c>
      <c r="Z12" s="1" t="s">
        <v>273</v>
      </c>
    </row>
    <row r="13" spans="1:32" ht="14.25" hidden="1" customHeight="1" x14ac:dyDescent="0.15">
      <c r="A13" s="24" t="s">
        <v>122</v>
      </c>
      <c r="B13" s="24" t="s">
        <v>363</v>
      </c>
      <c r="C13" s="25" t="s">
        <v>432</v>
      </c>
      <c r="D13" s="24" t="s">
        <v>16</v>
      </c>
      <c r="E13" s="24" t="s">
        <v>453</v>
      </c>
      <c r="F13" s="24" t="s">
        <v>126</v>
      </c>
      <c r="G13" s="21">
        <v>2000</v>
      </c>
      <c r="H13" s="21">
        <v>40</v>
      </c>
      <c r="I13" s="21">
        <f t="shared" ca="1" si="0"/>
        <v>26</v>
      </c>
      <c r="J13" s="21">
        <v>3</v>
      </c>
      <c r="K13" s="25" t="str">
        <f t="shared" ca="1" si="1"/>
        <v>Activo</v>
      </c>
      <c r="L13" s="25" t="s">
        <v>49</v>
      </c>
      <c r="M13" s="25" t="s">
        <v>49</v>
      </c>
      <c r="N13" s="25" t="s">
        <v>49</v>
      </c>
      <c r="O13" s="25" t="s">
        <v>212</v>
      </c>
      <c r="P13" s="26" t="s">
        <v>22</v>
      </c>
      <c r="Q13" s="34">
        <v>365</v>
      </c>
      <c r="R13" s="25" t="s">
        <v>64</v>
      </c>
      <c r="S13" s="28">
        <v>46037</v>
      </c>
      <c r="T13" s="28">
        <f t="shared" si="2"/>
        <v>46402</v>
      </c>
      <c r="U13" s="25">
        <f t="shared" ca="1" si="3"/>
        <v>141</v>
      </c>
      <c r="V13" s="25" t="str">
        <f t="shared" ca="1" si="4"/>
        <v>AL DÍA</v>
      </c>
      <c r="W13" s="25" t="s">
        <v>24</v>
      </c>
      <c r="X13" s="25" t="s">
        <v>271</v>
      </c>
      <c r="Y13" s="25">
        <v>2</v>
      </c>
      <c r="Z13" s="1" t="s">
        <v>283</v>
      </c>
    </row>
    <row r="14" spans="1:32" ht="14.25" hidden="1" customHeight="1" x14ac:dyDescent="0.15">
      <c r="A14" s="24" t="s">
        <v>122</v>
      </c>
      <c r="B14" s="24" t="s">
        <v>363</v>
      </c>
      <c r="C14" s="25" t="s">
        <v>289</v>
      </c>
      <c r="D14" s="24" t="s">
        <v>65</v>
      </c>
      <c r="E14" s="24" t="s">
        <v>452</v>
      </c>
      <c r="F14" s="24" t="s">
        <v>128</v>
      </c>
      <c r="G14" s="21">
        <v>2000</v>
      </c>
      <c r="H14" s="21">
        <v>0</v>
      </c>
      <c r="I14" s="21">
        <f t="shared" ca="1" si="0"/>
        <v>26</v>
      </c>
      <c r="J14" s="21">
        <v>3</v>
      </c>
      <c r="K14" s="25" t="str">
        <f t="shared" ca="1" si="1"/>
        <v>Activo</v>
      </c>
      <c r="L14" s="25" t="s">
        <v>49</v>
      </c>
      <c r="M14" s="25" t="s">
        <v>49</v>
      </c>
      <c r="N14" s="25" t="s">
        <v>49</v>
      </c>
      <c r="O14" s="25" t="s">
        <v>129</v>
      </c>
      <c r="P14" s="26" t="s">
        <v>138</v>
      </c>
      <c r="Q14" s="34">
        <v>30</v>
      </c>
      <c r="R14" s="25" t="s">
        <v>69</v>
      </c>
      <c r="S14" s="30">
        <v>46228</v>
      </c>
      <c r="T14" s="28">
        <f t="shared" si="2"/>
        <v>46258</v>
      </c>
      <c r="U14" s="25">
        <f t="shared" ca="1" si="3"/>
        <v>-3</v>
      </c>
      <c r="V14" s="25" t="str">
        <f t="shared" ca="1" si="4"/>
        <v>VENCIDO</v>
      </c>
      <c r="W14" s="25" t="s">
        <v>24</v>
      </c>
      <c r="X14" s="25" t="s">
        <v>267</v>
      </c>
      <c r="Y14" s="25">
        <v>1</v>
      </c>
      <c r="Z14" s="1" t="s">
        <v>268</v>
      </c>
    </row>
    <row r="15" spans="1:32" ht="14.25" hidden="1" customHeight="1" x14ac:dyDescent="0.15">
      <c r="A15" s="24" t="s">
        <v>122</v>
      </c>
      <c r="B15" s="24" t="s">
        <v>363</v>
      </c>
      <c r="C15" s="25" t="s">
        <v>289</v>
      </c>
      <c r="D15" s="24" t="s">
        <v>65</v>
      </c>
      <c r="E15" s="24" t="s">
        <v>452</v>
      </c>
      <c r="F15" s="24" t="s">
        <v>130</v>
      </c>
      <c r="G15" s="21">
        <v>2000</v>
      </c>
      <c r="H15" s="21">
        <v>0</v>
      </c>
      <c r="I15" s="21">
        <f t="shared" ca="1" si="0"/>
        <v>26</v>
      </c>
      <c r="J15" s="21">
        <v>3</v>
      </c>
      <c r="K15" s="25" t="str">
        <f t="shared" ca="1" si="1"/>
        <v>Activo</v>
      </c>
      <c r="L15" s="25" t="s">
        <v>49</v>
      </c>
      <c r="M15" s="25" t="s">
        <v>49</v>
      </c>
      <c r="N15" s="25" t="s">
        <v>49</v>
      </c>
      <c r="O15" s="25" t="s">
        <v>129</v>
      </c>
      <c r="P15" s="26" t="s">
        <v>138</v>
      </c>
      <c r="Q15" s="34">
        <v>30</v>
      </c>
      <c r="R15" s="25" t="s">
        <v>69</v>
      </c>
      <c r="S15" s="30">
        <v>46228</v>
      </c>
      <c r="T15" s="28">
        <f t="shared" si="2"/>
        <v>46258</v>
      </c>
      <c r="U15" s="25">
        <f t="shared" ca="1" si="3"/>
        <v>-3</v>
      </c>
      <c r="V15" s="25" t="str">
        <f t="shared" ca="1" si="4"/>
        <v>VENCIDO</v>
      </c>
      <c r="W15" s="25" t="s">
        <v>24</v>
      </c>
      <c r="X15" s="25" t="s">
        <v>267</v>
      </c>
      <c r="Y15" s="25">
        <v>1</v>
      </c>
      <c r="Z15" s="1" t="s">
        <v>268</v>
      </c>
    </row>
    <row r="16" spans="1:32" ht="14.25" hidden="1" customHeight="1" x14ac:dyDescent="0.15">
      <c r="A16" s="24" t="s">
        <v>339</v>
      </c>
      <c r="B16" s="24" t="s">
        <v>88</v>
      </c>
      <c r="C16" s="25" t="s">
        <v>103</v>
      </c>
      <c r="D16" s="24" t="s">
        <v>16</v>
      </c>
      <c r="E16" s="24" t="s">
        <v>451</v>
      </c>
      <c r="F16" s="24" t="s">
        <v>17</v>
      </c>
      <c r="G16" s="21">
        <v>2013</v>
      </c>
      <c r="H16" s="21">
        <v>15</v>
      </c>
      <c r="I16" s="21">
        <f t="shared" ca="1" si="0"/>
        <v>13</v>
      </c>
      <c r="J16" s="21">
        <v>3</v>
      </c>
      <c r="K16" s="25" t="str">
        <f t="shared" ca="1" si="1"/>
        <v>Activo</v>
      </c>
      <c r="L16" s="25" t="s">
        <v>101</v>
      </c>
      <c r="M16" s="25" t="s">
        <v>102</v>
      </c>
      <c r="N16" s="25" t="s">
        <v>200</v>
      </c>
      <c r="O16" s="25" t="s">
        <v>256</v>
      </c>
      <c r="P16" s="26" t="s">
        <v>22</v>
      </c>
      <c r="Q16" s="34">
        <v>365</v>
      </c>
      <c r="R16" s="25" t="s">
        <v>23</v>
      </c>
      <c r="S16" s="28">
        <v>46198</v>
      </c>
      <c r="T16" s="28">
        <f t="shared" si="2"/>
        <v>46563</v>
      </c>
      <c r="U16" s="25">
        <f t="shared" ca="1" si="3"/>
        <v>302</v>
      </c>
      <c r="V16" s="25" t="str">
        <f t="shared" ca="1" si="4"/>
        <v>AL DÍA</v>
      </c>
      <c r="W16" s="25" t="s">
        <v>24</v>
      </c>
      <c r="X16" s="25" t="s">
        <v>271</v>
      </c>
      <c r="Y16" s="25">
        <v>1</v>
      </c>
      <c r="Z16" s="1" t="s">
        <v>276</v>
      </c>
    </row>
    <row r="17" spans="1:26" ht="14.25" hidden="1" customHeight="1" x14ac:dyDescent="0.15">
      <c r="A17" s="24" t="s">
        <v>339</v>
      </c>
      <c r="B17" s="24" t="s">
        <v>88</v>
      </c>
      <c r="C17" s="25"/>
      <c r="D17" s="24" t="s">
        <v>16</v>
      </c>
      <c r="E17" s="24" t="s">
        <v>451</v>
      </c>
      <c r="F17" s="24" t="s">
        <v>93</v>
      </c>
      <c r="G17" s="21">
        <v>2013</v>
      </c>
      <c r="H17" s="21">
        <v>20</v>
      </c>
      <c r="I17" s="21">
        <f t="shared" ca="1" si="0"/>
        <v>13</v>
      </c>
      <c r="J17" s="21">
        <v>3</v>
      </c>
      <c r="K17" s="25" t="str">
        <f t="shared" ca="1" si="1"/>
        <v>Activo</v>
      </c>
      <c r="L17" s="25" t="s">
        <v>89</v>
      </c>
      <c r="P17" s="26" t="s">
        <v>22</v>
      </c>
      <c r="Q17" s="34">
        <v>365</v>
      </c>
      <c r="R17" s="25" t="s">
        <v>23</v>
      </c>
      <c r="S17" s="28">
        <v>46198</v>
      </c>
      <c r="T17" s="28">
        <f t="shared" si="2"/>
        <v>46563</v>
      </c>
      <c r="U17" s="25">
        <f t="shared" ca="1" si="3"/>
        <v>302</v>
      </c>
      <c r="V17" s="25" t="str">
        <f t="shared" ca="1" si="4"/>
        <v>AL DÍA</v>
      </c>
      <c r="W17" s="25" t="s">
        <v>24</v>
      </c>
      <c r="X17" s="25" t="s">
        <v>262</v>
      </c>
      <c r="Y17" s="25">
        <v>1</v>
      </c>
      <c r="Z17" s="1" t="s">
        <v>265</v>
      </c>
    </row>
    <row r="18" spans="1:26" ht="14.25" hidden="1" customHeight="1" x14ac:dyDescent="0.15">
      <c r="A18" s="24" t="s">
        <v>339</v>
      </c>
      <c r="B18" s="24" t="s">
        <v>88</v>
      </c>
      <c r="C18" s="25" t="s">
        <v>95</v>
      </c>
      <c r="D18" s="24" t="s">
        <v>65</v>
      </c>
      <c r="F18" s="24" t="s">
        <v>460</v>
      </c>
      <c r="G18" s="21">
        <v>2023</v>
      </c>
      <c r="H18" s="21">
        <v>25</v>
      </c>
      <c r="I18" s="21">
        <f t="shared" ca="1" si="0"/>
        <v>3</v>
      </c>
      <c r="J18" s="21">
        <v>3</v>
      </c>
      <c r="K18" s="25" t="str">
        <f t="shared" ca="1" si="1"/>
        <v>Activo</v>
      </c>
      <c r="L18" s="25" t="s">
        <v>49</v>
      </c>
      <c r="M18" s="25" t="s">
        <v>49</v>
      </c>
      <c r="N18" s="25" t="s">
        <v>49</v>
      </c>
      <c r="O18" s="25" t="s">
        <v>104</v>
      </c>
      <c r="P18" s="26" t="s">
        <v>81</v>
      </c>
      <c r="Q18" s="34">
        <f>365*3.5</f>
        <v>1277.5</v>
      </c>
      <c r="R18" s="25" t="s">
        <v>69</v>
      </c>
      <c r="S18" s="28">
        <v>46198</v>
      </c>
      <c r="T18" s="28">
        <f t="shared" si="2"/>
        <v>47475.5</v>
      </c>
      <c r="U18" s="25">
        <f t="shared" ca="1" si="3"/>
        <v>1214.5</v>
      </c>
      <c r="V18" s="25" t="str">
        <f t="shared" ca="1" si="4"/>
        <v>AL DÍA</v>
      </c>
      <c r="W18" s="25" t="s">
        <v>24</v>
      </c>
      <c r="X18" s="25" t="s">
        <v>277</v>
      </c>
      <c r="Y18" s="25">
        <v>1</v>
      </c>
      <c r="Z18" s="1" t="s">
        <v>282</v>
      </c>
    </row>
    <row r="19" spans="1:26" ht="14.25" hidden="1" customHeight="1" x14ac:dyDescent="0.15">
      <c r="A19" s="24" t="s">
        <v>339</v>
      </c>
      <c r="B19" s="24" t="s">
        <v>88</v>
      </c>
      <c r="C19" s="25" t="s">
        <v>105</v>
      </c>
      <c r="D19" s="24" t="s">
        <v>16</v>
      </c>
      <c r="E19" s="24" t="s">
        <v>453</v>
      </c>
      <c r="F19" s="24" t="s">
        <v>63</v>
      </c>
      <c r="G19" s="21">
        <v>2013</v>
      </c>
      <c r="H19" s="21">
        <v>40</v>
      </c>
      <c r="I19" s="21">
        <f t="shared" ca="1" si="0"/>
        <v>13</v>
      </c>
      <c r="J19" s="21">
        <v>3</v>
      </c>
      <c r="K19" s="25" t="str">
        <f t="shared" ca="1" si="1"/>
        <v>Activo</v>
      </c>
      <c r="L19" s="25" t="s">
        <v>49</v>
      </c>
      <c r="M19" s="25" t="s">
        <v>49</v>
      </c>
      <c r="N19" s="25" t="s">
        <v>49</v>
      </c>
      <c r="O19" s="25" t="s">
        <v>214</v>
      </c>
      <c r="P19" s="26" t="s">
        <v>22</v>
      </c>
      <c r="Q19" s="34">
        <v>365</v>
      </c>
      <c r="R19" s="25" t="s">
        <v>64</v>
      </c>
      <c r="S19" s="28">
        <v>46198</v>
      </c>
      <c r="T19" s="28">
        <f t="shared" si="2"/>
        <v>46563</v>
      </c>
      <c r="U19" s="25">
        <f t="shared" ca="1" si="3"/>
        <v>302</v>
      </c>
      <c r="V19" s="25" t="str">
        <f t="shared" ca="1" si="4"/>
        <v>AL DÍA</v>
      </c>
      <c r="W19" s="25" t="s">
        <v>24</v>
      </c>
      <c r="X19" s="25" t="s">
        <v>277</v>
      </c>
      <c r="Y19" s="25">
        <v>1</v>
      </c>
      <c r="Z19" s="1" t="s">
        <v>284</v>
      </c>
    </row>
    <row r="20" spans="1:26" ht="14.25" hidden="1" customHeight="1" x14ac:dyDescent="0.15">
      <c r="A20" s="24" t="s">
        <v>339</v>
      </c>
      <c r="B20" s="24" t="s">
        <v>88</v>
      </c>
      <c r="C20" s="25" t="s">
        <v>107</v>
      </c>
      <c r="D20" s="24" t="s">
        <v>16</v>
      </c>
      <c r="E20" s="24" t="s">
        <v>453</v>
      </c>
      <c r="F20" s="24" t="s">
        <v>106</v>
      </c>
      <c r="G20" s="21">
        <v>2013</v>
      </c>
      <c r="H20" s="21">
        <v>40</v>
      </c>
      <c r="I20" s="21">
        <f t="shared" ca="1" si="0"/>
        <v>13</v>
      </c>
      <c r="J20" s="21">
        <v>3</v>
      </c>
      <c r="K20" s="25" t="str">
        <f t="shared" ca="1" si="1"/>
        <v>Activo</v>
      </c>
      <c r="L20" s="25" t="s">
        <v>49</v>
      </c>
      <c r="M20" s="25" t="s">
        <v>49</v>
      </c>
      <c r="N20" s="25" t="s">
        <v>49</v>
      </c>
      <c r="P20" s="26" t="s">
        <v>22</v>
      </c>
      <c r="Q20" s="34">
        <v>365</v>
      </c>
      <c r="R20" s="25" t="s">
        <v>64</v>
      </c>
      <c r="S20" s="28">
        <v>46198</v>
      </c>
      <c r="T20" s="28">
        <f t="shared" si="2"/>
        <v>46563</v>
      </c>
      <c r="U20" s="25">
        <f t="shared" ca="1" si="3"/>
        <v>302</v>
      </c>
      <c r="V20" s="25" t="str">
        <f t="shared" ca="1" si="4"/>
        <v>AL DÍA</v>
      </c>
      <c r="W20" s="25" t="s">
        <v>24</v>
      </c>
      <c r="X20" s="25" t="s">
        <v>277</v>
      </c>
      <c r="Y20" s="25">
        <v>1</v>
      </c>
      <c r="Z20" s="1" t="s">
        <v>284</v>
      </c>
    </row>
    <row r="21" spans="1:26" ht="14.25" hidden="1" customHeight="1" x14ac:dyDescent="0.15">
      <c r="A21" s="24" t="s">
        <v>339</v>
      </c>
      <c r="B21" s="24" t="s">
        <v>88</v>
      </c>
      <c r="C21" s="25" t="s">
        <v>88</v>
      </c>
      <c r="D21" s="24" t="s">
        <v>65</v>
      </c>
      <c r="E21" s="24" t="s">
        <v>449</v>
      </c>
      <c r="F21" s="24" t="s">
        <v>108</v>
      </c>
      <c r="G21" s="21">
        <v>2013</v>
      </c>
      <c r="H21" s="21">
        <v>0</v>
      </c>
      <c r="I21" s="21">
        <f t="shared" ca="1" si="0"/>
        <v>13</v>
      </c>
      <c r="J21" s="21">
        <v>3</v>
      </c>
      <c r="K21" s="25" t="str">
        <f t="shared" ca="1" si="1"/>
        <v>Activo</v>
      </c>
      <c r="L21" s="25" t="s">
        <v>49</v>
      </c>
      <c r="M21" s="25" t="s">
        <v>49</v>
      </c>
      <c r="N21" s="25" t="s">
        <v>49</v>
      </c>
      <c r="P21" s="26" t="s">
        <v>138</v>
      </c>
      <c r="Q21" s="34">
        <v>30</v>
      </c>
      <c r="R21" s="25" t="s">
        <v>69</v>
      </c>
      <c r="S21" s="30">
        <v>46228</v>
      </c>
      <c r="T21" s="28">
        <f t="shared" si="2"/>
        <v>46258</v>
      </c>
      <c r="U21" s="25">
        <f t="shared" ca="1" si="3"/>
        <v>-3</v>
      </c>
      <c r="V21" s="25" t="str">
        <f t="shared" ca="1" si="4"/>
        <v>VENCIDO</v>
      </c>
      <c r="W21" s="25" t="s">
        <v>24</v>
      </c>
      <c r="X21" s="25" t="s">
        <v>267</v>
      </c>
      <c r="Y21" s="25">
        <v>1</v>
      </c>
    </row>
    <row r="22" spans="1:26" ht="14.25" hidden="1" customHeight="1" x14ac:dyDescent="0.15">
      <c r="A22" s="24" t="s">
        <v>339</v>
      </c>
      <c r="B22" s="24" t="s">
        <v>88</v>
      </c>
      <c r="C22" s="25" t="s">
        <v>88</v>
      </c>
      <c r="D22" s="24" t="s">
        <v>65</v>
      </c>
      <c r="E22" s="24" t="s">
        <v>449</v>
      </c>
      <c r="F22" s="24" t="s">
        <v>237</v>
      </c>
      <c r="G22" s="21">
        <v>2013</v>
      </c>
      <c r="H22" s="21">
        <v>0</v>
      </c>
      <c r="I22" s="21">
        <f t="shared" ca="1" si="0"/>
        <v>13</v>
      </c>
      <c r="J22" s="21">
        <v>3</v>
      </c>
      <c r="K22" s="25" t="str">
        <f t="shared" ca="1" si="1"/>
        <v>Activo</v>
      </c>
      <c r="L22" s="26" t="s">
        <v>49</v>
      </c>
      <c r="M22" s="25" t="s">
        <v>49</v>
      </c>
      <c r="N22" s="25" t="s">
        <v>49</v>
      </c>
      <c r="O22" s="25" t="s">
        <v>98</v>
      </c>
      <c r="P22" s="26" t="s">
        <v>138</v>
      </c>
      <c r="Q22" s="34">
        <v>30</v>
      </c>
      <c r="R22" s="25" t="s">
        <v>69</v>
      </c>
      <c r="S22" s="30">
        <v>46228</v>
      </c>
      <c r="T22" s="28">
        <f t="shared" si="2"/>
        <v>46258</v>
      </c>
      <c r="U22" s="25">
        <f t="shared" ca="1" si="3"/>
        <v>-3</v>
      </c>
      <c r="V22" s="25" t="str">
        <f t="shared" ca="1" si="4"/>
        <v>VENCIDO</v>
      </c>
      <c r="W22" s="25" t="s">
        <v>24</v>
      </c>
      <c r="X22" s="25" t="s">
        <v>267</v>
      </c>
      <c r="Y22" s="25">
        <v>1</v>
      </c>
      <c r="Z22" s="1" t="s">
        <v>285</v>
      </c>
    </row>
    <row r="23" spans="1:26" ht="14.25" hidden="1" customHeight="1" x14ac:dyDescent="0.15">
      <c r="A23" s="24" t="s">
        <v>339</v>
      </c>
      <c r="B23" s="24" t="s">
        <v>88</v>
      </c>
      <c r="C23" s="25" t="s">
        <v>88</v>
      </c>
      <c r="D23" s="24" t="s">
        <v>65</v>
      </c>
      <c r="E23" s="24" t="s">
        <v>449</v>
      </c>
      <c r="F23" s="24" t="s">
        <v>109</v>
      </c>
      <c r="G23" s="21">
        <v>2013</v>
      </c>
      <c r="H23" s="21">
        <v>0</v>
      </c>
      <c r="I23" s="21">
        <f t="shared" ca="1" si="0"/>
        <v>13</v>
      </c>
      <c r="J23" s="21">
        <v>3</v>
      </c>
      <c r="K23" s="25" t="str">
        <f t="shared" ca="1" si="1"/>
        <v>Activo</v>
      </c>
      <c r="L23" s="25" t="s">
        <v>49</v>
      </c>
      <c r="M23" s="25" t="s">
        <v>49</v>
      </c>
      <c r="N23" s="25" t="s">
        <v>49</v>
      </c>
      <c r="O23" s="25">
        <v>2</v>
      </c>
      <c r="P23" s="26" t="s">
        <v>138</v>
      </c>
      <c r="Q23" s="34">
        <v>30</v>
      </c>
      <c r="R23" s="25" t="s">
        <v>69</v>
      </c>
      <c r="S23" s="30">
        <v>46228</v>
      </c>
      <c r="T23" s="28">
        <f t="shared" si="2"/>
        <v>46258</v>
      </c>
      <c r="U23" s="25">
        <f t="shared" ca="1" si="3"/>
        <v>-3</v>
      </c>
      <c r="V23" s="25" t="str">
        <f t="shared" ca="1" si="4"/>
        <v>VENCIDO</v>
      </c>
      <c r="W23" s="25" t="s">
        <v>24</v>
      </c>
      <c r="X23" s="25" t="s">
        <v>267</v>
      </c>
      <c r="Y23" s="25">
        <v>2</v>
      </c>
    </row>
    <row r="24" spans="1:26" ht="14.25" hidden="1" customHeight="1" x14ac:dyDescent="0.15">
      <c r="A24" s="24" t="s">
        <v>339</v>
      </c>
      <c r="B24" s="24" t="s">
        <v>88</v>
      </c>
      <c r="C24" s="25" t="s">
        <v>88</v>
      </c>
      <c r="D24" s="24" t="s">
        <v>65</v>
      </c>
      <c r="E24" s="24" t="s">
        <v>449</v>
      </c>
      <c r="F24" s="24" t="s">
        <v>110</v>
      </c>
      <c r="G24" s="27">
        <v>2013</v>
      </c>
      <c r="H24" s="27">
        <v>0</v>
      </c>
      <c r="I24" s="21">
        <f t="shared" ca="1" si="0"/>
        <v>13</v>
      </c>
      <c r="J24" s="21">
        <v>3</v>
      </c>
      <c r="K24" s="25" t="str">
        <f t="shared" ca="1" si="1"/>
        <v>Activo</v>
      </c>
      <c r="L24" s="25" t="s">
        <v>49</v>
      </c>
      <c r="M24" s="25" t="s">
        <v>49</v>
      </c>
      <c r="N24" s="25" t="s">
        <v>49</v>
      </c>
      <c r="O24" s="25" t="s">
        <v>111</v>
      </c>
      <c r="P24" s="26" t="s">
        <v>138</v>
      </c>
      <c r="Q24" s="34">
        <v>30</v>
      </c>
      <c r="R24" s="25" t="s">
        <v>69</v>
      </c>
      <c r="S24" s="30">
        <v>46228</v>
      </c>
      <c r="T24" s="28">
        <f t="shared" si="2"/>
        <v>46258</v>
      </c>
      <c r="U24" s="25">
        <f t="shared" ca="1" si="3"/>
        <v>-3</v>
      </c>
      <c r="V24" s="25" t="str">
        <f t="shared" ca="1" si="4"/>
        <v>VENCIDO</v>
      </c>
      <c r="W24" s="25" t="s">
        <v>24</v>
      </c>
      <c r="X24" s="25" t="s">
        <v>267</v>
      </c>
      <c r="Y24" s="25">
        <v>2</v>
      </c>
    </row>
    <row r="25" spans="1:26" ht="14.25" hidden="1" customHeight="1" x14ac:dyDescent="0.15">
      <c r="A25" s="24" t="s">
        <v>339</v>
      </c>
      <c r="B25" s="24" t="s">
        <v>88</v>
      </c>
      <c r="C25" s="25" t="s">
        <v>88</v>
      </c>
      <c r="D25" s="24" t="s">
        <v>65</v>
      </c>
      <c r="F25" s="24" t="s">
        <v>84</v>
      </c>
      <c r="G25" s="21">
        <v>2013</v>
      </c>
      <c r="H25" s="21">
        <v>0</v>
      </c>
      <c r="I25" s="21">
        <f t="shared" ca="1" si="0"/>
        <v>13</v>
      </c>
      <c r="J25" s="21">
        <v>3</v>
      </c>
      <c r="K25" s="25" t="str">
        <f t="shared" ca="1" si="1"/>
        <v>Activo</v>
      </c>
      <c r="L25" s="25" t="s">
        <v>49</v>
      </c>
      <c r="M25" s="25" t="s">
        <v>49</v>
      </c>
      <c r="N25" s="25" t="s">
        <v>49</v>
      </c>
      <c r="P25" s="26" t="s">
        <v>440</v>
      </c>
      <c r="Q25" s="34">
        <f>365*3</f>
        <v>1095</v>
      </c>
      <c r="R25" s="25" t="s">
        <v>69</v>
      </c>
      <c r="S25" s="28">
        <v>46198</v>
      </c>
      <c r="T25" s="28">
        <f t="shared" si="2"/>
        <v>47293</v>
      </c>
      <c r="U25" s="25">
        <f t="shared" ca="1" si="3"/>
        <v>1032</v>
      </c>
      <c r="V25" s="25" t="str">
        <f t="shared" ca="1" si="4"/>
        <v>AL DÍA</v>
      </c>
      <c r="W25" s="25" t="s">
        <v>24</v>
      </c>
      <c r="X25" s="25" t="s">
        <v>262</v>
      </c>
      <c r="Y25" s="25">
        <v>3</v>
      </c>
    </row>
    <row r="26" spans="1:26" ht="14.25" hidden="1" customHeight="1" x14ac:dyDescent="0.15">
      <c r="A26" s="24" t="s">
        <v>339</v>
      </c>
      <c r="B26" s="24" t="s">
        <v>88</v>
      </c>
      <c r="C26" s="25" t="s">
        <v>88</v>
      </c>
      <c r="D26" s="24" t="s">
        <v>65</v>
      </c>
      <c r="F26" s="24" t="s">
        <v>112</v>
      </c>
      <c r="G26" s="21">
        <v>2013</v>
      </c>
      <c r="H26" s="21">
        <v>25</v>
      </c>
      <c r="I26" s="21">
        <f t="shared" ca="1" si="0"/>
        <v>13</v>
      </c>
      <c r="J26" s="21">
        <v>3</v>
      </c>
      <c r="K26" s="25" t="str">
        <f t="shared" ca="1" si="1"/>
        <v>Activo</v>
      </c>
      <c r="L26" s="25" t="s">
        <v>49</v>
      </c>
      <c r="M26" s="26" t="s">
        <v>49</v>
      </c>
      <c r="N26" s="25" t="s">
        <v>49</v>
      </c>
      <c r="P26" s="26" t="s">
        <v>87</v>
      </c>
      <c r="Q26" s="34">
        <f>5*365</f>
        <v>1825</v>
      </c>
      <c r="R26" s="25" t="s">
        <v>69</v>
      </c>
      <c r="S26" s="28">
        <v>46198</v>
      </c>
      <c r="T26" s="28">
        <f t="shared" si="2"/>
        <v>48023</v>
      </c>
      <c r="U26" s="25">
        <f t="shared" ca="1" si="3"/>
        <v>1762</v>
      </c>
      <c r="V26" s="25" t="str">
        <f t="shared" ca="1" si="4"/>
        <v>AL DÍA</v>
      </c>
      <c r="W26" s="25" t="s">
        <v>24</v>
      </c>
      <c r="X26" s="25" t="s">
        <v>262</v>
      </c>
      <c r="Y26" s="25">
        <v>2</v>
      </c>
      <c r="Z26" s="1" t="s">
        <v>113</v>
      </c>
    </row>
    <row r="27" spans="1:26" ht="14.25" hidden="1" customHeight="1" x14ac:dyDescent="0.15">
      <c r="A27" s="24" t="s">
        <v>339</v>
      </c>
      <c r="B27" s="24" t="s">
        <v>88</v>
      </c>
      <c r="C27" s="25" t="s">
        <v>100</v>
      </c>
      <c r="D27" s="24" t="s">
        <v>65</v>
      </c>
      <c r="F27" s="24" t="s">
        <v>461</v>
      </c>
      <c r="G27" s="27">
        <v>2013</v>
      </c>
      <c r="H27" s="27">
        <v>25</v>
      </c>
      <c r="I27" s="21">
        <f t="shared" ca="1" si="0"/>
        <v>13</v>
      </c>
      <c r="J27" s="21">
        <v>3</v>
      </c>
      <c r="K27" s="25" t="str">
        <f t="shared" ca="1" si="1"/>
        <v>Activo</v>
      </c>
      <c r="L27" s="25" t="s">
        <v>49</v>
      </c>
      <c r="M27" s="25" t="s">
        <v>49</v>
      </c>
      <c r="N27" s="25" t="s">
        <v>49</v>
      </c>
      <c r="P27" s="26" t="s">
        <v>81</v>
      </c>
      <c r="Q27" s="34">
        <f>365*3.5</f>
        <v>1277.5</v>
      </c>
      <c r="R27" s="25" t="s">
        <v>69</v>
      </c>
      <c r="S27" s="28">
        <v>46198</v>
      </c>
      <c r="T27" s="28">
        <f t="shared" si="2"/>
        <v>47475.5</v>
      </c>
      <c r="U27" s="25">
        <f t="shared" ca="1" si="3"/>
        <v>1214.5</v>
      </c>
      <c r="V27" s="25" t="str">
        <f t="shared" ca="1" si="4"/>
        <v>AL DÍA</v>
      </c>
      <c r="W27" s="25" t="s">
        <v>24</v>
      </c>
      <c r="X27" s="25" t="s">
        <v>277</v>
      </c>
      <c r="Y27" s="25">
        <v>1</v>
      </c>
      <c r="Z27" s="1" t="s">
        <v>286</v>
      </c>
    </row>
    <row r="28" spans="1:26" ht="14.25" hidden="1" customHeight="1" x14ac:dyDescent="0.15">
      <c r="A28" s="24" t="s">
        <v>339</v>
      </c>
      <c r="B28" s="24" t="s">
        <v>88</v>
      </c>
      <c r="C28" s="25" t="s">
        <v>340</v>
      </c>
      <c r="D28" s="24" t="s">
        <v>65</v>
      </c>
      <c r="F28" s="24" t="s">
        <v>215</v>
      </c>
      <c r="G28" s="21">
        <v>2013</v>
      </c>
      <c r="H28" s="21">
        <v>0</v>
      </c>
      <c r="I28" s="21">
        <f t="shared" ca="1" si="0"/>
        <v>13</v>
      </c>
      <c r="J28" s="21">
        <v>3</v>
      </c>
      <c r="K28" s="25" t="str">
        <f t="shared" ca="1" si="1"/>
        <v>Activo</v>
      </c>
      <c r="L28" s="25" t="s">
        <v>49</v>
      </c>
      <c r="M28" s="25" t="s">
        <v>49</v>
      </c>
      <c r="N28" s="25" t="s">
        <v>49</v>
      </c>
      <c r="O28" s="26"/>
      <c r="P28" s="26" t="s">
        <v>22</v>
      </c>
      <c r="Q28" s="34">
        <v>365</v>
      </c>
      <c r="R28" s="25" t="s">
        <v>64</v>
      </c>
      <c r="S28" s="28">
        <v>46198</v>
      </c>
      <c r="T28" s="28">
        <f t="shared" si="2"/>
        <v>46563</v>
      </c>
      <c r="U28" s="25">
        <f t="shared" ca="1" si="3"/>
        <v>302</v>
      </c>
      <c r="V28" s="25" t="str">
        <f t="shared" ca="1" si="4"/>
        <v>AL DÍA</v>
      </c>
      <c r="W28" s="25" t="s">
        <v>24</v>
      </c>
      <c r="X28" s="25" t="s">
        <v>277</v>
      </c>
      <c r="Y28" s="25">
        <v>2</v>
      </c>
      <c r="Z28" s="1" t="s">
        <v>284</v>
      </c>
    </row>
    <row r="29" spans="1:26" ht="14.25" hidden="1" customHeight="1" x14ac:dyDescent="0.15">
      <c r="A29" s="24" t="s">
        <v>339</v>
      </c>
      <c r="B29" s="24" t="s">
        <v>88</v>
      </c>
      <c r="C29" s="25" t="s">
        <v>340</v>
      </c>
      <c r="D29" s="24" t="s">
        <v>65</v>
      </c>
      <c r="E29" s="24" t="s">
        <v>451</v>
      </c>
      <c r="F29" s="24" t="s">
        <v>93</v>
      </c>
      <c r="G29" s="21">
        <v>2013</v>
      </c>
      <c r="H29" s="21">
        <v>20</v>
      </c>
      <c r="I29" s="21">
        <f t="shared" ca="1" si="0"/>
        <v>13</v>
      </c>
      <c r="J29" s="21">
        <v>3</v>
      </c>
      <c r="K29" s="25" t="str">
        <f t="shared" ca="1" si="1"/>
        <v>Activo</v>
      </c>
      <c r="L29" s="25" t="s">
        <v>142</v>
      </c>
      <c r="P29" s="25" t="s">
        <v>22</v>
      </c>
      <c r="Q29" s="32">
        <v>365</v>
      </c>
      <c r="R29" s="25" t="s">
        <v>69</v>
      </c>
      <c r="S29" s="28">
        <v>46198</v>
      </c>
      <c r="T29" s="28">
        <f t="shared" si="2"/>
        <v>46563</v>
      </c>
      <c r="U29" s="25">
        <f t="shared" ca="1" si="3"/>
        <v>302</v>
      </c>
      <c r="V29" s="25" t="str">
        <f t="shared" ca="1" si="4"/>
        <v>AL DÍA</v>
      </c>
      <c r="W29" s="25" t="s">
        <v>24</v>
      </c>
      <c r="X29" s="25" t="s">
        <v>262</v>
      </c>
      <c r="Y29" s="25">
        <v>1</v>
      </c>
      <c r="Z29" s="1" t="s">
        <v>265</v>
      </c>
    </row>
    <row r="30" spans="1:26" ht="14.25" hidden="1" customHeight="1" x14ac:dyDescent="0.15">
      <c r="A30" s="24" t="s">
        <v>339</v>
      </c>
      <c r="B30" s="24" t="s">
        <v>88</v>
      </c>
      <c r="C30" s="25" t="s">
        <v>340</v>
      </c>
      <c r="D30" s="24" t="s">
        <v>65</v>
      </c>
      <c r="F30" s="24" t="s">
        <v>217</v>
      </c>
      <c r="G30" s="21">
        <v>2013</v>
      </c>
      <c r="H30" s="21">
        <v>0</v>
      </c>
      <c r="I30" s="21">
        <f t="shared" ca="1" si="0"/>
        <v>13</v>
      </c>
      <c r="J30" s="21">
        <v>3</v>
      </c>
      <c r="K30" s="25" t="str">
        <f t="shared" ca="1" si="1"/>
        <v>Activo</v>
      </c>
      <c r="L30" s="25" t="s">
        <v>49</v>
      </c>
      <c r="O30" s="72"/>
      <c r="P30" s="26"/>
      <c r="Q30" s="34">
        <v>365</v>
      </c>
      <c r="R30" s="25" t="s">
        <v>64</v>
      </c>
      <c r="S30" s="28">
        <v>46198</v>
      </c>
      <c r="T30" s="28">
        <f t="shared" si="2"/>
        <v>46563</v>
      </c>
      <c r="U30" s="25">
        <f t="shared" ca="1" si="3"/>
        <v>302</v>
      </c>
      <c r="V30" s="25" t="str">
        <f t="shared" ca="1" si="4"/>
        <v>AL DÍA</v>
      </c>
      <c r="W30" s="25" t="s">
        <v>24</v>
      </c>
      <c r="X30" s="25" t="s">
        <v>262</v>
      </c>
      <c r="Y30" s="25">
        <v>2</v>
      </c>
    </row>
    <row r="31" spans="1:26" ht="14.25" hidden="1" customHeight="1" x14ac:dyDescent="0.15">
      <c r="A31" s="24" t="s">
        <v>339</v>
      </c>
      <c r="B31" s="24" t="s">
        <v>88</v>
      </c>
      <c r="C31" s="25" t="s">
        <v>340</v>
      </c>
      <c r="D31" s="24" t="s">
        <v>65</v>
      </c>
      <c r="F31" s="24" t="s">
        <v>218</v>
      </c>
      <c r="G31" s="21">
        <v>2013</v>
      </c>
      <c r="H31" s="21">
        <v>0</v>
      </c>
      <c r="I31" s="21">
        <f t="shared" ca="1" si="0"/>
        <v>13</v>
      </c>
      <c r="J31" s="21">
        <v>3</v>
      </c>
      <c r="K31" s="25" t="str">
        <f t="shared" ca="1" si="1"/>
        <v>Activo</v>
      </c>
      <c r="L31" s="25" t="s">
        <v>49</v>
      </c>
      <c r="O31" s="25" t="s">
        <v>227</v>
      </c>
      <c r="P31" s="26"/>
      <c r="Q31" s="34">
        <v>365</v>
      </c>
      <c r="R31" s="25" t="s">
        <v>64</v>
      </c>
      <c r="S31" s="28">
        <v>46198</v>
      </c>
      <c r="T31" s="28">
        <f t="shared" si="2"/>
        <v>46563</v>
      </c>
      <c r="U31" s="25">
        <f t="shared" ca="1" si="3"/>
        <v>302</v>
      </c>
      <c r="V31" s="25" t="str">
        <f t="shared" ca="1" si="4"/>
        <v>AL DÍA</v>
      </c>
      <c r="W31" s="25" t="s">
        <v>24</v>
      </c>
      <c r="X31" s="25" t="s">
        <v>262</v>
      </c>
      <c r="Y31" s="25">
        <v>2</v>
      </c>
    </row>
    <row r="32" spans="1:26" ht="14.25" hidden="1" customHeight="1" x14ac:dyDescent="0.15">
      <c r="A32" s="24" t="s">
        <v>339</v>
      </c>
      <c r="B32" s="24" t="s">
        <v>88</v>
      </c>
      <c r="C32" s="25" t="s">
        <v>340</v>
      </c>
      <c r="D32" s="24" t="s">
        <v>16</v>
      </c>
      <c r="F32" s="24" t="s">
        <v>219</v>
      </c>
      <c r="G32" s="21">
        <v>2019</v>
      </c>
      <c r="H32" s="21">
        <v>15</v>
      </c>
      <c r="I32" s="21">
        <f t="shared" ca="1" si="0"/>
        <v>7</v>
      </c>
      <c r="J32" s="21">
        <v>3</v>
      </c>
      <c r="K32" s="25" t="str">
        <f t="shared" ca="1" si="1"/>
        <v>Activo</v>
      </c>
      <c r="L32" s="72"/>
      <c r="M32" s="72"/>
      <c r="O32" s="25" t="s">
        <v>221</v>
      </c>
      <c r="P32" s="26" t="s">
        <v>49</v>
      </c>
      <c r="Q32" s="34">
        <v>365</v>
      </c>
      <c r="R32" s="25" t="s">
        <v>64</v>
      </c>
      <c r="S32" s="28">
        <v>46198</v>
      </c>
      <c r="T32" s="28">
        <f t="shared" si="2"/>
        <v>46563</v>
      </c>
      <c r="U32" s="25">
        <f t="shared" ca="1" si="3"/>
        <v>302</v>
      </c>
      <c r="V32" s="25" t="str">
        <f t="shared" ca="1" si="4"/>
        <v>AL DÍA</v>
      </c>
      <c r="W32" s="25" t="s">
        <v>24</v>
      </c>
      <c r="X32" s="25" t="s">
        <v>271</v>
      </c>
      <c r="Y32" s="25">
        <v>2</v>
      </c>
      <c r="Z32" s="1" t="s">
        <v>303</v>
      </c>
    </row>
    <row r="33" spans="1:26" ht="14.25" hidden="1" customHeight="1" x14ac:dyDescent="0.15">
      <c r="A33" s="24" t="s">
        <v>339</v>
      </c>
      <c r="B33" s="24" t="s">
        <v>88</v>
      </c>
      <c r="C33" s="25" t="s">
        <v>340</v>
      </c>
      <c r="D33" s="24" t="s">
        <v>16</v>
      </c>
      <c r="F33" s="24" t="s">
        <v>224</v>
      </c>
      <c r="G33" s="21">
        <v>2013</v>
      </c>
      <c r="H33" s="21">
        <v>0</v>
      </c>
      <c r="I33" s="21">
        <f t="shared" ca="1" si="0"/>
        <v>13</v>
      </c>
      <c r="J33" s="21">
        <v>3</v>
      </c>
      <c r="K33" s="25" t="str">
        <f t="shared" ca="1" si="1"/>
        <v>Activo</v>
      </c>
      <c r="P33" s="26"/>
      <c r="Q33" s="34">
        <v>365</v>
      </c>
      <c r="R33" s="25" t="s">
        <v>64</v>
      </c>
      <c r="S33" s="28">
        <v>46198</v>
      </c>
      <c r="T33" s="28">
        <f t="shared" si="2"/>
        <v>46563</v>
      </c>
      <c r="U33" s="25">
        <f t="shared" ca="1" si="3"/>
        <v>302</v>
      </c>
      <c r="V33" s="25" t="str">
        <f t="shared" ca="1" si="4"/>
        <v>AL DÍA</v>
      </c>
      <c r="W33" s="25" t="s">
        <v>24</v>
      </c>
      <c r="X33" s="25" t="s">
        <v>271</v>
      </c>
      <c r="Y33" s="25">
        <v>2</v>
      </c>
    </row>
    <row r="34" spans="1:26" ht="14.25" hidden="1" customHeight="1" x14ac:dyDescent="0.15">
      <c r="A34" s="24" t="s">
        <v>339</v>
      </c>
      <c r="B34" s="24" t="s">
        <v>88</v>
      </c>
      <c r="C34" s="25" t="s">
        <v>340</v>
      </c>
      <c r="D34" s="24" t="s">
        <v>65</v>
      </c>
      <c r="F34" s="24" t="s">
        <v>220</v>
      </c>
      <c r="G34" s="21">
        <v>2013</v>
      </c>
      <c r="H34" s="21">
        <v>0</v>
      </c>
      <c r="I34" s="21">
        <f t="shared" ca="1" si="0"/>
        <v>13</v>
      </c>
      <c r="J34" s="21">
        <v>3</v>
      </c>
      <c r="K34" s="25" t="str">
        <f t="shared" ca="1" si="1"/>
        <v>Activo</v>
      </c>
      <c r="L34" s="25" t="s">
        <v>49</v>
      </c>
      <c r="N34" s="26"/>
      <c r="O34" s="25" t="s">
        <v>222</v>
      </c>
      <c r="P34" s="26"/>
      <c r="Q34" s="34">
        <v>365</v>
      </c>
      <c r="R34" s="25" t="s">
        <v>64</v>
      </c>
      <c r="S34" s="28">
        <v>46198</v>
      </c>
      <c r="T34" s="28">
        <f t="shared" si="2"/>
        <v>46563</v>
      </c>
      <c r="U34" s="25">
        <f t="shared" ca="1" si="3"/>
        <v>302</v>
      </c>
      <c r="V34" s="25" t="str">
        <f t="shared" ca="1" si="4"/>
        <v>AL DÍA</v>
      </c>
      <c r="W34" s="25" t="s">
        <v>24</v>
      </c>
      <c r="X34" s="25" t="s">
        <v>262</v>
      </c>
      <c r="Y34" s="25">
        <v>2</v>
      </c>
    </row>
    <row r="35" spans="1:26" ht="14.25" hidden="1" customHeight="1" x14ac:dyDescent="0.15">
      <c r="A35" s="24" t="s">
        <v>339</v>
      </c>
      <c r="B35" s="24" t="s">
        <v>88</v>
      </c>
      <c r="C35" s="25" t="s">
        <v>341</v>
      </c>
      <c r="D35" s="24" t="s">
        <v>65</v>
      </c>
      <c r="F35" s="24" t="s">
        <v>215</v>
      </c>
      <c r="G35" s="21">
        <v>2013</v>
      </c>
      <c r="H35" s="21">
        <v>0</v>
      </c>
      <c r="I35" s="21">
        <f t="shared" ca="1" si="0"/>
        <v>13</v>
      </c>
      <c r="J35" s="21">
        <v>3</v>
      </c>
      <c r="K35" s="25" t="str">
        <f t="shared" ca="1" si="1"/>
        <v>Activo</v>
      </c>
      <c r="L35" s="25" t="s">
        <v>49</v>
      </c>
      <c r="M35" s="26" t="s">
        <v>49</v>
      </c>
      <c r="N35" s="26" t="s">
        <v>49</v>
      </c>
      <c r="P35" s="26" t="s">
        <v>22</v>
      </c>
      <c r="Q35" s="34">
        <v>365</v>
      </c>
      <c r="R35" s="25" t="s">
        <v>64</v>
      </c>
      <c r="S35" s="28">
        <v>46198</v>
      </c>
      <c r="T35" s="28">
        <f t="shared" si="2"/>
        <v>46563</v>
      </c>
      <c r="U35" s="25">
        <f t="shared" ca="1" si="3"/>
        <v>302</v>
      </c>
      <c r="V35" s="25" t="str">
        <f t="shared" ca="1" si="4"/>
        <v>AL DÍA</v>
      </c>
      <c r="W35" s="25" t="s">
        <v>24</v>
      </c>
      <c r="X35" s="25" t="s">
        <v>277</v>
      </c>
      <c r="Y35" s="25">
        <v>2</v>
      </c>
      <c r="Z35" s="1" t="s">
        <v>284</v>
      </c>
    </row>
    <row r="36" spans="1:26" ht="14.25" hidden="1" customHeight="1" x14ac:dyDescent="0.15">
      <c r="A36" s="24" t="s">
        <v>339</v>
      </c>
      <c r="B36" s="24" t="s">
        <v>88</v>
      </c>
      <c r="C36" s="25" t="s">
        <v>341</v>
      </c>
      <c r="D36" s="24" t="s">
        <v>65</v>
      </c>
      <c r="E36" s="24" t="s">
        <v>451</v>
      </c>
      <c r="F36" s="24" t="s">
        <v>93</v>
      </c>
      <c r="G36" s="21">
        <v>2013</v>
      </c>
      <c r="H36" s="21">
        <v>20</v>
      </c>
      <c r="I36" s="21">
        <f t="shared" ca="1" si="0"/>
        <v>13</v>
      </c>
      <c r="J36" s="21">
        <v>3</v>
      </c>
      <c r="K36" s="25" t="str">
        <f t="shared" ca="1" si="1"/>
        <v>Activo</v>
      </c>
      <c r="L36" s="25" t="s">
        <v>142</v>
      </c>
      <c r="P36" s="25" t="s">
        <v>22</v>
      </c>
      <c r="Q36" s="32">
        <v>365</v>
      </c>
      <c r="R36" s="25" t="s">
        <v>69</v>
      </c>
      <c r="S36" s="28">
        <v>46198</v>
      </c>
      <c r="T36" s="28">
        <f t="shared" si="2"/>
        <v>46563</v>
      </c>
      <c r="U36" s="25">
        <f t="shared" ca="1" si="3"/>
        <v>302</v>
      </c>
      <c r="V36" s="25" t="str">
        <f t="shared" ca="1" si="4"/>
        <v>AL DÍA</v>
      </c>
      <c r="W36" s="25" t="s">
        <v>24</v>
      </c>
      <c r="X36" s="25" t="s">
        <v>262</v>
      </c>
      <c r="Y36" s="25">
        <v>1</v>
      </c>
      <c r="Z36" s="1" t="s">
        <v>265</v>
      </c>
    </row>
    <row r="37" spans="1:26" ht="14.25" hidden="1" customHeight="1" x14ac:dyDescent="0.15">
      <c r="A37" s="24" t="s">
        <v>339</v>
      </c>
      <c r="B37" s="24" t="s">
        <v>88</v>
      </c>
      <c r="C37" s="25" t="s">
        <v>341</v>
      </c>
      <c r="D37" s="24" t="s">
        <v>65</v>
      </c>
      <c r="F37" s="24" t="s">
        <v>217</v>
      </c>
      <c r="G37" s="21">
        <v>2013</v>
      </c>
      <c r="H37" s="21">
        <v>0</v>
      </c>
      <c r="I37" s="21">
        <f t="shared" ca="1" si="0"/>
        <v>13</v>
      </c>
      <c r="J37" s="21">
        <v>3</v>
      </c>
      <c r="K37" s="25" t="str">
        <f t="shared" ca="1" si="1"/>
        <v>Activo</v>
      </c>
      <c r="L37" s="25" t="s">
        <v>49</v>
      </c>
      <c r="O37" s="73"/>
      <c r="P37" s="26"/>
      <c r="Q37" s="34">
        <v>365</v>
      </c>
      <c r="R37" s="25" t="s">
        <v>64</v>
      </c>
      <c r="S37" s="28">
        <v>46198</v>
      </c>
      <c r="T37" s="28">
        <f t="shared" si="2"/>
        <v>46563</v>
      </c>
      <c r="U37" s="25">
        <f t="shared" ca="1" si="3"/>
        <v>302</v>
      </c>
      <c r="V37" s="25" t="str">
        <f t="shared" ca="1" si="4"/>
        <v>AL DÍA</v>
      </c>
      <c r="W37" s="25" t="s">
        <v>24</v>
      </c>
      <c r="X37" s="25" t="s">
        <v>262</v>
      </c>
      <c r="Y37" s="25">
        <v>2</v>
      </c>
    </row>
    <row r="38" spans="1:26" ht="14.25" hidden="1" customHeight="1" x14ac:dyDescent="0.15">
      <c r="A38" s="24" t="s">
        <v>339</v>
      </c>
      <c r="B38" s="24" t="s">
        <v>88</v>
      </c>
      <c r="C38" s="25" t="s">
        <v>341</v>
      </c>
      <c r="D38" s="24" t="s">
        <v>65</v>
      </c>
      <c r="F38" s="24" t="s">
        <v>218</v>
      </c>
      <c r="G38" s="21">
        <v>2013</v>
      </c>
      <c r="H38" s="21">
        <v>0</v>
      </c>
      <c r="I38" s="21">
        <f t="shared" ca="1" si="0"/>
        <v>13</v>
      </c>
      <c r="J38" s="21">
        <v>3</v>
      </c>
      <c r="K38" s="25" t="str">
        <f t="shared" ca="1" si="1"/>
        <v>Activo</v>
      </c>
      <c r="L38" s="25" t="s">
        <v>49</v>
      </c>
      <c r="O38" s="26" t="s">
        <v>227</v>
      </c>
      <c r="P38" s="26"/>
      <c r="Q38" s="34">
        <v>365</v>
      </c>
      <c r="R38" s="25" t="s">
        <v>64</v>
      </c>
      <c r="S38" s="28">
        <v>46198</v>
      </c>
      <c r="T38" s="28">
        <f t="shared" si="2"/>
        <v>46563</v>
      </c>
      <c r="U38" s="25">
        <f t="shared" ca="1" si="3"/>
        <v>302</v>
      </c>
      <c r="V38" s="25" t="str">
        <f t="shared" ca="1" si="4"/>
        <v>AL DÍA</v>
      </c>
      <c r="W38" s="25" t="s">
        <v>24</v>
      </c>
      <c r="X38" s="25" t="s">
        <v>262</v>
      </c>
      <c r="Y38" s="25">
        <v>2</v>
      </c>
    </row>
    <row r="39" spans="1:26" ht="14.25" hidden="1" customHeight="1" x14ac:dyDescent="0.15">
      <c r="A39" s="24" t="s">
        <v>339</v>
      </c>
      <c r="B39" s="24" t="s">
        <v>88</v>
      </c>
      <c r="C39" s="25" t="s">
        <v>341</v>
      </c>
      <c r="D39" s="24" t="s">
        <v>16</v>
      </c>
      <c r="F39" s="24" t="s">
        <v>219</v>
      </c>
      <c r="G39" s="21">
        <v>2019</v>
      </c>
      <c r="H39" s="21">
        <v>15</v>
      </c>
      <c r="I39" s="21">
        <f t="shared" ca="1" si="0"/>
        <v>7</v>
      </c>
      <c r="J39" s="21">
        <v>3</v>
      </c>
      <c r="K39" s="25" t="str">
        <f t="shared" ca="1" si="1"/>
        <v>Activo</v>
      </c>
      <c r="L39" s="72"/>
      <c r="M39" s="72"/>
      <c r="O39" s="25" t="s">
        <v>221</v>
      </c>
      <c r="P39" s="26" t="s">
        <v>49</v>
      </c>
      <c r="Q39" s="34">
        <v>365</v>
      </c>
      <c r="R39" s="25" t="s">
        <v>64</v>
      </c>
      <c r="S39" s="28">
        <v>46198</v>
      </c>
      <c r="T39" s="28">
        <f t="shared" si="2"/>
        <v>46563</v>
      </c>
      <c r="U39" s="25">
        <f t="shared" ca="1" si="3"/>
        <v>302</v>
      </c>
      <c r="V39" s="25" t="str">
        <f t="shared" ca="1" si="4"/>
        <v>AL DÍA</v>
      </c>
      <c r="W39" s="25" t="s">
        <v>24</v>
      </c>
      <c r="X39" s="25" t="s">
        <v>271</v>
      </c>
      <c r="Y39" s="25">
        <v>2</v>
      </c>
      <c r="Z39" s="1" t="s">
        <v>303</v>
      </c>
    </row>
    <row r="40" spans="1:26" ht="14.25" hidden="1" customHeight="1" x14ac:dyDescent="0.15">
      <c r="A40" s="24" t="s">
        <v>339</v>
      </c>
      <c r="B40" s="24" t="s">
        <v>88</v>
      </c>
      <c r="C40" s="25" t="s">
        <v>341</v>
      </c>
      <c r="D40" s="24" t="s">
        <v>16</v>
      </c>
      <c r="F40" s="24" t="s">
        <v>224</v>
      </c>
      <c r="G40" s="21">
        <v>2013</v>
      </c>
      <c r="H40" s="21">
        <v>0</v>
      </c>
      <c r="I40" s="21">
        <f t="shared" ca="1" si="0"/>
        <v>13</v>
      </c>
      <c r="J40" s="21">
        <v>3</v>
      </c>
      <c r="K40" s="25" t="str">
        <f t="shared" ca="1" si="1"/>
        <v>Activo</v>
      </c>
      <c r="P40" s="26"/>
      <c r="Q40" s="34">
        <v>365</v>
      </c>
      <c r="R40" s="25" t="s">
        <v>64</v>
      </c>
      <c r="S40" s="28">
        <v>46198</v>
      </c>
      <c r="T40" s="28">
        <f t="shared" si="2"/>
        <v>46563</v>
      </c>
      <c r="U40" s="25">
        <f t="shared" ca="1" si="3"/>
        <v>302</v>
      </c>
      <c r="V40" s="25" t="str">
        <f t="shared" ca="1" si="4"/>
        <v>AL DÍA</v>
      </c>
      <c r="W40" s="25" t="s">
        <v>24</v>
      </c>
      <c r="X40" s="25" t="s">
        <v>271</v>
      </c>
      <c r="Y40" s="25">
        <v>2</v>
      </c>
    </row>
    <row r="41" spans="1:26" ht="14.25" hidden="1" customHeight="1" x14ac:dyDescent="0.15">
      <c r="A41" s="24" t="s">
        <v>339</v>
      </c>
      <c r="B41" s="24" t="s">
        <v>88</v>
      </c>
      <c r="C41" s="25" t="s">
        <v>341</v>
      </c>
      <c r="D41" s="24" t="s">
        <v>65</v>
      </c>
      <c r="F41" s="24" t="s">
        <v>220</v>
      </c>
      <c r="G41" s="21">
        <v>2013</v>
      </c>
      <c r="H41" s="21">
        <v>0</v>
      </c>
      <c r="I41" s="21">
        <f t="shared" ca="1" si="0"/>
        <v>13</v>
      </c>
      <c r="J41" s="21">
        <v>3</v>
      </c>
      <c r="K41" s="25" t="str">
        <f t="shared" ca="1" si="1"/>
        <v>Activo</v>
      </c>
      <c r="L41" s="25" t="s">
        <v>49</v>
      </c>
      <c r="O41" s="25" t="s">
        <v>222</v>
      </c>
      <c r="P41" s="26"/>
      <c r="Q41" s="34">
        <v>365</v>
      </c>
      <c r="R41" s="25" t="s">
        <v>64</v>
      </c>
      <c r="S41" s="28">
        <v>46198</v>
      </c>
      <c r="T41" s="28">
        <f t="shared" si="2"/>
        <v>46563</v>
      </c>
      <c r="U41" s="25">
        <f t="shared" ca="1" si="3"/>
        <v>302</v>
      </c>
      <c r="V41" s="25" t="str">
        <f t="shared" ca="1" si="4"/>
        <v>AL DÍA</v>
      </c>
      <c r="W41" s="25" t="s">
        <v>24</v>
      </c>
      <c r="X41" s="25" t="s">
        <v>262</v>
      </c>
      <c r="Y41" s="25">
        <v>2</v>
      </c>
    </row>
    <row r="42" spans="1:26" ht="14.25" hidden="1" customHeight="1" x14ac:dyDescent="0.15">
      <c r="A42" s="24" t="s">
        <v>339</v>
      </c>
      <c r="B42" s="24" t="s">
        <v>88</v>
      </c>
      <c r="C42" s="25" t="s">
        <v>342</v>
      </c>
      <c r="D42" s="24" t="s">
        <v>65</v>
      </c>
      <c r="F42" s="24" t="s">
        <v>215</v>
      </c>
      <c r="G42" s="21">
        <v>2013</v>
      </c>
      <c r="H42" s="21">
        <v>0</v>
      </c>
      <c r="I42" s="21">
        <f t="shared" ca="1" si="0"/>
        <v>13</v>
      </c>
      <c r="J42" s="21">
        <v>3</v>
      </c>
      <c r="K42" s="25" t="str">
        <f t="shared" ca="1" si="1"/>
        <v>Activo</v>
      </c>
      <c r="L42" s="25" t="s">
        <v>49</v>
      </c>
      <c r="M42" s="25" t="s">
        <v>49</v>
      </c>
      <c r="N42" s="25" t="s">
        <v>49</v>
      </c>
      <c r="P42" s="26" t="s">
        <v>22</v>
      </c>
      <c r="Q42" s="34">
        <v>365</v>
      </c>
      <c r="R42" s="25" t="s">
        <v>64</v>
      </c>
      <c r="S42" s="28">
        <v>46198</v>
      </c>
      <c r="T42" s="28">
        <f t="shared" si="2"/>
        <v>46563</v>
      </c>
      <c r="U42" s="25">
        <f t="shared" ca="1" si="3"/>
        <v>302</v>
      </c>
      <c r="V42" s="25" t="str">
        <f t="shared" ca="1" si="4"/>
        <v>AL DÍA</v>
      </c>
      <c r="W42" s="25" t="s">
        <v>24</v>
      </c>
      <c r="X42" s="25" t="s">
        <v>277</v>
      </c>
      <c r="Y42" s="25">
        <v>2</v>
      </c>
      <c r="Z42" s="1" t="s">
        <v>284</v>
      </c>
    </row>
    <row r="43" spans="1:26" ht="14.25" hidden="1" customHeight="1" x14ac:dyDescent="0.15">
      <c r="A43" s="24" t="s">
        <v>339</v>
      </c>
      <c r="B43" s="24" t="s">
        <v>88</v>
      </c>
      <c r="C43" s="25" t="s">
        <v>342</v>
      </c>
      <c r="D43" s="24" t="s">
        <v>65</v>
      </c>
      <c r="E43" s="24" t="s">
        <v>451</v>
      </c>
      <c r="F43" s="24" t="s">
        <v>93</v>
      </c>
      <c r="G43" s="21">
        <v>2013</v>
      </c>
      <c r="H43" s="21">
        <v>20</v>
      </c>
      <c r="I43" s="21">
        <f t="shared" ca="1" si="0"/>
        <v>13</v>
      </c>
      <c r="J43" s="21">
        <v>3</v>
      </c>
      <c r="K43" s="25" t="str">
        <f t="shared" ca="1" si="1"/>
        <v>Activo</v>
      </c>
      <c r="L43" s="25" t="s">
        <v>142</v>
      </c>
      <c r="P43" s="25" t="s">
        <v>22</v>
      </c>
      <c r="Q43" s="32">
        <v>365</v>
      </c>
      <c r="R43" s="25" t="s">
        <v>69</v>
      </c>
      <c r="S43" s="28">
        <v>46198</v>
      </c>
      <c r="T43" s="28">
        <f t="shared" si="2"/>
        <v>46563</v>
      </c>
      <c r="U43" s="25">
        <f t="shared" ca="1" si="3"/>
        <v>302</v>
      </c>
      <c r="V43" s="25" t="str">
        <f t="shared" ca="1" si="4"/>
        <v>AL DÍA</v>
      </c>
      <c r="W43" s="25" t="s">
        <v>24</v>
      </c>
      <c r="X43" s="25" t="s">
        <v>262</v>
      </c>
      <c r="Y43" s="25">
        <v>1</v>
      </c>
      <c r="Z43" s="1" t="s">
        <v>265</v>
      </c>
    </row>
    <row r="44" spans="1:26" ht="14.25" hidden="1" customHeight="1" x14ac:dyDescent="0.15">
      <c r="A44" s="24" t="s">
        <v>339</v>
      </c>
      <c r="B44" s="24" t="s">
        <v>88</v>
      </c>
      <c r="C44" s="25" t="s">
        <v>342</v>
      </c>
      <c r="D44" s="24" t="s">
        <v>65</v>
      </c>
      <c r="F44" s="24" t="s">
        <v>217</v>
      </c>
      <c r="G44" s="21">
        <v>2013</v>
      </c>
      <c r="H44" s="21">
        <v>0</v>
      </c>
      <c r="I44" s="21">
        <f t="shared" ca="1" si="0"/>
        <v>13</v>
      </c>
      <c r="J44" s="21">
        <v>3</v>
      </c>
      <c r="K44" s="25" t="str">
        <f t="shared" ca="1" si="1"/>
        <v>Activo</v>
      </c>
      <c r="L44" s="25" t="s">
        <v>49</v>
      </c>
      <c r="O44" s="72"/>
      <c r="Q44" s="34">
        <v>365</v>
      </c>
      <c r="R44" s="25" t="s">
        <v>64</v>
      </c>
      <c r="S44" s="28">
        <v>46198</v>
      </c>
      <c r="T44" s="28">
        <f t="shared" si="2"/>
        <v>46563</v>
      </c>
      <c r="U44" s="25">
        <f t="shared" ca="1" si="3"/>
        <v>302</v>
      </c>
      <c r="V44" s="25" t="str">
        <f t="shared" ca="1" si="4"/>
        <v>AL DÍA</v>
      </c>
      <c r="W44" s="25" t="s">
        <v>24</v>
      </c>
      <c r="X44" s="25" t="s">
        <v>262</v>
      </c>
      <c r="Y44" s="25">
        <v>2</v>
      </c>
    </row>
    <row r="45" spans="1:26" ht="14.25" hidden="1" customHeight="1" x14ac:dyDescent="0.15">
      <c r="A45" s="24" t="s">
        <v>339</v>
      </c>
      <c r="B45" s="24" t="s">
        <v>88</v>
      </c>
      <c r="C45" s="25" t="s">
        <v>342</v>
      </c>
      <c r="D45" s="24" t="s">
        <v>65</v>
      </c>
      <c r="F45" s="24" t="s">
        <v>218</v>
      </c>
      <c r="G45" s="21">
        <v>2013</v>
      </c>
      <c r="H45" s="21">
        <v>0</v>
      </c>
      <c r="I45" s="21">
        <f t="shared" ca="1" si="0"/>
        <v>13</v>
      </c>
      <c r="J45" s="21">
        <v>3</v>
      </c>
      <c r="K45" s="25" t="str">
        <f t="shared" ca="1" si="1"/>
        <v>Activo</v>
      </c>
      <c r="L45" s="25" t="s">
        <v>49</v>
      </c>
      <c r="O45" s="25" t="s">
        <v>227</v>
      </c>
      <c r="P45" s="26"/>
      <c r="Q45" s="34">
        <v>365</v>
      </c>
      <c r="R45" s="25" t="s">
        <v>64</v>
      </c>
      <c r="S45" s="28">
        <v>46198</v>
      </c>
      <c r="T45" s="28">
        <f t="shared" si="2"/>
        <v>46563</v>
      </c>
      <c r="U45" s="25">
        <f t="shared" ca="1" si="3"/>
        <v>302</v>
      </c>
      <c r="V45" s="25" t="str">
        <f t="shared" ca="1" si="4"/>
        <v>AL DÍA</v>
      </c>
      <c r="W45" s="25" t="s">
        <v>24</v>
      </c>
      <c r="X45" s="25" t="s">
        <v>262</v>
      </c>
      <c r="Y45" s="25">
        <v>2</v>
      </c>
    </row>
    <row r="46" spans="1:26" ht="14.25" hidden="1" customHeight="1" x14ac:dyDescent="0.15">
      <c r="A46" s="24" t="s">
        <v>339</v>
      </c>
      <c r="B46" s="24" t="s">
        <v>88</v>
      </c>
      <c r="C46" s="25" t="s">
        <v>342</v>
      </c>
      <c r="D46" s="24" t="s">
        <v>16</v>
      </c>
      <c r="F46" s="24" t="s">
        <v>219</v>
      </c>
      <c r="G46" s="21">
        <v>2019</v>
      </c>
      <c r="H46" s="21">
        <v>15</v>
      </c>
      <c r="I46" s="21">
        <f t="shared" ca="1" si="0"/>
        <v>7</v>
      </c>
      <c r="J46" s="21">
        <v>3</v>
      </c>
      <c r="K46" s="25" t="str">
        <f t="shared" ca="1" si="1"/>
        <v>Activo</v>
      </c>
      <c r="L46" s="72"/>
      <c r="M46" s="72"/>
      <c r="N46" s="26"/>
      <c r="O46" s="25" t="s">
        <v>221</v>
      </c>
      <c r="P46" s="26" t="s">
        <v>49</v>
      </c>
      <c r="Q46" s="34">
        <v>365</v>
      </c>
      <c r="R46" s="25" t="s">
        <v>64</v>
      </c>
      <c r="S46" s="28">
        <v>46198</v>
      </c>
      <c r="T46" s="28">
        <f t="shared" si="2"/>
        <v>46563</v>
      </c>
      <c r="U46" s="25">
        <f t="shared" ca="1" si="3"/>
        <v>302</v>
      </c>
      <c r="V46" s="25" t="str">
        <f t="shared" ca="1" si="4"/>
        <v>AL DÍA</v>
      </c>
      <c r="W46" s="25" t="s">
        <v>24</v>
      </c>
      <c r="X46" s="25" t="s">
        <v>271</v>
      </c>
      <c r="Y46" s="25">
        <v>2</v>
      </c>
      <c r="Z46" s="1" t="s">
        <v>303</v>
      </c>
    </row>
    <row r="47" spans="1:26" ht="14.25" hidden="1" customHeight="1" x14ac:dyDescent="0.15">
      <c r="A47" s="24" t="s">
        <v>339</v>
      </c>
      <c r="B47" s="24" t="s">
        <v>88</v>
      </c>
      <c r="C47" s="25" t="s">
        <v>342</v>
      </c>
      <c r="D47" s="24" t="s">
        <v>16</v>
      </c>
      <c r="F47" s="24" t="s">
        <v>224</v>
      </c>
      <c r="G47" s="21">
        <v>2013</v>
      </c>
      <c r="H47" s="21">
        <v>0</v>
      </c>
      <c r="I47" s="21">
        <f t="shared" ca="1" si="0"/>
        <v>13</v>
      </c>
      <c r="J47" s="21">
        <v>3</v>
      </c>
      <c r="K47" s="25" t="str">
        <f t="shared" ca="1" si="1"/>
        <v>Activo</v>
      </c>
      <c r="M47" s="26"/>
      <c r="N47" s="26"/>
      <c r="P47" s="26"/>
      <c r="Q47" s="34">
        <v>365</v>
      </c>
      <c r="R47" s="25" t="s">
        <v>64</v>
      </c>
      <c r="S47" s="28">
        <v>46198</v>
      </c>
      <c r="T47" s="28">
        <f t="shared" si="2"/>
        <v>46563</v>
      </c>
      <c r="U47" s="25">
        <f t="shared" ca="1" si="3"/>
        <v>302</v>
      </c>
      <c r="V47" s="25" t="str">
        <f t="shared" ca="1" si="4"/>
        <v>AL DÍA</v>
      </c>
      <c r="W47" s="25" t="s">
        <v>24</v>
      </c>
      <c r="X47" s="25" t="s">
        <v>271</v>
      </c>
      <c r="Y47" s="25">
        <v>2</v>
      </c>
    </row>
    <row r="48" spans="1:26" ht="14.25" hidden="1" customHeight="1" x14ac:dyDescent="0.15">
      <c r="A48" s="24" t="s">
        <v>339</v>
      </c>
      <c r="B48" s="24" t="s">
        <v>88</v>
      </c>
      <c r="C48" s="25" t="s">
        <v>342</v>
      </c>
      <c r="D48" s="24" t="s">
        <v>65</v>
      </c>
      <c r="F48" s="24" t="s">
        <v>220</v>
      </c>
      <c r="G48" s="21">
        <v>2013</v>
      </c>
      <c r="H48" s="21">
        <v>0</v>
      </c>
      <c r="I48" s="21">
        <f t="shared" ca="1" si="0"/>
        <v>13</v>
      </c>
      <c r="J48" s="21">
        <v>3</v>
      </c>
      <c r="K48" s="25" t="str">
        <f t="shared" ca="1" si="1"/>
        <v>Activo</v>
      </c>
      <c r="L48" s="26" t="s">
        <v>49</v>
      </c>
      <c r="M48" s="26"/>
      <c r="N48" s="26"/>
      <c r="O48" s="25" t="s">
        <v>222</v>
      </c>
      <c r="P48" s="26"/>
      <c r="Q48" s="34">
        <v>365</v>
      </c>
      <c r="R48" s="25" t="s">
        <v>64</v>
      </c>
      <c r="S48" s="28">
        <v>46198</v>
      </c>
      <c r="T48" s="28">
        <f t="shared" si="2"/>
        <v>46563</v>
      </c>
      <c r="U48" s="25">
        <f t="shared" ca="1" si="3"/>
        <v>302</v>
      </c>
      <c r="V48" s="25" t="str">
        <f t="shared" ca="1" si="4"/>
        <v>AL DÍA</v>
      </c>
      <c r="W48" s="25" t="s">
        <v>24</v>
      </c>
      <c r="X48" s="25" t="s">
        <v>262</v>
      </c>
      <c r="Y48" s="25">
        <v>2</v>
      </c>
    </row>
    <row r="49" spans="1:26" ht="14.25" hidden="1" customHeight="1" x14ac:dyDescent="0.15">
      <c r="A49" s="24" t="s">
        <v>339</v>
      </c>
      <c r="B49" s="24" t="s">
        <v>88</v>
      </c>
      <c r="C49" s="25" t="s">
        <v>343</v>
      </c>
      <c r="D49" s="24" t="s">
        <v>65</v>
      </c>
      <c r="F49" s="24" t="s">
        <v>215</v>
      </c>
      <c r="G49" s="21">
        <v>2013</v>
      </c>
      <c r="H49" s="21">
        <v>0</v>
      </c>
      <c r="I49" s="21">
        <f t="shared" ca="1" si="0"/>
        <v>13</v>
      </c>
      <c r="J49" s="21">
        <v>3</v>
      </c>
      <c r="K49" s="25" t="str">
        <f t="shared" ca="1" si="1"/>
        <v>Activo</v>
      </c>
      <c r="L49" s="25" t="s">
        <v>49</v>
      </c>
      <c r="M49" s="25" t="s">
        <v>49</v>
      </c>
      <c r="N49" s="25" t="s">
        <v>49</v>
      </c>
      <c r="P49" s="26" t="s">
        <v>22</v>
      </c>
      <c r="Q49" s="34">
        <v>365</v>
      </c>
      <c r="R49" s="25" t="s">
        <v>64</v>
      </c>
      <c r="S49" s="28">
        <v>46198</v>
      </c>
      <c r="T49" s="28">
        <f t="shared" si="2"/>
        <v>46563</v>
      </c>
      <c r="U49" s="25">
        <f t="shared" ca="1" si="3"/>
        <v>302</v>
      </c>
      <c r="V49" s="25" t="str">
        <f t="shared" ca="1" si="4"/>
        <v>AL DÍA</v>
      </c>
      <c r="W49" s="25" t="s">
        <v>24</v>
      </c>
      <c r="X49" s="25" t="s">
        <v>277</v>
      </c>
      <c r="Y49" s="25">
        <v>2</v>
      </c>
      <c r="Z49" s="1" t="s">
        <v>284</v>
      </c>
    </row>
    <row r="50" spans="1:26" ht="14.25" hidden="1" customHeight="1" x14ac:dyDescent="0.15">
      <c r="A50" s="24" t="s">
        <v>339</v>
      </c>
      <c r="B50" s="24" t="s">
        <v>88</v>
      </c>
      <c r="C50" s="25" t="s">
        <v>343</v>
      </c>
      <c r="D50" s="24" t="s">
        <v>65</v>
      </c>
      <c r="E50" s="24" t="s">
        <v>451</v>
      </c>
      <c r="F50" s="24" t="s">
        <v>93</v>
      </c>
      <c r="G50" s="21">
        <v>2013</v>
      </c>
      <c r="H50" s="21">
        <v>20</v>
      </c>
      <c r="I50" s="21">
        <f t="shared" ca="1" si="0"/>
        <v>13</v>
      </c>
      <c r="J50" s="21">
        <v>3</v>
      </c>
      <c r="K50" s="25" t="str">
        <f t="shared" ca="1" si="1"/>
        <v>Activo</v>
      </c>
      <c r="L50" s="25" t="s">
        <v>142</v>
      </c>
      <c r="P50" s="25" t="s">
        <v>22</v>
      </c>
      <c r="Q50" s="32">
        <v>365</v>
      </c>
      <c r="R50" s="25" t="s">
        <v>69</v>
      </c>
      <c r="S50" s="28">
        <v>46198</v>
      </c>
      <c r="T50" s="28">
        <f t="shared" si="2"/>
        <v>46563</v>
      </c>
      <c r="U50" s="25">
        <f t="shared" ca="1" si="3"/>
        <v>302</v>
      </c>
      <c r="V50" s="25" t="str">
        <f t="shared" ca="1" si="4"/>
        <v>AL DÍA</v>
      </c>
      <c r="W50" s="25" t="s">
        <v>24</v>
      </c>
      <c r="X50" s="25" t="s">
        <v>262</v>
      </c>
      <c r="Y50" s="25">
        <v>1</v>
      </c>
      <c r="Z50" s="1" t="s">
        <v>265</v>
      </c>
    </row>
    <row r="51" spans="1:26" ht="14.25" hidden="1" customHeight="1" x14ac:dyDescent="0.15">
      <c r="A51" s="24" t="s">
        <v>339</v>
      </c>
      <c r="B51" s="24" t="s">
        <v>88</v>
      </c>
      <c r="C51" s="25" t="s">
        <v>343</v>
      </c>
      <c r="D51" s="24" t="s">
        <v>65</v>
      </c>
      <c r="F51" s="24" t="s">
        <v>217</v>
      </c>
      <c r="G51" s="21">
        <v>2013</v>
      </c>
      <c r="H51" s="21">
        <v>0</v>
      </c>
      <c r="I51" s="21">
        <f t="shared" ca="1" si="0"/>
        <v>13</v>
      </c>
      <c r="J51" s="21">
        <v>3</v>
      </c>
      <c r="K51" s="25" t="str">
        <f t="shared" ca="1" si="1"/>
        <v>Activo</v>
      </c>
      <c r="L51" s="25" t="s">
        <v>49</v>
      </c>
      <c r="O51" s="73"/>
      <c r="P51" s="26"/>
      <c r="Q51" s="34">
        <v>365</v>
      </c>
      <c r="R51" s="25" t="s">
        <v>64</v>
      </c>
      <c r="S51" s="28">
        <v>46198</v>
      </c>
      <c r="T51" s="28">
        <f t="shared" si="2"/>
        <v>46563</v>
      </c>
      <c r="U51" s="25">
        <f t="shared" ca="1" si="3"/>
        <v>302</v>
      </c>
      <c r="V51" s="25" t="str">
        <f t="shared" ca="1" si="4"/>
        <v>AL DÍA</v>
      </c>
      <c r="W51" s="25" t="s">
        <v>24</v>
      </c>
      <c r="X51" s="25" t="s">
        <v>262</v>
      </c>
      <c r="Y51" s="25">
        <v>2</v>
      </c>
    </row>
    <row r="52" spans="1:26" ht="14.25" hidden="1" customHeight="1" x14ac:dyDescent="0.15">
      <c r="A52" s="24" t="s">
        <v>339</v>
      </c>
      <c r="B52" s="24" t="s">
        <v>88</v>
      </c>
      <c r="C52" s="25" t="s">
        <v>343</v>
      </c>
      <c r="D52" s="24" t="s">
        <v>65</v>
      </c>
      <c r="F52" s="24" t="s">
        <v>218</v>
      </c>
      <c r="G52" s="21">
        <v>2013</v>
      </c>
      <c r="H52" s="21">
        <v>0</v>
      </c>
      <c r="I52" s="21">
        <f t="shared" ca="1" si="0"/>
        <v>13</v>
      </c>
      <c r="J52" s="21">
        <v>3</v>
      </c>
      <c r="K52" s="25" t="str">
        <f t="shared" ca="1" si="1"/>
        <v>Activo</v>
      </c>
      <c r="L52" s="25" t="s">
        <v>49</v>
      </c>
      <c r="O52" s="25" t="s">
        <v>227</v>
      </c>
      <c r="P52" s="26"/>
      <c r="Q52" s="34">
        <v>365</v>
      </c>
      <c r="R52" s="25" t="s">
        <v>64</v>
      </c>
      <c r="S52" s="28">
        <v>46198</v>
      </c>
      <c r="T52" s="28">
        <f t="shared" si="2"/>
        <v>46563</v>
      </c>
      <c r="U52" s="25">
        <f t="shared" ca="1" si="3"/>
        <v>302</v>
      </c>
      <c r="V52" s="25" t="str">
        <f t="shared" ca="1" si="4"/>
        <v>AL DÍA</v>
      </c>
      <c r="W52" s="25" t="s">
        <v>24</v>
      </c>
      <c r="X52" s="25" t="s">
        <v>262</v>
      </c>
      <c r="Y52" s="25">
        <v>2</v>
      </c>
    </row>
    <row r="53" spans="1:26" ht="14.25" hidden="1" customHeight="1" x14ac:dyDescent="0.15">
      <c r="A53" s="24" t="s">
        <v>339</v>
      </c>
      <c r="B53" s="24" t="s">
        <v>88</v>
      </c>
      <c r="C53" s="25" t="s">
        <v>343</v>
      </c>
      <c r="D53" s="24" t="s">
        <v>16</v>
      </c>
      <c r="F53" s="24" t="s">
        <v>219</v>
      </c>
      <c r="G53" s="21">
        <v>2019</v>
      </c>
      <c r="H53" s="21">
        <v>15</v>
      </c>
      <c r="I53" s="21">
        <f t="shared" ca="1" si="0"/>
        <v>7</v>
      </c>
      <c r="J53" s="21">
        <v>3</v>
      </c>
      <c r="K53" s="25" t="str">
        <f t="shared" ca="1" si="1"/>
        <v>Activo</v>
      </c>
      <c r="L53" s="72"/>
      <c r="M53" s="72"/>
      <c r="O53" s="25" t="s">
        <v>221</v>
      </c>
      <c r="P53" s="26" t="s">
        <v>49</v>
      </c>
      <c r="Q53" s="34">
        <v>365</v>
      </c>
      <c r="R53" s="25" t="s">
        <v>64</v>
      </c>
      <c r="S53" s="28">
        <v>46198</v>
      </c>
      <c r="T53" s="28">
        <f t="shared" si="2"/>
        <v>46563</v>
      </c>
      <c r="U53" s="25">
        <f t="shared" ca="1" si="3"/>
        <v>302</v>
      </c>
      <c r="V53" s="25" t="str">
        <f t="shared" ca="1" si="4"/>
        <v>AL DÍA</v>
      </c>
      <c r="W53" s="25" t="s">
        <v>24</v>
      </c>
      <c r="X53" s="25" t="s">
        <v>271</v>
      </c>
      <c r="Y53" s="25">
        <v>2</v>
      </c>
      <c r="Z53" s="1" t="s">
        <v>303</v>
      </c>
    </row>
    <row r="54" spans="1:26" ht="14.25" hidden="1" customHeight="1" x14ac:dyDescent="0.15">
      <c r="A54" s="24" t="s">
        <v>339</v>
      </c>
      <c r="B54" s="24" t="s">
        <v>88</v>
      </c>
      <c r="C54" s="25" t="s">
        <v>343</v>
      </c>
      <c r="D54" s="24" t="s">
        <v>16</v>
      </c>
      <c r="F54" s="24" t="s">
        <v>224</v>
      </c>
      <c r="G54" s="21">
        <v>2013</v>
      </c>
      <c r="H54" s="21">
        <v>0</v>
      </c>
      <c r="I54" s="21">
        <f t="shared" ca="1" si="0"/>
        <v>13</v>
      </c>
      <c r="J54" s="21">
        <v>3</v>
      </c>
      <c r="K54" s="25" t="str">
        <f t="shared" ca="1" si="1"/>
        <v>Activo</v>
      </c>
      <c r="P54" s="26"/>
      <c r="Q54" s="34">
        <v>365</v>
      </c>
      <c r="R54" s="25" t="s">
        <v>64</v>
      </c>
      <c r="S54" s="28">
        <v>46198</v>
      </c>
      <c r="T54" s="28">
        <f t="shared" si="2"/>
        <v>46563</v>
      </c>
      <c r="U54" s="25">
        <f t="shared" ca="1" si="3"/>
        <v>302</v>
      </c>
      <c r="V54" s="25" t="str">
        <f t="shared" ca="1" si="4"/>
        <v>AL DÍA</v>
      </c>
      <c r="W54" s="25" t="s">
        <v>24</v>
      </c>
      <c r="X54" s="25" t="s">
        <v>271</v>
      </c>
      <c r="Y54" s="25">
        <v>2</v>
      </c>
    </row>
    <row r="55" spans="1:26" ht="14.25" hidden="1" customHeight="1" x14ac:dyDescent="0.15">
      <c r="A55" s="24" t="s">
        <v>339</v>
      </c>
      <c r="B55" s="24" t="s">
        <v>88</v>
      </c>
      <c r="C55" s="25" t="s">
        <v>343</v>
      </c>
      <c r="D55" s="24" t="s">
        <v>65</v>
      </c>
      <c r="F55" s="24" t="s">
        <v>220</v>
      </c>
      <c r="G55" s="21">
        <v>2013</v>
      </c>
      <c r="H55" s="21">
        <v>0</v>
      </c>
      <c r="I55" s="21">
        <f t="shared" ca="1" si="0"/>
        <v>13</v>
      </c>
      <c r="J55" s="21">
        <v>3</v>
      </c>
      <c r="K55" s="25" t="str">
        <f t="shared" ca="1" si="1"/>
        <v>Activo</v>
      </c>
      <c r="L55" s="25" t="s">
        <v>49</v>
      </c>
      <c r="O55" s="25" t="s">
        <v>222</v>
      </c>
      <c r="P55" s="26"/>
      <c r="Q55" s="34">
        <v>365</v>
      </c>
      <c r="R55" s="25" t="s">
        <v>64</v>
      </c>
      <c r="S55" s="28">
        <v>46198</v>
      </c>
      <c r="T55" s="28">
        <f t="shared" si="2"/>
        <v>46563</v>
      </c>
      <c r="U55" s="25">
        <f t="shared" ca="1" si="3"/>
        <v>302</v>
      </c>
      <c r="V55" s="25" t="str">
        <f t="shared" ca="1" si="4"/>
        <v>AL DÍA</v>
      </c>
      <c r="W55" s="25" t="s">
        <v>24</v>
      </c>
      <c r="X55" s="25" t="s">
        <v>262</v>
      </c>
      <c r="Y55" s="25">
        <v>2</v>
      </c>
    </row>
    <row r="56" spans="1:26" ht="14.25" hidden="1" customHeight="1" x14ac:dyDescent="0.15">
      <c r="A56" s="24" t="s">
        <v>339</v>
      </c>
      <c r="B56" s="24" t="s">
        <v>88</v>
      </c>
      <c r="C56" s="25" t="s">
        <v>344</v>
      </c>
      <c r="D56" s="24" t="s">
        <v>65</v>
      </c>
      <c r="F56" s="24" t="s">
        <v>215</v>
      </c>
      <c r="G56" s="21">
        <v>2013</v>
      </c>
      <c r="H56" s="21">
        <v>0</v>
      </c>
      <c r="I56" s="21">
        <f t="shared" ca="1" si="0"/>
        <v>13</v>
      </c>
      <c r="J56" s="21">
        <v>3</v>
      </c>
      <c r="K56" s="25" t="str">
        <f t="shared" ca="1" si="1"/>
        <v>Activo</v>
      </c>
      <c r="L56" s="25" t="s">
        <v>49</v>
      </c>
      <c r="M56" s="25" t="s">
        <v>49</v>
      </c>
      <c r="N56" s="25" t="s">
        <v>49</v>
      </c>
      <c r="P56" s="26" t="s">
        <v>22</v>
      </c>
      <c r="Q56" s="34">
        <v>365</v>
      </c>
      <c r="R56" s="25" t="s">
        <v>64</v>
      </c>
      <c r="S56" s="28">
        <v>46198</v>
      </c>
      <c r="T56" s="28">
        <f t="shared" si="2"/>
        <v>46563</v>
      </c>
      <c r="U56" s="25">
        <f t="shared" ca="1" si="3"/>
        <v>302</v>
      </c>
      <c r="V56" s="25" t="str">
        <f t="shared" ca="1" si="4"/>
        <v>AL DÍA</v>
      </c>
      <c r="W56" s="25" t="s">
        <v>24</v>
      </c>
      <c r="X56" s="25" t="s">
        <v>277</v>
      </c>
      <c r="Y56" s="25">
        <v>2</v>
      </c>
      <c r="Z56" s="1" t="s">
        <v>284</v>
      </c>
    </row>
    <row r="57" spans="1:26" ht="14.25" hidden="1" customHeight="1" x14ac:dyDescent="0.15">
      <c r="A57" s="24" t="s">
        <v>339</v>
      </c>
      <c r="B57" s="24" t="s">
        <v>88</v>
      </c>
      <c r="C57" s="25" t="s">
        <v>344</v>
      </c>
      <c r="D57" s="24" t="s">
        <v>65</v>
      </c>
      <c r="E57" s="24" t="s">
        <v>451</v>
      </c>
      <c r="F57" s="24" t="s">
        <v>93</v>
      </c>
      <c r="G57" s="21">
        <v>2013</v>
      </c>
      <c r="H57" s="21">
        <v>20</v>
      </c>
      <c r="I57" s="21">
        <f t="shared" ca="1" si="0"/>
        <v>13</v>
      </c>
      <c r="J57" s="21">
        <v>3</v>
      </c>
      <c r="K57" s="25" t="str">
        <f t="shared" ca="1" si="1"/>
        <v>Activo</v>
      </c>
      <c r="L57" s="25" t="s">
        <v>142</v>
      </c>
      <c r="P57" s="25" t="s">
        <v>22</v>
      </c>
      <c r="Q57" s="32">
        <v>365</v>
      </c>
      <c r="R57" s="25" t="s">
        <v>69</v>
      </c>
      <c r="S57" s="28">
        <v>46198</v>
      </c>
      <c r="T57" s="28">
        <f t="shared" si="2"/>
        <v>46563</v>
      </c>
      <c r="U57" s="25">
        <f t="shared" ca="1" si="3"/>
        <v>302</v>
      </c>
      <c r="V57" s="25" t="str">
        <f t="shared" ca="1" si="4"/>
        <v>AL DÍA</v>
      </c>
      <c r="W57" s="25" t="s">
        <v>24</v>
      </c>
      <c r="X57" s="25" t="s">
        <v>262</v>
      </c>
      <c r="Y57" s="25">
        <v>1</v>
      </c>
      <c r="Z57" s="1" t="s">
        <v>265</v>
      </c>
    </row>
    <row r="58" spans="1:26" ht="14.25" hidden="1" customHeight="1" x14ac:dyDescent="0.15">
      <c r="A58" s="24" t="s">
        <v>339</v>
      </c>
      <c r="B58" s="24" t="s">
        <v>88</v>
      </c>
      <c r="C58" s="25" t="s">
        <v>344</v>
      </c>
      <c r="D58" s="24" t="s">
        <v>65</v>
      </c>
      <c r="F58" s="24" t="s">
        <v>217</v>
      </c>
      <c r="G58" s="21">
        <v>2013</v>
      </c>
      <c r="H58" s="21">
        <v>0</v>
      </c>
      <c r="I58" s="21">
        <f t="shared" ca="1" si="0"/>
        <v>13</v>
      </c>
      <c r="J58" s="21">
        <v>3</v>
      </c>
      <c r="K58" s="25" t="str">
        <f t="shared" ca="1" si="1"/>
        <v>Activo</v>
      </c>
      <c r="L58" s="25" t="s">
        <v>49</v>
      </c>
      <c r="O58" s="72"/>
      <c r="Q58" s="34">
        <v>365</v>
      </c>
      <c r="R58" s="25" t="s">
        <v>64</v>
      </c>
      <c r="S58" s="28">
        <v>46198</v>
      </c>
      <c r="T58" s="28">
        <f t="shared" si="2"/>
        <v>46563</v>
      </c>
      <c r="U58" s="25">
        <f t="shared" ca="1" si="3"/>
        <v>302</v>
      </c>
      <c r="V58" s="25" t="str">
        <f t="shared" ca="1" si="4"/>
        <v>AL DÍA</v>
      </c>
      <c r="W58" s="25" t="s">
        <v>24</v>
      </c>
      <c r="X58" s="25" t="s">
        <v>262</v>
      </c>
      <c r="Y58" s="25">
        <v>2</v>
      </c>
    </row>
    <row r="59" spans="1:26" ht="14.25" hidden="1" customHeight="1" x14ac:dyDescent="0.15">
      <c r="A59" s="24" t="s">
        <v>339</v>
      </c>
      <c r="B59" s="24" t="s">
        <v>88</v>
      </c>
      <c r="C59" s="25" t="s">
        <v>344</v>
      </c>
      <c r="D59" s="24" t="s">
        <v>65</v>
      </c>
      <c r="F59" s="24" t="s">
        <v>218</v>
      </c>
      <c r="G59" s="21">
        <v>2013</v>
      </c>
      <c r="H59" s="21">
        <v>0</v>
      </c>
      <c r="I59" s="21">
        <f t="shared" ca="1" si="0"/>
        <v>13</v>
      </c>
      <c r="J59" s="21">
        <v>3</v>
      </c>
      <c r="K59" s="25" t="str">
        <f t="shared" ca="1" si="1"/>
        <v>Activo</v>
      </c>
      <c r="L59" s="25" t="s">
        <v>49</v>
      </c>
      <c r="O59" s="25" t="s">
        <v>227</v>
      </c>
      <c r="P59" s="26"/>
      <c r="Q59" s="34">
        <v>365</v>
      </c>
      <c r="R59" s="25" t="s">
        <v>64</v>
      </c>
      <c r="S59" s="28">
        <v>46198</v>
      </c>
      <c r="T59" s="28">
        <f t="shared" si="2"/>
        <v>46563</v>
      </c>
      <c r="U59" s="25">
        <f t="shared" ca="1" si="3"/>
        <v>302</v>
      </c>
      <c r="V59" s="25" t="str">
        <f t="shared" ca="1" si="4"/>
        <v>AL DÍA</v>
      </c>
      <c r="W59" s="25" t="s">
        <v>24</v>
      </c>
      <c r="X59" s="25" t="s">
        <v>262</v>
      </c>
      <c r="Y59" s="25">
        <v>2</v>
      </c>
    </row>
    <row r="60" spans="1:26" ht="14.25" hidden="1" customHeight="1" x14ac:dyDescent="0.15">
      <c r="A60" s="24" t="s">
        <v>339</v>
      </c>
      <c r="B60" s="24" t="s">
        <v>88</v>
      </c>
      <c r="C60" s="25" t="s">
        <v>344</v>
      </c>
      <c r="D60" s="24" t="s">
        <v>16</v>
      </c>
      <c r="F60" s="24" t="s">
        <v>219</v>
      </c>
      <c r="G60" s="21">
        <v>2019</v>
      </c>
      <c r="H60" s="21">
        <v>15</v>
      </c>
      <c r="I60" s="21">
        <f t="shared" ca="1" si="0"/>
        <v>7</v>
      </c>
      <c r="J60" s="21">
        <v>3</v>
      </c>
      <c r="K60" s="25" t="str">
        <f t="shared" ca="1" si="1"/>
        <v>Activo</v>
      </c>
      <c r="L60" s="72"/>
      <c r="M60" s="73"/>
      <c r="N60" s="26"/>
      <c r="O60" s="25" t="s">
        <v>221</v>
      </c>
      <c r="P60" s="26" t="s">
        <v>49</v>
      </c>
      <c r="Q60" s="34">
        <v>365</v>
      </c>
      <c r="R60" s="25" t="s">
        <v>64</v>
      </c>
      <c r="S60" s="28">
        <v>46198</v>
      </c>
      <c r="T60" s="28">
        <f t="shared" si="2"/>
        <v>46563</v>
      </c>
      <c r="U60" s="25">
        <f t="shared" ca="1" si="3"/>
        <v>302</v>
      </c>
      <c r="V60" s="25" t="str">
        <f t="shared" ca="1" si="4"/>
        <v>AL DÍA</v>
      </c>
      <c r="W60" s="25" t="s">
        <v>24</v>
      </c>
      <c r="X60" s="25" t="s">
        <v>271</v>
      </c>
      <c r="Y60" s="25">
        <v>2</v>
      </c>
      <c r="Z60" s="1" t="s">
        <v>303</v>
      </c>
    </row>
    <row r="61" spans="1:26" ht="14.25" hidden="1" customHeight="1" x14ac:dyDescent="0.15">
      <c r="A61" s="24" t="s">
        <v>339</v>
      </c>
      <c r="B61" s="24" t="s">
        <v>88</v>
      </c>
      <c r="C61" s="25" t="s">
        <v>344</v>
      </c>
      <c r="D61" s="24" t="s">
        <v>16</v>
      </c>
      <c r="F61" s="24" t="s">
        <v>224</v>
      </c>
      <c r="G61" s="21">
        <v>2013</v>
      </c>
      <c r="H61" s="21">
        <v>0</v>
      </c>
      <c r="I61" s="21">
        <f t="shared" ca="1" si="0"/>
        <v>13</v>
      </c>
      <c r="J61" s="21">
        <v>3</v>
      </c>
      <c r="K61" s="25" t="str">
        <f t="shared" ca="1" si="1"/>
        <v>Activo</v>
      </c>
      <c r="P61" s="26"/>
      <c r="Q61" s="34">
        <v>365</v>
      </c>
      <c r="R61" s="25" t="s">
        <v>64</v>
      </c>
      <c r="S61" s="28">
        <v>46198</v>
      </c>
      <c r="T61" s="28">
        <f t="shared" si="2"/>
        <v>46563</v>
      </c>
      <c r="U61" s="25">
        <f t="shared" ca="1" si="3"/>
        <v>302</v>
      </c>
      <c r="V61" s="25" t="str">
        <f t="shared" ca="1" si="4"/>
        <v>AL DÍA</v>
      </c>
      <c r="W61" s="25" t="s">
        <v>24</v>
      </c>
      <c r="X61" s="25" t="s">
        <v>271</v>
      </c>
      <c r="Y61" s="25">
        <v>2</v>
      </c>
    </row>
    <row r="62" spans="1:26" ht="14.25" hidden="1" customHeight="1" x14ac:dyDescent="0.15">
      <c r="A62" s="24" t="s">
        <v>339</v>
      </c>
      <c r="B62" s="24" t="s">
        <v>88</v>
      </c>
      <c r="C62" s="25" t="s">
        <v>344</v>
      </c>
      <c r="D62" s="24" t="s">
        <v>65</v>
      </c>
      <c r="F62" s="24" t="s">
        <v>220</v>
      </c>
      <c r="G62" s="21">
        <v>2013</v>
      </c>
      <c r="H62" s="21">
        <v>0</v>
      </c>
      <c r="I62" s="21">
        <f t="shared" ca="1" si="0"/>
        <v>13</v>
      </c>
      <c r="J62" s="21">
        <v>3</v>
      </c>
      <c r="K62" s="25" t="str">
        <f t="shared" ca="1" si="1"/>
        <v>Activo</v>
      </c>
      <c r="L62" s="25" t="s">
        <v>49</v>
      </c>
      <c r="O62" s="25" t="s">
        <v>222</v>
      </c>
      <c r="P62" s="26"/>
      <c r="Q62" s="34">
        <v>365</v>
      </c>
      <c r="R62" s="25" t="s">
        <v>64</v>
      </c>
      <c r="S62" s="28">
        <v>46198</v>
      </c>
      <c r="T62" s="28">
        <f t="shared" si="2"/>
        <v>46563</v>
      </c>
      <c r="U62" s="25">
        <f t="shared" ca="1" si="3"/>
        <v>302</v>
      </c>
      <c r="V62" s="25" t="str">
        <f t="shared" ca="1" si="4"/>
        <v>AL DÍA</v>
      </c>
      <c r="W62" s="25" t="s">
        <v>24</v>
      </c>
      <c r="X62" s="25" t="s">
        <v>262</v>
      </c>
      <c r="Y62" s="25">
        <v>2</v>
      </c>
    </row>
    <row r="63" spans="1:26" ht="14.25" hidden="1" customHeight="1" x14ac:dyDescent="0.15">
      <c r="A63" s="24" t="s">
        <v>339</v>
      </c>
      <c r="B63" s="24" t="s">
        <v>88</v>
      </c>
      <c r="C63" s="25" t="s">
        <v>345</v>
      </c>
      <c r="D63" s="24" t="s">
        <v>65</v>
      </c>
      <c r="F63" s="24" t="s">
        <v>215</v>
      </c>
      <c r="G63" s="21">
        <v>2013</v>
      </c>
      <c r="H63" s="21">
        <v>0</v>
      </c>
      <c r="I63" s="21">
        <f t="shared" ca="1" si="0"/>
        <v>13</v>
      </c>
      <c r="J63" s="21">
        <v>3</v>
      </c>
      <c r="K63" s="25" t="str">
        <f t="shared" ca="1" si="1"/>
        <v>Activo</v>
      </c>
      <c r="L63" s="25" t="s">
        <v>49</v>
      </c>
      <c r="M63" s="25" t="s">
        <v>49</v>
      </c>
      <c r="N63" s="25" t="s">
        <v>49</v>
      </c>
      <c r="P63" s="26" t="s">
        <v>22</v>
      </c>
      <c r="Q63" s="34">
        <v>365</v>
      </c>
      <c r="R63" s="25" t="s">
        <v>64</v>
      </c>
      <c r="S63" s="28">
        <v>46198</v>
      </c>
      <c r="T63" s="28">
        <f t="shared" si="2"/>
        <v>46563</v>
      </c>
      <c r="U63" s="25">
        <f t="shared" ca="1" si="3"/>
        <v>302</v>
      </c>
      <c r="V63" s="25" t="str">
        <f t="shared" ca="1" si="4"/>
        <v>AL DÍA</v>
      </c>
      <c r="W63" s="25" t="s">
        <v>24</v>
      </c>
      <c r="X63" s="25" t="s">
        <v>277</v>
      </c>
      <c r="Y63" s="25">
        <v>2</v>
      </c>
      <c r="Z63" s="1" t="s">
        <v>284</v>
      </c>
    </row>
    <row r="64" spans="1:26" ht="14.25" hidden="1" customHeight="1" x14ac:dyDescent="0.15">
      <c r="A64" s="24" t="s">
        <v>339</v>
      </c>
      <c r="B64" s="24" t="s">
        <v>88</v>
      </c>
      <c r="C64" s="25" t="s">
        <v>345</v>
      </c>
      <c r="D64" s="24" t="s">
        <v>65</v>
      </c>
      <c r="E64" s="24" t="s">
        <v>451</v>
      </c>
      <c r="F64" s="24" t="s">
        <v>93</v>
      </c>
      <c r="G64" s="21">
        <v>2013</v>
      </c>
      <c r="H64" s="21">
        <v>20</v>
      </c>
      <c r="I64" s="21">
        <f t="shared" ca="1" si="0"/>
        <v>13</v>
      </c>
      <c r="J64" s="21">
        <v>3</v>
      </c>
      <c r="K64" s="25" t="str">
        <f t="shared" ca="1" si="1"/>
        <v>Activo</v>
      </c>
      <c r="L64" s="25" t="s">
        <v>142</v>
      </c>
      <c r="P64" s="25" t="s">
        <v>22</v>
      </c>
      <c r="Q64" s="32">
        <v>365</v>
      </c>
      <c r="R64" s="25" t="s">
        <v>69</v>
      </c>
      <c r="S64" s="28">
        <v>46198</v>
      </c>
      <c r="T64" s="28">
        <f t="shared" si="2"/>
        <v>46563</v>
      </c>
      <c r="U64" s="25">
        <f t="shared" ca="1" si="3"/>
        <v>302</v>
      </c>
      <c r="V64" s="25" t="str">
        <f t="shared" ca="1" si="4"/>
        <v>AL DÍA</v>
      </c>
      <c r="W64" s="25" t="s">
        <v>24</v>
      </c>
      <c r="X64" s="25" t="s">
        <v>262</v>
      </c>
      <c r="Y64" s="25">
        <v>1</v>
      </c>
      <c r="Z64" s="1" t="s">
        <v>265</v>
      </c>
    </row>
    <row r="65" spans="1:26" ht="14.25" hidden="1" customHeight="1" x14ac:dyDescent="0.15">
      <c r="A65" s="24" t="s">
        <v>339</v>
      </c>
      <c r="B65" s="24" t="s">
        <v>88</v>
      </c>
      <c r="C65" s="25" t="s">
        <v>345</v>
      </c>
      <c r="D65" s="24" t="s">
        <v>65</v>
      </c>
      <c r="F65" s="24" t="s">
        <v>217</v>
      </c>
      <c r="G65" s="21">
        <v>2013</v>
      </c>
      <c r="H65" s="21">
        <v>0</v>
      </c>
      <c r="I65" s="21">
        <f t="shared" ca="1" si="0"/>
        <v>13</v>
      </c>
      <c r="J65" s="21">
        <v>3</v>
      </c>
      <c r="K65" s="25" t="str">
        <f t="shared" ca="1" si="1"/>
        <v>Activo</v>
      </c>
      <c r="L65" s="25" t="s">
        <v>49</v>
      </c>
      <c r="O65" s="72"/>
      <c r="P65" s="26"/>
      <c r="Q65" s="34">
        <v>365</v>
      </c>
      <c r="R65" s="25" t="s">
        <v>64</v>
      </c>
      <c r="S65" s="28">
        <v>46198</v>
      </c>
      <c r="T65" s="28">
        <f t="shared" si="2"/>
        <v>46563</v>
      </c>
      <c r="U65" s="25">
        <f t="shared" ca="1" si="3"/>
        <v>302</v>
      </c>
      <c r="V65" s="25" t="str">
        <f t="shared" ca="1" si="4"/>
        <v>AL DÍA</v>
      </c>
      <c r="W65" s="25" t="s">
        <v>24</v>
      </c>
      <c r="X65" s="25" t="s">
        <v>262</v>
      </c>
      <c r="Y65" s="25">
        <v>2</v>
      </c>
    </row>
    <row r="66" spans="1:26" ht="14.25" hidden="1" customHeight="1" x14ac:dyDescent="0.15">
      <c r="A66" s="24" t="s">
        <v>339</v>
      </c>
      <c r="B66" s="24" t="s">
        <v>88</v>
      </c>
      <c r="C66" s="25" t="s">
        <v>345</v>
      </c>
      <c r="D66" s="24" t="s">
        <v>65</v>
      </c>
      <c r="F66" s="24" t="s">
        <v>218</v>
      </c>
      <c r="G66" s="21">
        <v>2013</v>
      </c>
      <c r="H66" s="21">
        <v>0</v>
      </c>
      <c r="I66" s="21">
        <f t="shared" ref="I66:I129" ca="1" si="5">YEAR(TODAY())-G66</f>
        <v>13</v>
      </c>
      <c r="J66" s="21">
        <v>3</v>
      </c>
      <c r="K66" s="25" t="str">
        <f t="shared" ref="K66:K129" ca="1" si="6">IF(J66=1,"Cambiar",IF(J66=2,"Presupuestar",IF(H66=0,"Activo",IF(G66+H66&lt;YEAR(TODAY()),"Cambiar o Inspección externa",IF(G66+H66-1&lt;YEAR(TODAY()),"Presupuestar","Activo")))))</f>
        <v>Activo</v>
      </c>
      <c r="L66" s="25" t="s">
        <v>49</v>
      </c>
      <c r="O66" s="25" t="s">
        <v>227</v>
      </c>
      <c r="P66" s="26"/>
      <c r="Q66" s="34">
        <v>365</v>
      </c>
      <c r="R66" s="25" t="s">
        <v>64</v>
      </c>
      <c r="S66" s="28">
        <v>46198</v>
      </c>
      <c r="T66" s="28">
        <f t="shared" ref="T66:T129" si="7">+S66+Q66</f>
        <v>46563</v>
      </c>
      <c r="U66" s="25">
        <f t="shared" ref="U66:U129" ca="1" si="8">T66-TODAY()</f>
        <v>302</v>
      </c>
      <c r="V66" s="25" t="str">
        <f t="shared" ref="V66:V129" ca="1" si="9">IF(U66&lt;0, "VENCIDO", "AL DÍA")</f>
        <v>AL DÍA</v>
      </c>
      <c r="W66" s="25" t="s">
        <v>24</v>
      </c>
      <c r="X66" s="25" t="s">
        <v>262</v>
      </c>
      <c r="Y66" s="25">
        <v>2</v>
      </c>
    </row>
    <row r="67" spans="1:26" ht="14.25" hidden="1" customHeight="1" x14ac:dyDescent="0.15">
      <c r="A67" s="24" t="s">
        <v>339</v>
      </c>
      <c r="B67" s="24" t="s">
        <v>88</v>
      </c>
      <c r="C67" s="25" t="s">
        <v>345</v>
      </c>
      <c r="D67" s="24" t="s">
        <v>16</v>
      </c>
      <c r="F67" s="24" t="s">
        <v>219</v>
      </c>
      <c r="G67" s="21">
        <v>2019</v>
      </c>
      <c r="H67" s="21">
        <v>15</v>
      </c>
      <c r="I67" s="21">
        <f t="shared" ca="1" si="5"/>
        <v>7</v>
      </c>
      <c r="J67" s="21">
        <v>3</v>
      </c>
      <c r="K67" s="25" t="str">
        <f t="shared" ca="1" si="6"/>
        <v>Activo</v>
      </c>
      <c r="L67" s="72"/>
      <c r="M67" s="72"/>
      <c r="N67" s="26"/>
      <c r="O67" s="25" t="s">
        <v>221</v>
      </c>
      <c r="P67" s="26" t="s">
        <v>49</v>
      </c>
      <c r="Q67" s="34">
        <v>365</v>
      </c>
      <c r="R67" s="25" t="s">
        <v>64</v>
      </c>
      <c r="S67" s="28">
        <v>46198</v>
      </c>
      <c r="T67" s="28">
        <f t="shared" si="7"/>
        <v>46563</v>
      </c>
      <c r="U67" s="25">
        <f t="shared" ca="1" si="8"/>
        <v>302</v>
      </c>
      <c r="V67" s="25" t="str">
        <f t="shared" ca="1" si="9"/>
        <v>AL DÍA</v>
      </c>
      <c r="W67" s="25" t="s">
        <v>24</v>
      </c>
      <c r="X67" s="25" t="s">
        <v>271</v>
      </c>
      <c r="Y67" s="25">
        <v>2</v>
      </c>
      <c r="Z67" s="1" t="s">
        <v>303</v>
      </c>
    </row>
    <row r="68" spans="1:26" ht="14.25" hidden="1" customHeight="1" x14ac:dyDescent="0.15">
      <c r="A68" s="24" t="s">
        <v>339</v>
      </c>
      <c r="B68" s="24" t="s">
        <v>88</v>
      </c>
      <c r="C68" s="25" t="s">
        <v>345</v>
      </c>
      <c r="D68" s="24" t="s">
        <v>16</v>
      </c>
      <c r="F68" s="24" t="s">
        <v>224</v>
      </c>
      <c r="G68" s="21">
        <v>2013</v>
      </c>
      <c r="H68" s="21">
        <v>0</v>
      </c>
      <c r="I68" s="21">
        <f t="shared" ca="1" si="5"/>
        <v>13</v>
      </c>
      <c r="J68" s="21">
        <v>3</v>
      </c>
      <c r="K68" s="25" t="str">
        <f t="shared" ca="1" si="6"/>
        <v>Activo</v>
      </c>
      <c r="P68" s="26"/>
      <c r="Q68" s="34">
        <v>365</v>
      </c>
      <c r="R68" s="25" t="s">
        <v>64</v>
      </c>
      <c r="S68" s="28">
        <v>46198</v>
      </c>
      <c r="T68" s="28">
        <f t="shared" si="7"/>
        <v>46563</v>
      </c>
      <c r="U68" s="25">
        <f t="shared" ca="1" si="8"/>
        <v>302</v>
      </c>
      <c r="V68" s="25" t="str">
        <f t="shared" ca="1" si="9"/>
        <v>AL DÍA</v>
      </c>
      <c r="W68" s="25" t="s">
        <v>24</v>
      </c>
      <c r="X68" s="25" t="s">
        <v>271</v>
      </c>
      <c r="Y68" s="25">
        <v>2</v>
      </c>
    </row>
    <row r="69" spans="1:26" ht="14.25" hidden="1" customHeight="1" x14ac:dyDescent="0.15">
      <c r="A69" s="24" t="s">
        <v>339</v>
      </c>
      <c r="B69" s="24" t="s">
        <v>88</v>
      </c>
      <c r="C69" s="25" t="s">
        <v>345</v>
      </c>
      <c r="D69" s="24" t="s">
        <v>65</v>
      </c>
      <c r="F69" s="24" t="s">
        <v>220</v>
      </c>
      <c r="G69" s="21">
        <v>2013</v>
      </c>
      <c r="H69" s="21">
        <v>0</v>
      </c>
      <c r="I69" s="21">
        <f t="shared" ca="1" si="5"/>
        <v>13</v>
      </c>
      <c r="J69" s="21">
        <v>3</v>
      </c>
      <c r="K69" s="25" t="str">
        <f t="shared" ca="1" si="6"/>
        <v>Activo</v>
      </c>
      <c r="L69" s="25" t="s">
        <v>49</v>
      </c>
      <c r="O69" s="26" t="s">
        <v>222</v>
      </c>
      <c r="P69" s="26"/>
      <c r="Q69" s="34">
        <v>365</v>
      </c>
      <c r="R69" s="25" t="s">
        <v>64</v>
      </c>
      <c r="S69" s="28">
        <v>46198</v>
      </c>
      <c r="T69" s="28">
        <f t="shared" si="7"/>
        <v>46563</v>
      </c>
      <c r="U69" s="25">
        <f t="shared" ca="1" si="8"/>
        <v>302</v>
      </c>
      <c r="V69" s="25" t="str">
        <f t="shared" ca="1" si="9"/>
        <v>AL DÍA</v>
      </c>
      <c r="W69" s="25" t="s">
        <v>24</v>
      </c>
      <c r="X69" s="25" t="s">
        <v>262</v>
      </c>
      <c r="Y69" s="25">
        <v>2</v>
      </c>
    </row>
    <row r="70" spans="1:26" ht="14.25" hidden="1" customHeight="1" x14ac:dyDescent="0.15">
      <c r="A70" s="24" t="s">
        <v>339</v>
      </c>
      <c r="B70" s="24" t="s">
        <v>88</v>
      </c>
      <c r="C70" s="25" t="s">
        <v>346</v>
      </c>
      <c r="D70" s="24" t="s">
        <v>65</v>
      </c>
      <c r="F70" s="24" t="s">
        <v>215</v>
      </c>
      <c r="G70" s="21">
        <v>2013</v>
      </c>
      <c r="H70" s="21">
        <v>0</v>
      </c>
      <c r="I70" s="21">
        <f t="shared" ca="1" si="5"/>
        <v>13</v>
      </c>
      <c r="J70" s="21">
        <v>3</v>
      </c>
      <c r="K70" s="25" t="str">
        <f t="shared" ca="1" si="6"/>
        <v>Activo</v>
      </c>
      <c r="L70" s="25" t="s">
        <v>49</v>
      </c>
      <c r="M70" s="25" t="s">
        <v>49</v>
      </c>
      <c r="N70" s="25" t="s">
        <v>49</v>
      </c>
      <c r="O70" s="26"/>
      <c r="P70" s="26" t="s">
        <v>22</v>
      </c>
      <c r="Q70" s="34">
        <v>365</v>
      </c>
      <c r="R70" s="25" t="s">
        <v>64</v>
      </c>
      <c r="S70" s="28">
        <v>46198</v>
      </c>
      <c r="T70" s="28">
        <f t="shared" si="7"/>
        <v>46563</v>
      </c>
      <c r="U70" s="25">
        <f t="shared" ca="1" si="8"/>
        <v>302</v>
      </c>
      <c r="V70" s="25" t="str">
        <f t="shared" ca="1" si="9"/>
        <v>AL DÍA</v>
      </c>
      <c r="W70" s="25" t="s">
        <v>24</v>
      </c>
      <c r="X70" s="25" t="s">
        <v>277</v>
      </c>
      <c r="Y70" s="25">
        <v>2</v>
      </c>
      <c r="Z70" s="1" t="s">
        <v>284</v>
      </c>
    </row>
    <row r="71" spans="1:26" ht="14.25" hidden="1" customHeight="1" x14ac:dyDescent="0.15">
      <c r="A71" s="24" t="s">
        <v>339</v>
      </c>
      <c r="B71" s="24" t="s">
        <v>88</v>
      </c>
      <c r="C71" s="25" t="s">
        <v>346</v>
      </c>
      <c r="D71" s="24" t="s">
        <v>65</v>
      </c>
      <c r="E71" s="24" t="s">
        <v>451</v>
      </c>
      <c r="F71" s="24" t="s">
        <v>93</v>
      </c>
      <c r="G71" s="21">
        <v>2013</v>
      </c>
      <c r="H71" s="21">
        <v>20</v>
      </c>
      <c r="I71" s="21">
        <f t="shared" ca="1" si="5"/>
        <v>13</v>
      </c>
      <c r="J71" s="21">
        <v>3</v>
      </c>
      <c r="K71" s="25" t="str">
        <f t="shared" ca="1" si="6"/>
        <v>Activo</v>
      </c>
      <c r="L71" s="25" t="s">
        <v>142</v>
      </c>
      <c r="P71" s="25" t="s">
        <v>22</v>
      </c>
      <c r="Q71" s="32">
        <v>365</v>
      </c>
      <c r="R71" s="25" t="s">
        <v>69</v>
      </c>
      <c r="S71" s="28">
        <v>46198</v>
      </c>
      <c r="T71" s="28">
        <f t="shared" si="7"/>
        <v>46563</v>
      </c>
      <c r="U71" s="25">
        <f t="shared" ca="1" si="8"/>
        <v>302</v>
      </c>
      <c r="V71" s="25" t="str">
        <f t="shared" ca="1" si="9"/>
        <v>AL DÍA</v>
      </c>
      <c r="W71" s="25" t="s">
        <v>24</v>
      </c>
      <c r="X71" s="25" t="s">
        <v>262</v>
      </c>
      <c r="Y71" s="25">
        <v>1</v>
      </c>
      <c r="Z71" s="1" t="s">
        <v>265</v>
      </c>
    </row>
    <row r="72" spans="1:26" ht="14.25" hidden="1" customHeight="1" x14ac:dyDescent="0.15">
      <c r="A72" s="24" t="s">
        <v>339</v>
      </c>
      <c r="B72" s="24" t="s">
        <v>88</v>
      </c>
      <c r="C72" s="25" t="s">
        <v>346</v>
      </c>
      <c r="D72" s="24" t="s">
        <v>65</v>
      </c>
      <c r="F72" s="24" t="s">
        <v>217</v>
      </c>
      <c r="G72" s="21">
        <v>2013</v>
      </c>
      <c r="H72" s="21">
        <v>0</v>
      </c>
      <c r="I72" s="21">
        <f t="shared" ca="1" si="5"/>
        <v>13</v>
      </c>
      <c r="J72" s="21">
        <v>3</v>
      </c>
      <c r="K72" s="25" t="str">
        <f t="shared" ca="1" si="6"/>
        <v>Activo</v>
      </c>
      <c r="L72" s="25" t="s">
        <v>49</v>
      </c>
      <c r="O72" s="72"/>
      <c r="P72" s="26"/>
      <c r="Q72" s="34">
        <v>365</v>
      </c>
      <c r="R72" s="25" t="s">
        <v>64</v>
      </c>
      <c r="S72" s="28">
        <v>46198</v>
      </c>
      <c r="T72" s="28">
        <f t="shared" si="7"/>
        <v>46563</v>
      </c>
      <c r="U72" s="25">
        <f t="shared" ca="1" si="8"/>
        <v>302</v>
      </c>
      <c r="V72" s="25" t="str">
        <f t="shared" ca="1" si="9"/>
        <v>AL DÍA</v>
      </c>
      <c r="W72" s="25" t="s">
        <v>24</v>
      </c>
      <c r="X72" s="25" t="s">
        <v>262</v>
      </c>
      <c r="Y72" s="25">
        <v>2</v>
      </c>
    </row>
    <row r="73" spans="1:26" ht="14.25" hidden="1" customHeight="1" x14ac:dyDescent="0.15">
      <c r="A73" s="24" t="s">
        <v>339</v>
      </c>
      <c r="B73" s="24" t="s">
        <v>88</v>
      </c>
      <c r="C73" s="25" t="s">
        <v>346</v>
      </c>
      <c r="D73" s="24" t="s">
        <v>65</v>
      </c>
      <c r="F73" s="24" t="s">
        <v>218</v>
      </c>
      <c r="G73" s="21">
        <v>2013</v>
      </c>
      <c r="H73" s="21">
        <v>0</v>
      </c>
      <c r="I73" s="21">
        <f t="shared" ca="1" si="5"/>
        <v>13</v>
      </c>
      <c r="J73" s="21">
        <v>3</v>
      </c>
      <c r="K73" s="25" t="str">
        <f t="shared" ca="1" si="6"/>
        <v>Activo</v>
      </c>
      <c r="L73" s="25" t="s">
        <v>49</v>
      </c>
      <c r="O73" s="25" t="s">
        <v>227</v>
      </c>
      <c r="P73" s="26"/>
      <c r="Q73" s="34">
        <v>365</v>
      </c>
      <c r="R73" s="25" t="s">
        <v>64</v>
      </c>
      <c r="S73" s="28">
        <v>46198</v>
      </c>
      <c r="T73" s="28">
        <f t="shared" si="7"/>
        <v>46563</v>
      </c>
      <c r="U73" s="25">
        <f t="shared" ca="1" si="8"/>
        <v>302</v>
      </c>
      <c r="V73" s="25" t="str">
        <f t="shared" ca="1" si="9"/>
        <v>AL DÍA</v>
      </c>
      <c r="W73" s="25" t="s">
        <v>24</v>
      </c>
      <c r="X73" s="25" t="s">
        <v>262</v>
      </c>
      <c r="Y73" s="25">
        <v>2</v>
      </c>
    </row>
    <row r="74" spans="1:26" ht="14.25" hidden="1" customHeight="1" x14ac:dyDescent="0.15">
      <c r="A74" s="24" t="s">
        <v>339</v>
      </c>
      <c r="B74" s="24" t="s">
        <v>88</v>
      </c>
      <c r="C74" s="25" t="s">
        <v>346</v>
      </c>
      <c r="D74" s="24" t="s">
        <v>16</v>
      </c>
      <c r="F74" s="24" t="s">
        <v>219</v>
      </c>
      <c r="G74" s="21">
        <v>2019</v>
      </c>
      <c r="H74" s="21">
        <v>15</v>
      </c>
      <c r="I74" s="21">
        <f t="shared" ca="1" si="5"/>
        <v>7</v>
      </c>
      <c r="J74" s="21">
        <v>3</v>
      </c>
      <c r="K74" s="25" t="str">
        <f t="shared" ca="1" si="6"/>
        <v>Activo</v>
      </c>
      <c r="L74" s="72"/>
      <c r="M74" s="72"/>
      <c r="O74" s="25" t="s">
        <v>221</v>
      </c>
      <c r="P74" s="25" t="s">
        <v>49</v>
      </c>
      <c r="Q74" s="34">
        <v>365</v>
      </c>
      <c r="R74" s="25" t="s">
        <v>64</v>
      </c>
      <c r="S74" s="28">
        <v>46198</v>
      </c>
      <c r="T74" s="28">
        <f t="shared" si="7"/>
        <v>46563</v>
      </c>
      <c r="U74" s="25">
        <f t="shared" ca="1" si="8"/>
        <v>302</v>
      </c>
      <c r="V74" s="25" t="str">
        <f t="shared" ca="1" si="9"/>
        <v>AL DÍA</v>
      </c>
      <c r="W74" s="25" t="s">
        <v>24</v>
      </c>
      <c r="X74" s="25" t="s">
        <v>271</v>
      </c>
      <c r="Y74" s="25">
        <v>2</v>
      </c>
      <c r="Z74" s="1" t="s">
        <v>303</v>
      </c>
    </row>
    <row r="75" spans="1:26" ht="14.25" hidden="1" customHeight="1" x14ac:dyDescent="0.15">
      <c r="A75" s="24" t="s">
        <v>339</v>
      </c>
      <c r="B75" s="24" t="s">
        <v>88</v>
      </c>
      <c r="C75" s="25" t="s">
        <v>346</v>
      </c>
      <c r="D75" s="24" t="s">
        <v>16</v>
      </c>
      <c r="F75" s="24" t="s">
        <v>224</v>
      </c>
      <c r="G75" s="21">
        <v>2013</v>
      </c>
      <c r="H75" s="21">
        <v>0</v>
      </c>
      <c r="I75" s="21">
        <f t="shared" ca="1" si="5"/>
        <v>13</v>
      </c>
      <c r="J75" s="21">
        <v>3</v>
      </c>
      <c r="K75" s="25" t="str">
        <f t="shared" ca="1" si="6"/>
        <v>Activo</v>
      </c>
      <c r="P75" s="26"/>
      <c r="Q75" s="34">
        <v>365</v>
      </c>
      <c r="R75" s="25" t="s">
        <v>64</v>
      </c>
      <c r="S75" s="28">
        <v>46198</v>
      </c>
      <c r="T75" s="28">
        <f t="shared" si="7"/>
        <v>46563</v>
      </c>
      <c r="U75" s="25">
        <f t="shared" ca="1" si="8"/>
        <v>302</v>
      </c>
      <c r="V75" s="25" t="str">
        <f t="shared" ca="1" si="9"/>
        <v>AL DÍA</v>
      </c>
      <c r="W75" s="25" t="s">
        <v>24</v>
      </c>
      <c r="X75" s="25" t="s">
        <v>271</v>
      </c>
      <c r="Y75" s="25">
        <v>2</v>
      </c>
    </row>
    <row r="76" spans="1:26" ht="14.25" hidden="1" customHeight="1" x14ac:dyDescent="0.15">
      <c r="A76" s="24" t="s">
        <v>339</v>
      </c>
      <c r="B76" s="24" t="s">
        <v>88</v>
      </c>
      <c r="C76" s="25" t="s">
        <v>346</v>
      </c>
      <c r="D76" s="24" t="s">
        <v>65</v>
      </c>
      <c r="F76" s="24" t="s">
        <v>220</v>
      </c>
      <c r="G76" s="21">
        <v>2013</v>
      </c>
      <c r="H76" s="21">
        <v>0</v>
      </c>
      <c r="I76" s="21">
        <f t="shared" ca="1" si="5"/>
        <v>13</v>
      </c>
      <c r="J76" s="21">
        <v>3</v>
      </c>
      <c r="K76" s="25" t="str">
        <f t="shared" ca="1" si="6"/>
        <v>Activo</v>
      </c>
      <c r="L76" s="25" t="s">
        <v>49</v>
      </c>
      <c r="O76" s="25" t="s">
        <v>222</v>
      </c>
      <c r="P76" s="26"/>
      <c r="Q76" s="34">
        <v>365</v>
      </c>
      <c r="R76" s="25" t="s">
        <v>64</v>
      </c>
      <c r="S76" s="28">
        <v>46198</v>
      </c>
      <c r="T76" s="28">
        <f t="shared" si="7"/>
        <v>46563</v>
      </c>
      <c r="U76" s="25">
        <f t="shared" ca="1" si="8"/>
        <v>302</v>
      </c>
      <c r="V76" s="25" t="str">
        <f t="shared" ca="1" si="9"/>
        <v>AL DÍA</v>
      </c>
      <c r="W76" s="25" t="s">
        <v>24</v>
      </c>
      <c r="X76" s="25" t="s">
        <v>262</v>
      </c>
      <c r="Y76" s="25">
        <v>2</v>
      </c>
    </row>
    <row r="77" spans="1:26" ht="14.25" hidden="1" customHeight="1" x14ac:dyDescent="0.15">
      <c r="A77" s="24" t="s">
        <v>339</v>
      </c>
      <c r="B77" s="24" t="s">
        <v>88</v>
      </c>
      <c r="C77" s="25" t="s">
        <v>347</v>
      </c>
      <c r="D77" s="24" t="s">
        <v>65</v>
      </c>
      <c r="F77" s="24" t="s">
        <v>215</v>
      </c>
      <c r="G77" s="21">
        <v>2013</v>
      </c>
      <c r="H77" s="21">
        <v>0</v>
      </c>
      <c r="I77" s="21">
        <f t="shared" ca="1" si="5"/>
        <v>13</v>
      </c>
      <c r="J77" s="21">
        <v>3</v>
      </c>
      <c r="K77" s="25" t="str">
        <f t="shared" ca="1" si="6"/>
        <v>Activo</v>
      </c>
      <c r="L77" s="25" t="s">
        <v>49</v>
      </c>
      <c r="M77" s="25" t="s">
        <v>49</v>
      </c>
      <c r="N77" s="25" t="s">
        <v>49</v>
      </c>
      <c r="P77" s="25" t="s">
        <v>22</v>
      </c>
      <c r="Q77" s="34">
        <v>365</v>
      </c>
      <c r="R77" s="25" t="s">
        <v>64</v>
      </c>
      <c r="S77" s="28">
        <v>46198</v>
      </c>
      <c r="T77" s="28">
        <f t="shared" si="7"/>
        <v>46563</v>
      </c>
      <c r="U77" s="25">
        <f t="shared" ca="1" si="8"/>
        <v>302</v>
      </c>
      <c r="V77" s="25" t="str">
        <f t="shared" ca="1" si="9"/>
        <v>AL DÍA</v>
      </c>
      <c r="W77" s="25" t="s">
        <v>24</v>
      </c>
      <c r="X77" s="25" t="s">
        <v>277</v>
      </c>
      <c r="Y77" s="25">
        <v>2</v>
      </c>
      <c r="Z77" s="1" t="s">
        <v>284</v>
      </c>
    </row>
    <row r="78" spans="1:26" ht="14.25" hidden="1" customHeight="1" x14ac:dyDescent="0.15">
      <c r="A78" s="24" t="s">
        <v>339</v>
      </c>
      <c r="B78" s="24" t="s">
        <v>88</v>
      </c>
      <c r="C78" s="25" t="s">
        <v>347</v>
      </c>
      <c r="D78" s="24" t="s">
        <v>65</v>
      </c>
      <c r="E78" s="24" t="s">
        <v>451</v>
      </c>
      <c r="F78" s="24" t="s">
        <v>93</v>
      </c>
      <c r="G78" s="21">
        <v>2013</v>
      </c>
      <c r="H78" s="21">
        <v>20</v>
      </c>
      <c r="I78" s="21">
        <f t="shared" ca="1" si="5"/>
        <v>13</v>
      </c>
      <c r="J78" s="21">
        <v>3</v>
      </c>
      <c r="K78" s="25" t="str">
        <f t="shared" ca="1" si="6"/>
        <v>Activo</v>
      </c>
      <c r="L78" s="25" t="s">
        <v>142</v>
      </c>
      <c r="P78" s="25" t="s">
        <v>22</v>
      </c>
      <c r="Q78" s="32">
        <v>365</v>
      </c>
      <c r="R78" s="25" t="s">
        <v>69</v>
      </c>
      <c r="S78" s="28">
        <v>46198</v>
      </c>
      <c r="T78" s="28">
        <f t="shared" si="7"/>
        <v>46563</v>
      </c>
      <c r="U78" s="25">
        <f t="shared" ca="1" si="8"/>
        <v>302</v>
      </c>
      <c r="V78" s="25" t="str">
        <f t="shared" ca="1" si="9"/>
        <v>AL DÍA</v>
      </c>
      <c r="W78" s="25" t="s">
        <v>24</v>
      </c>
      <c r="X78" s="25" t="s">
        <v>262</v>
      </c>
      <c r="Y78" s="25">
        <v>1</v>
      </c>
      <c r="Z78" s="1" t="s">
        <v>265</v>
      </c>
    </row>
    <row r="79" spans="1:26" ht="14.25" hidden="1" customHeight="1" x14ac:dyDescent="0.15">
      <c r="A79" s="24" t="s">
        <v>339</v>
      </c>
      <c r="B79" s="24" t="s">
        <v>88</v>
      </c>
      <c r="C79" s="25" t="s">
        <v>347</v>
      </c>
      <c r="D79" s="24" t="s">
        <v>65</v>
      </c>
      <c r="F79" s="24" t="s">
        <v>217</v>
      </c>
      <c r="G79" s="21">
        <v>2013</v>
      </c>
      <c r="H79" s="21">
        <v>0</v>
      </c>
      <c r="I79" s="21">
        <f t="shared" ca="1" si="5"/>
        <v>13</v>
      </c>
      <c r="J79" s="21">
        <v>3</v>
      </c>
      <c r="K79" s="25" t="str">
        <f t="shared" ca="1" si="6"/>
        <v>Activo</v>
      </c>
      <c r="L79" s="25" t="s">
        <v>49</v>
      </c>
      <c r="O79" s="72"/>
      <c r="P79" s="26"/>
      <c r="Q79" s="34">
        <v>365</v>
      </c>
      <c r="R79" s="25" t="s">
        <v>64</v>
      </c>
      <c r="S79" s="28">
        <v>46198</v>
      </c>
      <c r="T79" s="28">
        <f t="shared" si="7"/>
        <v>46563</v>
      </c>
      <c r="U79" s="25">
        <f t="shared" ca="1" si="8"/>
        <v>302</v>
      </c>
      <c r="V79" s="25" t="str">
        <f t="shared" ca="1" si="9"/>
        <v>AL DÍA</v>
      </c>
      <c r="W79" s="25" t="s">
        <v>24</v>
      </c>
      <c r="X79" s="25" t="s">
        <v>262</v>
      </c>
      <c r="Y79" s="25">
        <v>2</v>
      </c>
    </row>
    <row r="80" spans="1:26" ht="14.25" hidden="1" customHeight="1" x14ac:dyDescent="0.15">
      <c r="A80" s="24" t="s">
        <v>339</v>
      </c>
      <c r="B80" s="24" t="s">
        <v>88</v>
      </c>
      <c r="C80" s="25" t="s">
        <v>347</v>
      </c>
      <c r="D80" s="24" t="s">
        <v>65</v>
      </c>
      <c r="F80" s="24" t="s">
        <v>218</v>
      </c>
      <c r="G80" s="21">
        <v>2013</v>
      </c>
      <c r="H80" s="21">
        <v>0</v>
      </c>
      <c r="I80" s="21">
        <f t="shared" ca="1" si="5"/>
        <v>13</v>
      </c>
      <c r="J80" s="21">
        <v>3</v>
      </c>
      <c r="K80" s="25" t="str">
        <f t="shared" ca="1" si="6"/>
        <v>Activo</v>
      </c>
      <c r="L80" s="25" t="s">
        <v>49</v>
      </c>
      <c r="O80" s="25" t="s">
        <v>227</v>
      </c>
      <c r="P80" s="26"/>
      <c r="Q80" s="34">
        <v>365</v>
      </c>
      <c r="R80" s="25" t="s">
        <v>64</v>
      </c>
      <c r="S80" s="28">
        <v>46198</v>
      </c>
      <c r="T80" s="28">
        <f t="shared" si="7"/>
        <v>46563</v>
      </c>
      <c r="U80" s="25">
        <f t="shared" ca="1" si="8"/>
        <v>302</v>
      </c>
      <c r="V80" s="25" t="str">
        <f t="shared" ca="1" si="9"/>
        <v>AL DÍA</v>
      </c>
      <c r="W80" s="25" t="s">
        <v>24</v>
      </c>
      <c r="X80" s="25" t="s">
        <v>262</v>
      </c>
      <c r="Y80" s="25">
        <v>2</v>
      </c>
    </row>
    <row r="81" spans="1:26" ht="14.25" hidden="1" customHeight="1" x14ac:dyDescent="0.15">
      <c r="A81" s="24" t="s">
        <v>339</v>
      </c>
      <c r="B81" s="24" t="s">
        <v>88</v>
      </c>
      <c r="C81" s="25" t="s">
        <v>347</v>
      </c>
      <c r="D81" s="24" t="s">
        <v>16</v>
      </c>
      <c r="F81" s="24" t="s">
        <v>219</v>
      </c>
      <c r="G81" s="21">
        <v>2019</v>
      </c>
      <c r="H81" s="21">
        <v>15</v>
      </c>
      <c r="I81" s="21">
        <f t="shared" ca="1" si="5"/>
        <v>7</v>
      </c>
      <c r="J81" s="21">
        <v>3</v>
      </c>
      <c r="K81" s="25" t="str">
        <f t="shared" ca="1" si="6"/>
        <v>Activo</v>
      </c>
      <c r="L81" s="72"/>
      <c r="M81" s="72"/>
      <c r="O81" s="25" t="s">
        <v>221</v>
      </c>
      <c r="P81" s="26" t="s">
        <v>49</v>
      </c>
      <c r="Q81" s="34">
        <v>365</v>
      </c>
      <c r="R81" s="25" t="s">
        <v>64</v>
      </c>
      <c r="S81" s="28">
        <v>46198</v>
      </c>
      <c r="T81" s="28">
        <f t="shared" si="7"/>
        <v>46563</v>
      </c>
      <c r="U81" s="25">
        <f t="shared" ca="1" si="8"/>
        <v>302</v>
      </c>
      <c r="V81" s="25" t="str">
        <f t="shared" ca="1" si="9"/>
        <v>AL DÍA</v>
      </c>
      <c r="W81" s="25" t="s">
        <v>24</v>
      </c>
      <c r="X81" s="25" t="s">
        <v>271</v>
      </c>
      <c r="Y81" s="25">
        <v>2</v>
      </c>
      <c r="Z81" s="1" t="s">
        <v>303</v>
      </c>
    </row>
    <row r="82" spans="1:26" ht="14.25" hidden="1" customHeight="1" x14ac:dyDescent="0.15">
      <c r="A82" s="24" t="s">
        <v>339</v>
      </c>
      <c r="B82" s="24" t="s">
        <v>88</v>
      </c>
      <c r="C82" s="25" t="s">
        <v>347</v>
      </c>
      <c r="D82" s="24" t="s">
        <v>16</v>
      </c>
      <c r="F82" s="24" t="s">
        <v>224</v>
      </c>
      <c r="G82" s="21">
        <v>2013</v>
      </c>
      <c r="H82" s="21">
        <v>0</v>
      </c>
      <c r="I82" s="21">
        <f t="shared" ca="1" si="5"/>
        <v>13</v>
      </c>
      <c r="J82" s="21">
        <v>3</v>
      </c>
      <c r="K82" s="25" t="str">
        <f t="shared" ca="1" si="6"/>
        <v>Activo</v>
      </c>
      <c r="P82" s="26"/>
      <c r="Q82" s="34">
        <v>365</v>
      </c>
      <c r="R82" s="25" t="s">
        <v>64</v>
      </c>
      <c r="S82" s="28">
        <v>46198</v>
      </c>
      <c r="T82" s="28">
        <f t="shared" si="7"/>
        <v>46563</v>
      </c>
      <c r="U82" s="25">
        <f t="shared" ca="1" si="8"/>
        <v>302</v>
      </c>
      <c r="V82" s="25" t="str">
        <f t="shared" ca="1" si="9"/>
        <v>AL DÍA</v>
      </c>
      <c r="W82" s="25" t="s">
        <v>24</v>
      </c>
      <c r="X82" s="25" t="s">
        <v>271</v>
      </c>
      <c r="Y82" s="25">
        <v>2</v>
      </c>
    </row>
    <row r="83" spans="1:26" ht="14.25" hidden="1" customHeight="1" x14ac:dyDescent="0.15">
      <c r="A83" s="24" t="s">
        <v>339</v>
      </c>
      <c r="B83" s="24" t="s">
        <v>88</v>
      </c>
      <c r="C83" s="25" t="s">
        <v>347</v>
      </c>
      <c r="D83" s="24" t="s">
        <v>65</v>
      </c>
      <c r="F83" s="24" t="s">
        <v>220</v>
      </c>
      <c r="G83" s="21">
        <v>2013</v>
      </c>
      <c r="H83" s="21">
        <v>0</v>
      </c>
      <c r="I83" s="21">
        <f t="shared" ca="1" si="5"/>
        <v>13</v>
      </c>
      <c r="J83" s="21">
        <v>3</v>
      </c>
      <c r="K83" s="25" t="str">
        <f t="shared" ca="1" si="6"/>
        <v>Activo</v>
      </c>
      <c r="L83" s="25" t="s">
        <v>49</v>
      </c>
      <c r="N83" s="26"/>
      <c r="O83" s="25" t="s">
        <v>222</v>
      </c>
      <c r="P83" s="26"/>
      <c r="Q83" s="34">
        <v>365</v>
      </c>
      <c r="R83" s="25" t="s">
        <v>64</v>
      </c>
      <c r="S83" s="28">
        <v>46198</v>
      </c>
      <c r="T83" s="28">
        <f t="shared" si="7"/>
        <v>46563</v>
      </c>
      <c r="U83" s="25">
        <f t="shared" ca="1" si="8"/>
        <v>302</v>
      </c>
      <c r="V83" s="25" t="str">
        <f t="shared" ca="1" si="9"/>
        <v>AL DÍA</v>
      </c>
      <c r="W83" s="25" t="s">
        <v>24</v>
      </c>
      <c r="X83" s="25" t="s">
        <v>262</v>
      </c>
      <c r="Y83" s="25">
        <v>2</v>
      </c>
    </row>
    <row r="84" spans="1:26" ht="14.25" hidden="1" customHeight="1" x14ac:dyDescent="0.15">
      <c r="A84" s="24" t="s">
        <v>339</v>
      </c>
      <c r="B84" s="24" t="s">
        <v>88</v>
      </c>
      <c r="C84" s="25" t="s">
        <v>348</v>
      </c>
      <c r="D84" s="24" t="s">
        <v>65</v>
      </c>
      <c r="F84" s="24" t="s">
        <v>215</v>
      </c>
      <c r="G84" s="21">
        <v>2013</v>
      </c>
      <c r="H84" s="21">
        <v>0</v>
      </c>
      <c r="I84" s="21">
        <f t="shared" ca="1" si="5"/>
        <v>13</v>
      </c>
      <c r="J84" s="21">
        <v>3</v>
      </c>
      <c r="K84" s="25" t="str">
        <f t="shared" ca="1" si="6"/>
        <v>Activo</v>
      </c>
      <c r="L84" s="25" t="s">
        <v>49</v>
      </c>
      <c r="M84" s="26" t="s">
        <v>49</v>
      </c>
      <c r="N84" s="26" t="s">
        <v>49</v>
      </c>
      <c r="P84" s="26" t="s">
        <v>22</v>
      </c>
      <c r="Q84" s="34">
        <v>365</v>
      </c>
      <c r="R84" s="25" t="s">
        <v>64</v>
      </c>
      <c r="S84" s="28">
        <v>46198</v>
      </c>
      <c r="T84" s="28">
        <f t="shared" si="7"/>
        <v>46563</v>
      </c>
      <c r="U84" s="25">
        <f t="shared" ca="1" si="8"/>
        <v>302</v>
      </c>
      <c r="V84" s="25" t="str">
        <f t="shared" ca="1" si="9"/>
        <v>AL DÍA</v>
      </c>
      <c r="W84" s="25" t="s">
        <v>24</v>
      </c>
      <c r="X84" s="25" t="s">
        <v>277</v>
      </c>
      <c r="Y84" s="25">
        <v>2</v>
      </c>
      <c r="Z84" s="1" t="s">
        <v>284</v>
      </c>
    </row>
    <row r="85" spans="1:26" ht="14.25" hidden="1" customHeight="1" x14ac:dyDescent="0.15">
      <c r="A85" s="24" t="s">
        <v>339</v>
      </c>
      <c r="B85" s="24" t="s">
        <v>88</v>
      </c>
      <c r="C85" s="25" t="s">
        <v>348</v>
      </c>
      <c r="D85" s="24" t="s">
        <v>65</v>
      </c>
      <c r="E85" s="24" t="s">
        <v>451</v>
      </c>
      <c r="F85" s="24" t="s">
        <v>93</v>
      </c>
      <c r="G85" s="21">
        <v>2013</v>
      </c>
      <c r="H85" s="21">
        <v>20</v>
      </c>
      <c r="I85" s="21">
        <f t="shared" ca="1" si="5"/>
        <v>13</v>
      </c>
      <c r="J85" s="21">
        <v>3</v>
      </c>
      <c r="K85" s="25" t="str">
        <f t="shared" ca="1" si="6"/>
        <v>Activo</v>
      </c>
      <c r="L85" s="25" t="s">
        <v>142</v>
      </c>
      <c r="P85" s="25" t="s">
        <v>22</v>
      </c>
      <c r="Q85" s="32">
        <v>365</v>
      </c>
      <c r="R85" s="25" t="s">
        <v>69</v>
      </c>
      <c r="S85" s="28">
        <v>46198</v>
      </c>
      <c r="T85" s="28">
        <f t="shared" si="7"/>
        <v>46563</v>
      </c>
      <c r="U85" s="25">
        <f t="shared" ca="1" si="8"/>
        <v>302</v>
      </c>
      <c r="V85" s="25" t="str">
        <f t="shared" ca="1" si="9"/>
        <v>AL DÍA</v>
      </c>
      <c r="W85" s="25" t="s">
        <v>24</v>
      </c>
      <c r="X85" s="25" t="s">
        <v>262</v>
      </c>
      <c r="Y85" s="25">
        <v>1</v>
      </c>
      <c r="Z85" s="1" t="s">
        <v>265</v>
      </c>
    </row>
    <row r="86" spans="1:26" ht="14.25" hidden="1" customHeight="1" x14ac:dyDescent="0.15">
      <c r="A86" s="24" t="s">
        <v>339</v>
      </c>
      <c r="B86" s="24" t="s">
        <v>88</v>
      </c>
      <c r="C86" s="25" t="s">
        <v>348</v>
      </c>
      <c r="D86" s="24" t="s">
        <v>65</v>
      </c>
      <c r="F86" s="24" t="s">
        <v>217</v>
      </c>
      <c r="G86" s="21">
        <v>2013</v>
      </c>
      <c r="H86" s="21">
        <v>0</v>
      </c>
      <c r="I86" s="21">
        <f t="shared" ca="1" si="5"/>
        <v>13</v>
      </c>
      <c r="J86" s="21">
        <v>3</v>
      </c>
      <c r="K86" s="25" t="str">
        <f t="shared" ca="1" si="6"/>
        <v>Activo</v>
      </c>
      <c r="L86" s="25" t="s">
        <v>49</v>
      </c>
      <c r="O86" s="72"/>
      <c r="P86" s="26"/>
      <c r="Q86" s="34">
        <v>365</v>
      </c>
      <c r="R86" s="25" t="s">
        <v>64</v>
      </c>
      <c r="S86" s="28">
        <v>46198</v>
      </c>
      <c r="T86" s="28">
        <f t="shared" si="7"/>
        <v>46563</v>
      </c>
      <c r="U86" s="25">
        <f t="shared" ca="1" si="8"/>
        <v>302</v>
      </c>
      <c r="V86" s="25" t="str">
        <f t="shared" ca="1" si="9"/>
        <v>AL DÍA</v>
      </c>
      <c r="W86" s="25" t="s">
        <v>24</v>
      </c>
      <c r="X86" s="25" t="s">
        <v>262</v>
      </c>
      <c r="Y86" s="25">
        <v>2</v>
      </c>
    </row>
    <row r="87" spans="1:26" ht="14.25" hidden="1" customHeight="1" x14ac:dyDescent="0.15">
      <c r="A87" s="24" t="s">
        <v>339</v>
      </c>
      <c r="B87" s="24" t="s">
        <v>88</v>
      </c>
      <c r="C87" s="25" t="s">
        <v>348</v>
      </c>
      <c r="D87" s="24" t="s">
        <v>65</v>
      </c>
      <c r="F87" s="24" t="s">
        <v>218</v>
      </c>
      <c r="G87" s="21">
        <v>2013</v>
      </c>
      <c r="H87" s="21">
        <v>0</v>
      </c>
      <c r="I87" s="21">
        <f t="shared" ca="1" si="5"/>
        <v>13</v>
      </c>
      <c r="J87" s="21">
        <v>3</v>
      </c>
      <c r="K87" s="25" t="str">
        <f t="shared" ca="1" si="6"/>
        <v>Activo</v>
      </c>
      <c r="L87" s="25" t="s">
        <v>49</v>
      </c>
      <c r="O87" s="25" t="s">
        <v>227</v>
      </c>
      <c r="Q87" s="34">
        <v>365</v>
      </c>
      <c r="R87" s="25" t="s">
        <v>64</v>
      </c>
      <c r="S87" s="28">
        <v>46198</v>
      </c>
      <c r="T87" s="28">
        <f t="shared" si="7"/>
        <v>46563</v>
      </c>
      <c r="U87" s="25">
        <f t="shared" ca="1" si="8"/>
        <v>302</v>
      </c>
      <c r="V87" s="25" t="str">
        <f t="shared" ca="1" si="9"/>
        <v>AL DÍA</v>
      </c>
      <c r="W87" s="25" t="s">
        <v>24</v>
      </c>
      <c r="X87" s="25" t="s">
        <v>262</v>
      </c>
      <c r="Y87" s="25">
        <v>2</v>
      </c>
    </row>
    <row r="88" spans="1:26" ht="14.25" hidden="1" customHeight="1" x14ac:dyDescent="0.15">
      <c r="A88" s="24" t="s">
        <v>339</v>
      </c>
      <c r="B88" s="24" t="s">
        <v>88</v>
      </c>
      <c r="C88" s="25" t="s">
        <v>348</v>
      </c>
      <c r="D88" s="24" t="s">
        <v>16</v>
      </c>
      <c r="F88" s="24" t="s">
        <v>219</v>
      </c>
      <c r="G88" s="21">
        <v>2019</v>
      </c>
      <c r="H88" s="21">
        <v>15</v>
      </c>
      <c r="I88" s="21">
        <f t="shared" ca="1" si="5"/>
        <v>7</v>
      </c>
      <c r="J88" s="21">
        <v>3</v>
      </c>
      <c r="K88" s="25" t="str">
        <f t="shared" ca="1" si="6"/>
        <v>Activo</v>
      </c>
      <c r="L88" s="72"/>
      <c r="M88" s="72"/>
      <c r="O88" s="26" t="s">
        <v>221</v>
      </c>
      <c r="P88" s="26" t="s">
        <v>49</v>
      </c>
      <c r="Q88" s="34">
        <v>365</v>
      </c>
      <c r="R88" s="25" t="s">
        <v>64</v>
      </c>
      <c r="S88" s="28">
        <v>46198</v>
      </c>
      <c r="T88" s="28">
        <f t="shared" si="7"/>
        <v>46563</v>
      </c>
      <c r="U88" s="25">
        <f t="shared" ca="1" si="8"/>
        <v>302</v>
      </c>
      <c r="V88" s="25" t="str">
        <f t="shared" ca="1" si="9"/>
        <v>AL DÍA</v>
      </c>
      <c r="W88" s="25" t="s">
        <v>24</v>
      </c>
      <c r="X88" s="25" t="s">
        <v>271</v>
      </c>
      <c r="Y88" s="25">
        <v>2</v>
      </c>
      <c r="Z88" s="1" t="s">
        <v>303</v>
      </c>
    </row>
    <row r="89" spans="1:26" ht="14.25" hidden="1" customHeight="1" x14ac:dyDescent="0.15">
      <c r="A89" s="24" t="s">
        <v>339</v>
      </c>
      <c r="B89" s="24" t="s">
        <v>88</v>
      </c>
      <c r="C89" s="25" t="s">
        <v>348</v>
      </c>
      <c r="D89" s="24" t="s">
        <v>16</v>
      </c>
      <c r="F89" s="24" t="s">
        <v>224</v>
      </c>
      <c r="G89" s="21">
        <v>2013</v>
      </c>
      <c r="H89" s="21">
        <v>0</v>
      </c>
      <c r="I89" s="21">
        <f t="shared" ca="1" si="5"/>
        <v>13</v>
      </c>
      <c r="J89" s="21">
        <v>3</v>
      </c>
      <c r="K89" s="25" t="str">
        <f t="shared" ca="1" si="6"/>
        <v>Activo</v>
      </c>
      <c r="O89" s="26"/>
      <c r="P89" s="26"/>
      <c r="Q89" s="34">
        <v>365</v>
      </c>
      <c r="R89" s="25" t="s">
        <v>64</v>
      </c>
      <c r="S89" s="28">
        <v>46198</v>
      </c>
      <c r="T89" s="28">
        <f t="shared" si="7"/>
        <v>46563</v>
      </c>
      <c r="U89" s="25">
        <f t="shared" ca="1" si="8"/>
        <v>302</v>
      </c>
      <c r="V89" s="25" t="str">
        <f t="shared" ca="1" si="9"/>
        <v>AL DÍA</v>
      </c>
      <c r="W89" s="25" t="s">
        <v>24</v>
      </c>
      <c r="X89" s="25" t="s">
        <v>271</v>
      </c>
      <c r="Y89" s="25">
        <v>2</v>
      </c>
    </row>
    <row r="90" spans="1:26" ht="14.25" hidden="1" customHeight="1" x14ac:dyDescent="0.15">
      <c r="A90" s="24" t="s">
        <v>339</v>
      </c>
      <c r="B90" s="24" t="s">
        <v>88</v>
      </c>
      <c r="C90" s="25" t="s">
        <v>348</v>
      </c>
      <c r="D90" s="24" t="s">
        <v>65</v>
      </c>
      <c r="F90" s="24" t="s">
        <v>220</v>
      </c>
      <c r="G90" s="21">
        <v>2013</v>
      </c>
      <c r="H90" s="21">
        <v>0</v>
      </c>
      <c r="I90" s="21">
        <f t="shared" ca="1" si="5"/>
        <v>13</v>
      </c>
      <c r="J90" s="21">
        <v>3</v>
      </c>
      <c r="K90" s="25" t="str">
        <f t="shared" ca="1" si="6"/>
        <v>Activo</v>
      </c>
      <c r="L90" s="25" t="s">
        <v>49</v>
      </c>
      <c r="O90" s="26" t="s">
        <v>222</v>
      </c>
      <c r="P90" s="26"/>
      <c r="Q90" s="34">
        <v>365</v>
      </c>
      <c r="R90" s="25" t="s">
        <v>64</v>
      </c>
      <c r="S90" s="28">
        <v>46198</v>
      </c>
      <c r="T90" s="28">
        <f t="shared" si="7"/>
        <v>46563</v>
      </c>
      <c r="U90" s="25">
        <f t="shared" ca="1" si="8"/>
        <v>302</v>
      </c>
      <c r="V90" s="25" t="str">
        <f t="shared" ca="1" si="9"/>
        <v>AL DÍA</v>
      </c>
      <c r="W90" s="25" t="s">
        <v>24</v>
      </c>
      <c r="X90" s="25" t="s">
        <v>262</v>
      </c>
      <c r="Y90" s="25">
        <v>2</v>
      </c>
    </row>
    <row r="91" spans="1:26" ht="14.25" hidden="1" customHeight="1" x14ac:dyDescent="0.15">
      <c r="A91" s="24" t="s">
        <v>339</v>
      </c>
      <c r="B91" s="24" t="s">
        <v>88</v>
      </c>
      <c r="C91" s="25" t="s">
        <v>349</v>
      </c>
      <c r="D91" s="24" t="s">
        <v>65</v>
      </c>
      <c r="F91" s="24" t="s">
        <v>215</v>
      </c>
      <c r="G91" s="21">
        <v>2013</v>
      </c>
      <c r="H91" s="21">
        <v>0</v>
      </c>
      <c r="I91" s="21">
        <f t="shared" ca="1" si="5"/>
        <v>13</v>
      </c>
      <c r="J91" s="21">
        <v>3</v>
      </c>
      <c r="K91" s="25" t="str">
        <f t="shared" ca="1" si="6"/>
        <v>Activo</v>
      </c>
      <c r="L91" s="25" t="s">
        <v>49</v>
      </c>
      <c r="M91" s="25" t="s">
        <v>49</v>
      </c>
      <c r="N91" s="25" t="s">
        <v>49</v>
      </c>
      <c r="P91" s="25" t="s">
        <v>22</v>
      </c>
      <c r="Q91" s="34">
        <v>365</v>
      </c>
      <c r="R91" s="25" t="s">
        <v>64</v>
      </c>
      <c r="S91" s="28">
        <v>46198</v>
      </c>
      <c r="T91" s="28">
        <f t="shared" si="7"/>
        <v>46563</v>
      </c>
      <c r="U91" s="25">
        <f t="shared" ca="1" si="8"/>
        <v>302</v>
      </c>
      <c r="V91" s="25" t="str">
        <f t="shared" ca="1" si="9"/>
        <v>AL DÍA</v>
      </c>
      <c r="W91" s="25" t="s">
        <v>24</v>
      </c>
      <c r="X91" s="25" t="s">
        <v>277</v>
      </c>
      <c r="Y91" s="25">
        <v>2</v>
      </c>
      <c r="Z91" s="1" t="s">
        <v>284</v>
      </c>
    </row>
    <row r="92" spans="1:26" ht="14.25" hidden="1" customHeight="1" x14ac:dyDescent="0.15">
      <c r="A92" s="24" t="s">
        <v>339</v>
      </c>
      <c r="B92" s="24" t="s">
        <v>88</v>
      </c>
      <c r="C92" s="25" t="s">
        <v>349</v>
      </c>
      <c r="D92" s="24" t="s">
        <v>65</v>
      </c>
      <c r="E92" s="24" t="s">
        <v>451</v>
      </c>
      <c r="F92" s="24" t="s">
        <v>93</v>
      </c>
      <c r="G92" s="21">
        <v>2013</v>
      </c>
      <c r="H92" s="21">
        <v>20</v>
      </c>
      <c r="I92" s="21">
        <f t="shared" ca="1" si="5"/>
        <v>13</v>
      </c>
      <c r="J92" s="21">
        <v>3</v>
      </c>
      <c r="K92" s="25" t="str">
        <f t="shared" ca="1" si="6"/>
        <v>Activo</v>
      </c>
      <c r="L92" s="25" t="s">
        <v>142</v>
      </c>
      <c r="P92" s="25" t="s">
        <v>22</v>
      </c>
      <c r="Q92" s="32">
        <v>365</v>
      </c>
      <c r="R92" s="25" t="s">
        <v>69</v>
      </c>
      <c r="S92" s="28">
        <v>46198</v>
      </c>
      <c r="T92" s="28">
        <f t="shared" si="7"/>
        <v>46563</v>
      </c>
      <c r="U92" s="25">
        <f t="shared" ca="1" si="8"/>
        <v>302</v>
      </c>
      <c r="V92" s="25" t="str">
        <f t="shared" ca="1" si="9"/>
        <v>AL DÍA</v>
      </c>
      <c r="W92" s="25" t="s">
        <v>24</v>
      </c>
      <c r="X92" s="25" t="s">
        <v>262</v>
      </c>
      <c r="Y92" s="25">
        <v>1</v>
      </c>
      <c r="Z92" s="1" t="s">
        <v>265</v>
      </c>
    </row>
    <row r="93" spans="1:26" ht="14.25" hidden="1" customHeight="1" x14ac:dyDescent="0.15">
      <c r="A93" s="24" t="s">
        <v>339</v>
      </c>
      <c r="B93" s="24" t="s">
        <v>88</v>
      </c>
      <c r="C93" s="25" t="s">
        <v>349</v>
      </c>
      <c r="D93" s="24" t="s">
        <v>65</v>
      </c>
      <c r="F93" s="24" t="s">
        <v>217</v>
      </c>
      <c r="G93" s="21">
        <v>2013</v>
      </c>
      <c r="H93" s="21">
        <v>0</v>
      </c>
      <c r="I93" s="21">
        <f t="shared" ca="1" si="5"/>
        <v>13</v>
      </c>
      <c r="J93" s="21">
        <v>3</v>
      </c>
      <c r="K93" s="25" t="str">
        <f t="shared" ca="1" si="6"/>
        <v>Activo</v>
      </c>
      <c r="L93" s="25" t="s">
        <v>49</v>
      </c>
      <c r="O93" s="73"/>
      <c r="P93" s="26"/>
      <c r="Q93" s="34">
        <v>365</v>
      </c>
      <c r="R93" s="25" t="s">
        <v>64</v>
      </c>
      <c r="S93" s="28">
        <v>46198</v>
      </c>
      <c r="T93" s="28">
        <f t="shared" si="7"/>
        <v>46563</v>
      </c>
      <c r="U93" s="25">
        <f t="shared" ca="1" si="8"/>
        <v>302</v>
      </c>
      <c r="V93" s="25" t="str">
        <f t="shared" ca="1" si="9"/>
        <v>AL DÍA</v>
      </c>
      <c r="W93" s="25" t="s">
        <v>24</v>
      </c>
      <c r="X93" s="25" t="s">
        <v>262</v>
      </c>
      <c r="Y93" s="25">
        <v>2</v>
      </c>
    </row>
    <row r="94" spans="1:26" ht="14.25" hidden="1" customHeight="1" x14ac:dyDescent="0.15">
      <c r="A94" s="24" t="s">
        <v>339</v>
      </c>
      <c r="B94" s="24" t="s">
        <v>88</v>
      </c>
      <c r="C94" s="25" t="s">
        <v>349</v>
      </c>
      <c r="D94" s="24" t="s">
        <v>65</v>
      </c>
      <c r="F94" s="24" t="s">
        <v>218</v>
      </c>
      <c r="G94" s="21">
        <v>2013</v>
      </c>
      <c r="H94" s="21">
        <v>0</v>
      </c>
      <c r="I94" s="21">
        <f t="shared" ca="1" si="5"/>
        <v>13</v>
      </c>
      <c r="J94" s="21">
        <v>3</v>
      </c>
      <c r="K94" s="25" t="str">
        <f t="shared" ca="1" si="6"/>
        <v>Activo</v>
      </c>
      <c r="L94" s="25" t="s">
        <v>49</v>
      </c>
      <c r="O94" s="26" t="s">
        <v>227</v>
      </c>
      <c r="P94" s="26"/>
      <c r="Q94" s="34">
        <v>365</v>
      </c>
      <c r="R94" s="25" t="s">
        <v>64</v>
      </c>
      <c r="S94" s="28">
        <v>46198</v>
      </c>
      <c r="T94" s="28">
        <f t="shared" si="7"/>
        <v>46563</v>
      </c>
      <c r="U94" s="25">
        <f t="shared" ca="1" si="8"/>
        <v>302</v>
      </c>
      <c r="V94" s="25" t="str">
        <f t="shared" ca="1" si="9"/>
        <v>AL DÍA</v>
      </c>
      <c r="W94" s="25" t="s">
        <v>24</v>
      </c>
      <c r="X94" s="25" t="s">
        <v>262</v>
      </c>
      <c r="Y94" s="25">
        <v>2</v>
      </c>
    </row>
    <row r="95" spans="1:26" ht="14.25" hidden="1" customHeight="1" x14ac:dyDescent="0.15">
      <c r="A95" s="24" t="s">
        <v>339</v>
      </c>
      <c r="B95" s="24" t="s">
        <v>88</v>
      </c>
      <c r="C95" s="25" t="s">
        <v>349</v>
      </c>
      <c r="D95" s="24" t="s">
        <v>16</v>
      </c>
      <c r="F95" s="24" t="s">
        <v>219</v>
      </c>
      <c r="G95" s="21">
        <v>2019</v>
      </c>
      <c r="H95" s="21">
        <v>15</v>
      </c>
      <c r="I95" s="21">
        <f t="shared" ca="1" si="5"/>
        <v>7</v>
      </c>
      <c r="J95" s="21">
        <v>3</v>
      </c>
      <c r="K95" s="25" t="str">
        <f t="shared" ca="1" si="6"/>
        <v>Activo</v>
      </c>
      <c r="L95" s="72"/>
      <c r="M95" s="72"/>
      <c r="O95" s="26" t="s">
        <v>221</v>
      </c>
      <c r="P95" s="26" t="s">
        <v>49</v>
      </c>
      <c r="Q95" s="34">
        <v>365</v>
      </c>
      <c r="R95" s="25" t="s">
        <v>64</v>
      </c>
      <c r="S95" s="28">
        <v>46198</v>
      </c>
      <c r="T95" s="28">
        <f t="shared" si="7"/>
        <v>46563</v>
      </c>
      <c r="U95" s="25">
        <f t="shared" ca="1" si="8"/>
        <v>302</v>
      </c>
      <c r="V95" s="25" t="str">
        <f t="shared" ca="1" si="9"/>
        <v>AL DÍA</v>
      </c>
      <c r="W95" s="25" t="s">
        <v>24</v>
      </c>
      <c r="X95" s="25" t="s">
        <v>271</v>
      </c>
      <c r="Y95" s="25">
        <v>2</v>
      </c>
      <c r="Z95" s="1" t="s">
        <v>303</v>
      </c>
    </row>
    <row r="96" spans="1:26" ht="14.25" hidden="1" customHeight="1" x14ac:dyDescent="0.15">
      <c r="A96" s="24" t="s">
        <v>339</v>
      </c>
      <c r="B96" s="24" t="s">
        <v>88</v>
      </c>
      <c r="C96" s="25" t="s">
        <v>349</v>
      </c>
      <c r="D96" s="24" t="s">
        <v>16</v>
      </c>
      <c r="F96" s="24" t="s">
        <v>224</v>
      </c>
      <c r="G96" s="21">
        <v>2013</v>
      </c>
      <c r="H96" s="21">
        <v>0</v>
      </c>
      <c r="I96" s="21">
        <f t="shared" ca="1" si="5"/>
        <v>13</v>
      </c>
      <c r="J96" s="21">
        <v>3</v>
      </c>
      <c r="K96" s="25" t="str">
        <f t="shared" ca="1" si="6"/>
        <v>Activo</v>
      </c>
      <c r="O96" s="26"/>
      <c r="P96" s="26"/>
      <c r="Q96" s="34">
        <v>365</v>
      </c>
      <c r="R96" s="25" t="s">
        <v>64</v>
      </c>
      <c r="S96" s="28">
        <v>46198</v>
      </c>
      <c r="T96" s="28">
        <f t="shared" si="7"/>
        <v>46563</v>
      </c>
      <c r="U96" s="25">
        <f t="shared" ca="1" si="8"/>
        <v>302</v>
      </c>
      <c r="V96" s="25" t="str">
        <f t="shared" ca="1" si="9"/>
        <v>AL DÍA</v>
      </c>
      <c r="W96" s="25" t="s">
        <v>24</v>
      </c>
      <c r="X96" s="25" t="s">
        <v>271</v>
      </c>
      <c r="Y96" s="25">
        <v>2</v>
      </c>
    </row>
    <row r="97" spans="1:26" ht="14.25" hidden="1" customHeight="1" x14ac:dyDescent="0.15">
      <c r="A97" s="24" t="s">
        <v>339</v>
      </c>
      <c r="B97" s="24" t="s">
        <v>88</v>
      </c>
      <c r="C97" s="25" t="s">
        <v>349</v>
      </c>
      <c r="D97" s="24" t="s">
        <v>65</v>
      </c>
      <c r="F97" s="24" t="s">
        <v>220</v>
      </c>
      <c r="G97" s="21">
        <v>2013</v>
      </c>
      <c r="H97" s="21">
        <v>0</v>
      </c>
      <c r="I97" s="21">
        <f t="shared" ca="1" si="5"/>
        <v>13</v>
      </c>
      <c r="J97" s="21">
        <v>3</v>
      </c>
      <c r="K97" s="25" t="str">
        <f t="shared" ca="1" si="6"/>
        <v>Activo</v>
      </c>
      <c r="L97" s="25" t="s">
        <v>49</v>
      </c>
      <c r="O97" s="26" t="s">
        <v>222</v>
      </c>
      <c r="P97" s="26"/>
      <c r="Q97" s="34">
        <v>365</v>
      </c>
      <c r="R97" s="25" t="s">
        <v>64</v>
      </c>
      <c r="S97" s="28">
        <v>46198</v>
      </c>
      <c r="T97" s="28">
        <f t="shared" si="7"/>
        <v>46563</v>
      </c>
      <c r="U97" s="25">
        <f t="shared" ca="1" si="8"/>
        <v>302</v>
      </c>
      <c r="V97" s="25" t="str">
        <f t="shared" ca="1" si="9"/>
        <v>AL DÍA</v>
      </c>
      <c r="W97" s="25" t="s">
        <v>24</v>
      </c>
      <c r="X97" s="25" t="s">
        <v>262</v>
      </c>
      <c r="Y97" s="25">
        <v>2</v>
      </c>
    </row>
    <row r="98" spans="1:26" ht="14.25" hidden="1" customHeight="1" x14ac:dyDescent="0.15">
      <c r="A98" s="24" t="s">
        <v>339</v>
      </c>
      <c r="B98" s="24" t="s">
        <v>88</v>
      </c>
      <c r="C98" s="25" t="s">
        <v>350</v>
      </c>
      <c r="D98" s="24" t="s">
        <v>65</v>
      </c>
      <c r="F98" s="24" t="s">
        <v>215</v>
      </c>
      <c r="G98" s="21">
        <v>2013</v>
      </c>
      <c r="H98" s="21">
        <v>0</v>
      </c>
      <c r="I98" s="21">
        <f t="shared" ca="1" si="5"/>
        <v>13</v>
      </c>
      <c r="J98" s="21">
        <v>3</v>
      </c>
      <c r="K98" s="25" t="str">
        <f t="shared" ca="1" si="6"/>
        <v>Activo</v>
      </c>
      <c r="L98" s="26" t="s">
        <v>49</v>
      </c>
      <c r="M98" s="26" t="s">
        <v>49</v>
      </c>
      <c r="N98" s="26" t="s">
        <v>49</v>
      </c>
      <c r="P98" s="26" t="s">
        <v>22</v>
      </c>
      <c r="Q98" s="34">
        <v>365</v>
      </c>
      <c r="R98" s="25" t="s">
        <v>64</v>
      </c>
      <c r="S98" s="28">
        <v>46198</v>
      </c>
      <c r="T98" s="28">
        <f t="shared" si="7"/>
        <v>46563</v>
      </c>
      <c r="U98" s="25">
        <f t="shared" ca="1" si="8"/>
        <v>302</v>
      </c>
      <c r="V98" s="25" t="str">
        <f t="shared" ca="1" si="9"/>
        <v>AL DÍA</v>
      </c>
      <c r="W98" s="25" t="s">
        <v>24</v>
      </c>
      <c r="X98" s="25" t="s">
        <v>277</v>
      </c>
      <c r="Y98" s="25">
        <v>2</v>
      </c>
      <c r="Z98" s="1" t="s">
        <v>284</v>
      </c>
    </row>
    <row r="99" spans="1:26" ht="14.25" hidden="1" customHeight="1" x14ac:dyDescent="0.15">
      <c r="A99" s="24" t="s">
        <v>339</v>
      </c>
      <c r="B99" s="24" t="s">
        <v>88</v>
      </c>
      <c r="C99" s="25" t="s">
        <v>350</v>
      </c>
      <c r="D99" s="24" t="s">
        <v>65</v>
      </c>
      <c r="E99" s="24" t="s">
        <v>451</v>
      </c>
      <c r="F99" s="24" t="s">
        <v>93</v>
      </c>
      <c r="G99" s="21">
        <v>2013</v>
      </c>
      <c r="H99" s="21">
        <v>20</v>
      </c>
      <c r="I99" s="21">
        <f t="shared" ca="1" si="5"/>
        <v>13</v>
      </c>
      <c r="J99" s="21">
        <v>3</v>
      </c>
      <c r="K99" s="25" t="str">
        <f t="shared" ca="1" si="6"/>
        <v>Activo</v>
      </c>
      <c r="L99" s="25" t="s">
        <v>142</v>
      </c>
      <c r="P99" s="25" t="s">
        <v>22</v>
      </c>
      <c r="Q99" s="32">
        <v>365</v>
      </c>
      <c r="R99" s="25" t="s">
        <v>69</v>
      </c>
      <c r="S99" s="28">
        <v>46198</v>
      </c>
      <c r="T99" s="28">
        <f t="shared" si="7"/>
        <v>46563</v>
      </c>
      <c r="U99" s="25">
        <f t="shared" ca="1" si="8"/>
        <v>302</v>
      </c>
      <c r="V99" s="25" t="str">
        <f t="shared" ca="1" si="9"/>
        <v>AL DÍA</v>
      </c>
      <c r="W99" s="25" t="s">
        <v>24</v>
      </c>
      <c r="X99" s="25" t="s">
        <v>262</v>
      </c>
      <c r="Y99" s="25">
        <v>1</v>
      </c>
      <c r="Z99" s="1" t="s">
        <v>265</v>
      </c>
    </row>
    <row r="100" spans="1:26" ht="14.25" hidden="1" customHeight="1" x14ac:dyDescent="0.15">
      <c r="A100" s="24" t="s">
        <v>339</v>
      </c>
      <c r="B100" s="24" t="s">
        <v>88</v>
      </c>
      <c r="C100" s="25" t="s">
        <v>350</v>
      </c>
      <c r="D100" s="24" t="s">
        <v>65</v>
      </c>
      <c r="F100" s="24" t="s">
        <v>217</v>
      </c>
      <c r="G100" s="21">
        <v>2013</v>
      </c>
      <c r="H100" s="21">
        <v>0</v>
      </c>
      <c r="I100" s="21">
        <f t="shared" ca="1" si="5"/>
        <v>13</v>
      </c>
      <c r="J100" s="21">
        <v>3</v>
      </c>
      <c r="K100" s="25" t="str">
        <f t="shared" ca="1" si="6"/>
        <v>Activo</v>
      </c>
      <c r="L100" s="25" t="s">
        <v>49</v>
      </c>
      <c r="O100" s="73"/>
      <c r="P100" s="26"/>
      <c r="Q100" s="34">
        <v>365</v>
      </c>
      <c r="R100" s="25" t="s">
        <v>64</v>
      </c>
      <c r="S100" s="28">
        <v>46198</v>
      </c>
      <c r="T100" s="28">
        <f t="shared" si="7"/>
        <v>46563</v>
      </c>
      <c r="U100" s="25">
        <f t="shared" ca="1" si="8"/>
        <v>302</v>
      </c>
      <c r="V100" s="25" t="str">
        <f t="shared" ca="1" si="9"/>
        <v>AL DÍA</v>
      </c>
      <c r="W100" s="25" t="s">
        <v>24</v>
      </c>
      <c r="X100" s="25" t="s">
        <v>262</v>
      </c>
      <c r="Y100" s="25">
        <v>2</v>
      </c>
    </row>
    <row r="101" spans="1:26" ht="14.25" hidden="1" customHeight="1" x14ac:dyDescent="0.15">
      <c r="A101" s="24" t="s">
        <v>339</v>
      </c>
      <c r="B101" s="24" t="s">
        <v>88</v>
      </c>
      <c r="C101" s="25" t="s">
        <v>350</v>
      </c>
      <c r="D101" s="24" t="s">
        <v>65</v>
      </c>
      <c r="F101" s="24" t="s">
        <v>218</v>
      </c>
      <c r="G101" s="21">
        <v>2013</v>
      </c>
      <c r="H101" s="21">
        <v>0</v>
      </c>
      <c r="I101" s="21">
        <f t="shared" ca="1" si="5"/>
        <v>13</v>
      </c>
      <c r="J101" s="21">
        <v>3</v>
      </c>
      <c r="K101" s="25" t="str">
        <f t="shared" ca="1" si="6"/>
        <v>Activo</v>
      </c>
      <c r="L101" s="25" t="s">
        <v>49</v>
      </c>
      <c r="O101" s="26" t="s">
        <v>227</v>
      </c>
      <c r="P101" s="26"/>
      <c r="Q101" s="34">
        <v>365</v>
      </c>
      <c r="R101" s="25" t="s">
        <v>64</v>
      </c>
      <c r="S101" s="28">
        <v>46198</v>
      </c>
      <c r="T101" s="28">
        <f t="shared" si="7"/>
        <v>46563</v>
      </c>
      <c r="U101" s="25">
        <f t="shared" ca="1" si="8"/>
        <v>302</v>
      </c>
      <c r="V101" s="25" t="str">
        <f t="shared" ca="1" si="9"/>
        <v>AL DÍA</v>
      </c>
      <c r="W101" s="25" t="s">
        <v>24</v>
      </c>
      <c r="X101" s="25" t="s">
        <v>262</v>
      </c>
      <c r="Y101" s="25">
        <v>2</v>
      </c>
    </row>
    <row r="102" spans="1:26" ht="14.25" hidden="1" customHeight="1" x14ac:dyDescent="0.15">
      <c r="A102" s="24" t="s">
        <v>339</v>
      </c>
      <c r="B102" s="24" t="s">
        <v>88</v>
      </c>
      <c r="C102" s="25" t="s">
        <v>350</v>
      </c>
      <c r="D102" s="24" t="s">
        <v>16</v>
      </c>
      <c r="F102" s="24" t="s">
        <v>224</v>
      </c>
      <c r="G102" s="21">
        <v>2013</v>
      </c>
      <c r="H102" s="21">
        <v>0</v>
      </c>
      <c r="I102" s="21">
        <f t="shared" ca="1" si="5"/>
        <v>13</v>
      </c>
      <c r="J102" s="21">
        <v>3</v>
      </c>
      <c r="K102" s="25" t="str">
        <f t="shared" ca="1" si="6"/>
        <v>Activo</v>
      </c>
      <c r="L102" s="26"/>
      <c r="M102" s="26"/>
      <c r="N102" s="26"/>
      <c r="P102" s="26"/>
      <c r="Q102" s="34">
        <v>365</v>
      </c>
      <c r="R102" s="25" t="s">
        <v>64</v>
      </c>
      <c r="S102" s="28">
        <v>46198</v>
      </c>
      <c r="T102" s="28">
        <f t="shared" si="7"/>
        <v>46563</v>
      </c>
      <c r="U102" s="25">
        <f t="shared" ca="1" si="8"/>
        <v>302</v>
      </c>
      <c r="V102" s="25" t="str">
        <f t="shared" ca="1" si="9"/>
        <v>AL DÍA</v>
      </c>
      <c r="W102" s="25" t="s">
        <v>24</v>
      </c>
      <c r="X102" s="25" t="s">
        <v>271</v>
      </c>
      <c r="Y102" s="25">
        <v>2</v>
      </c>
    </row>
    <row r="103" spans="1:26" ht="14.25" hidden="1" customHeight="1" x14ac:dyDescent="0.15">
      <c r="A103" s="24" t="s">
        <v>339</v>
      </c>
      <c r="B103" s="24" t="s">
        <v>88</v>
      </c>
      <c r="C103" s="25" t="s">
        <v>350</v>
      </c>
      <c r="D103" s="24" t="s">
        <v>65</v>
      </c>
      <c r="F103" s="24" t="s">
        <v>220</v>
      </c>
      <c r="G103" s="21">
        <v>2013</v>
      </c>
      <c r="H103" s="21">
        <v>0</v>
      </c>
      <c r="I103" s="21">
        <f t="shared" ca="1" si="5"/>
        <v>13</v>
      </c>
      <c r="J103" s="21">
        <v>3</v>
      </c>
      <c r="K103" s="25" t="str">
        <f t="shared" ca="1" si="6"/>
        <v>Activo</v>
      </c>
      <c r="L103" s="26" t="s">
        <v>49</v>
      </c>
      <c r="M103" s="26"/>
      <c r="N103" s="26"/>
      <c r="O103" s="25" t="s">
        <v>222</v>
      </c>
      <c r="P103" s="26"/>
      <c r="Q103" s="34">
        <v>365</v>
      </c>
      <c r="R103" s="25" t="s">
        <v>64</v>
      </c>
      <c r="S103" s="28">
        <v>46198</v>
      </c>
      <c r="T103" s="28">
        <f t="shared" si="7"/>
        <v>46563</v>
      </c>
      <c r="U103" s="25">
        <f t="shared" ca="1" si="8"/>
        <v>302</v>
      </c>
      <c r="V103" s="25" t="str">
        <f t="shared" ca="1" si="9"/>
        <v>AL DÍA</v>
      </c>
      <c r="W103" s="25" t="s">
        <v>24</v>
      </c>
      <c r="X103" s="25" t="s">
        <v>262</v>
      </c>
      <c r="Y103" s="25">
        <v>2</v>
      </c>
    </row>
    <row r="104" spans="1:26" ht="14.25" hidden="1" customHeight="1" x14ac:dyDescent="0.15">
      <c r="A104" s="24" t="s">
        <v>339</v>
      </c>
      <c r="B104" s="24" t="s">
        <v>88</v>
      </c>
      <c r="C104" s="25" t="s">
        <v>408</v>
      </c>
      <c r="D104" s="24" t="s">
        <v>65</v>
      </c>
      <c r="F104" s="24" t="s">
        <v>215</v>
      </c>
      <c r="G104" s="21">
        <v>2013</v>
      </c>
      <c r="H104" s="21">
        <v>0</v>
      </c>
      <c r="I104" s="21">
        <f t="shared" ca="1" si="5"/>
        <v>13</v>
      </c>
      <c r="J104" s="21">
        <v>3</v>
      </c>
      <c r="K104" s="25" t="str">
        <f t="shared" ca="1" si="6"/>
        <v>Activo</v>
      </c>
      <c r="L104" s="26" t="s">
        <v>49</v>
      </c>
      <c r="M104" s="26" t="s">
        <v>49</v>
      </c>
      <c r="N104" s="26" t="s">
        <v>49</v>
      </c>
      <c r="P104" s="26" t="s">
        <v>22</v>
      </c>
      <c r="Q104" s="34">
        <v>365</v>
      </c>
      <c r="R104" s="25" t="s">
        <v>64</v>
      </c>
      <c r="S104" s="28">
        <v>46198</v>
      </c>
      <c r="T104" s="28">
        <f t="shared" si="7"/>
        <v>46563</v>
      </c>
      <c r="U104" s="25">
        <f t="shared" ca="1" si="8"/>
        <v>302</v>
      </c>
      <c r="V104" s="25" t="str">
        <f t="shared" ca="1" si="9"/>
        <v>AL DÍA</v>
      </c>
      <c r="W104" s="25" t="s">
        <v>24</v>
      </c>
      <c r="X104" s="25" t="s">
        <v>277</v>
      </c>
      <c r="Y104" s="25">
        <v>2</v>
      </c>
      <c r="Z104" s="1" t="s">
        <v>284</v>
      </c>
    </row>
    <row r="105" spans="1:26" ht="14.25" hidden="1" customHeight="1" x14ac:dyDescent="0.15">
      <c r="A105" s="24" t="s">
        <v>339</v>
      </c>
      <c r="B105" s="24" t="s">
        <v>88</v>
      </c>
      <c r="C105" s="25" t="s">
        <v>408</v>
      </c>
      <c r="D105" s="24" t="s">
        <v>65</v>
      </c>
      <c r="E105" s="24" t="s">
        <v>451</v>
      </c>
      <c r="F105" s="24" t="s">
        <v>93</v>
      </c>
      <c r="G105" s="21">
        <v>2013</v>
      </c>
      <c r="H105" s="21">
        <v>20</v>
      </c>
      <c r="I105" s="21">
        <f t="shared" ca="1" si="5"/>
        <v>13</v>
      </c>
      <c r="J105" s="21">
        <v>3</v>
      </c>
      <c r="K105" s="25" t="str">
        <f t="shared" ca="1" si="6"/>
        <v>Activo</v>
      </c>
      <c r="L105" s="25" t="s">
        <v>142</v>
      </c>
      <c r="P105" s="25" t="s">
        <v>22</v>
      </c>
      <c r="Q105" s="32">
        <v>365</v>
      </c>
      <c r="R105" s="25" t="s">
        <v>69</v>
      </c>
      <c r="S105" s="28">
        <v>46198</v>
      </c>
      <c r="T105" s="28">
        <f t="shared" si="7"/>
        <v>46563</v>
      </c>
      <c r="U105" s="25">
        <f t="shared" ca="1" si="8"/>
        <v>302</v>
      </c>
      <c r="V105" s="25" t="str">
        <f t="shared" ca="1" si="9"/>
        <v>AL DÍA</v>
      </c>
      <c r="W105" s="25" t="s">
        <v>24</v>
      </c>
      <c r="X105" s="25" t="s">
        <v>262</v>
      </c>
      <c r="Y105" s="25">
        <v>1</v>
      </c>
      <c r="Z105" s="1" t="s">
        <v>265</v>
      </c>
    </row>
    <row r="106" spans="1:26" ht="14.25" hidden="1" customHeight="1" x14ac:dyDescent="0.15">
      <c r="A106" s="24" t="s">
        <v>339</v>
      </c>
      <c r="B106" s="24" t="s">
        <v>88</v>
      </c>
      <c r="C106" s="25" t="s">
        <v>408</v>
      </c>
      <c r="D106" s="24" t="s">
        <v>65</v>
      </c>
      <c r="F106" s="24" t="s">
        <v>217</v>
      </c>
      <c r="G106" s="21">
        <v>2013</v>
      </c>
      <c r="H106" s="21">
        <v>0</v>
      </c>
      <c r="I106" s="21">
        <f t="shared" ca="1" si="5"/>
        <v>13</v>
      </c>
      <c r="J106" s="21">
        <v>3</v>
      </c>
      <c r="K106" s="25" t="str">
        <f t="shared" ca="1" si="6"/>
        <v>Activo</v>
      </c>
      <c r="L106" s="26" t="s">
        <v>49</v>
      </c>
      <c r="M106" s="26"/>
      <c r="N106" s="26"/>
      <c r="O106" s="72"/>
      <c r="P106" s="26"/>
      <c r="Q106" s="34">
        <v>365</v>
      </c>
      <c r="R106" s="25" t="s">
        <v>64</v>
      </c>
      <c r="S106" s="28">
        <v>46198</v>
      </c>
      <c r="T106" s="28">
        <f t="shared" si="7"/>
        <v>46563</v>
      </c>
      <c r="U106" s="25">
        <f t="shared" ca="1" si="8"/>
        <v>302</v>
      </c>
      <c r="V106" s="25" t="str">
        <f t="shared" ca="1" si="9"/>
        <v>AL DÍA</v>
      </c>
      <c r="W106" s="25" t="s">
        <v>24</v>
      </c>
      <c r="X106" s="25" t="s">
        <v>262</v>
      </c>
      <c r="Y106" s="25">
        <v>2</v>
      </c>
    </row>
    <row r="107" spans="1:26" ht="14.25" hidden="1" customHeight="1" x14ac:dyDescent="0.15">
      <c r="A107" s="24" t="s">
        <v>339</v>
      </c>
      <c r="B107" s="24" t="s">
        <v>88</v>
      </c>
      <c r="C107" s="25" t="s">
        <v>408</v>
      </c>
      <c r="D107" s="24" t="s">
        <v>65</v>
      </c>
      <c r="F107" s="24" t="s">
        <v>218</v>
      </c>
      <c r="G107" s="21">
        <v>2013</v>
      </c>
      <c r="H107" s="21">
        <v>0</v>
      </c>
      <c r="I107" s="21">
        <f t="shared" ca="1" si="5"/>
        <v>13</v>
      </c>
      <c r="J107" s="21">
        <v>3</v>
      </c>
      <c r="K107" s="25" t="str">
        <f t="shared" ca="1" si="6"/>
        <v>Activo</v>
      </c>
      <c r="L107" s="25" t="s">
        <v>49</v>
      </c>
      <c r="O107" s="25" t="s">
        <v>227</v>
      </c>
      <c r="P107" s="26"/>
      <c r="Q107" s="34">
        <v>365</v>
      </c>
      <c r="R107" s="25" t="s">
        <v>64</v>
      </c>
      <c r="S107" s="28">
        <v>46198</v>
      </c>
      <c r="T107" s="28">
        <f t="shared" si="7"/>
        <v>46563</v>
      </c>
      <c r="U107" s="25">
        <f t="shared" ca="1" si="8"/>
        <v>302</v>
      </c>
      <c r="V107" s="25" t="str">
        <f t="shared" ca="1" si="9"/>
        <v>AL DÍA</v>
      </c>
      <c r="W107" s="25" t="s">
        <v>24</v>
      </c>
      <c r="X107" s="25" t="s">
        <v>262</v>
      </c>
      <c r="Y107" s="25">
        <v>2</v>
      </c>
    </row>
    <row r="108" spans="1:26" ht="14.25" hidden="1" customHeight="1" x14ac:dyDescent="0.15">
      <c r="A108" s="24" t="s">
        <v>339</v>
      </c>
      <c r="B108" s="24" t="s">
        <v>88</v>
      </c>
      <c r="C108" s="25" t="s">
        <v>408</v>
      </c>
      <c r="D108" s="24" t="s">
        <v>16</v>
      </c>
      <c r="F108" s="24" t="s">
        <v>224</v>
      </c>
      <c r="G108" s="21">
        <v>2013</v>
      </c>
      <c r="H108" s="21">
        <v>0</v>
      </c>
      <c r="I108" s="21">
        <f t="shared" ca="1" si="5"/>
        <v>13</v>
      </c>
      <c r="J108" s="21">
        <v>3</v>
      </c>
      <c r="K108" s="25" t="str">
        <f t="shared" ca="1" si="6"/>
        <v>Activo</v>
      </c>
      <c r="P108" s="26"/>
      <c r="Q108" s="34">
        <v>365</v>
      </c>
      <c r="R108" s="25" t="s">
        <v>64</v>
      </c>
      <c r="S108" s="28">
        <v>46198</v>
      </c>
      <c r="T108" s="28">
        <f t="shared" si="7"/>
        <v>46563</v>
      </c>
      <c r="U108" s="25">
        <f t="shared" ca="1" si="8"/>
        <v>302</v>
      </c>
      <c r="V108" s="25" t="str">
        <f t="shared" ca="1" si="9"/>
        <v>AL DÍA</v>
      </c>
      <c r="W108" s="25" t="s">
        <v>24</v>
      </c>
      <c r="X108" s="25" t="s">
        <v>271</v>
      </c>
      <c r="Y108" s="25">
        <v>2</v>
      </c>
    </row>
    <row r="109" spans="1:26" ht="14.25" hidden="1" customHeight="1" x14ac:dyDescent="0.15">
      <c r="A109" s="24" t="s">
        <v>339</v>
      </c>
      <c r="B109" s="24" t="s">
        <v>88</v>
      </c>
      <c r="C109" s="25" t="s">
        <v>408</v>
      </c>
      <c r="D109" s="24" t="s">
        <v>65</v>
      </c>
      <c r="F109" s="24" t="s">
        <v>220</v>
      </c>
      <c r="G109" s="21">
        <v>2013</v>
      </c>
      <c r="H109" s="21">
        <v>0</v>
      </c>
      <c r="I109" s="21">
        <f t="shared" ca="1" si="5"/>
        <v>13</v>
      </c>
      <c r="J109" s="21">
        <v>3</v>
      </c>
      <c r="K109" s="25" t="str">
        <f t="shared" ca="1" si="6"/>
        <v>Activo</v>
      </c>
      <c r="L109" s="25" t="s">
        <v>49</v>
      </c>
      <c r="O109" s="25" t="s">
        <v>222</v>
      </c>
      <c r="P109" s="26"/>
      <c r="Q109" s="34">
        <v>365</v>
      </c>
      <c r="R109" s="25" t="s">
        <v>64</v>
      </c>
      <c r="S109" s="28">
        <v>46198</v>
      </c>
      <c r="T109" s="28">
        <f t="shared" si="7"/>
        <v>46563</v>
      </c>
      <c r="U109" s="25">
        <f t="shared" ca="1" si="8"/>
        <v>302</v>
      </c>
      <c r="V109" s="25" t="str">
        <f t="shared" ca="1" si="9"/>
        <v>AL DÍA</v>
      </c>
      <c r="W109" s="25" t="s">
        <v>24</v>
      </c>
      <c r="X109" s="25" t="s">
        <v>262</v>
      </c>
      <c r="Y109" s="25">
        <v>2</v>
      </c>
    </row>
    <row r="110" spans="1:26" ht="14.25" hidden="1" customHeight="1" x14ac:dyDescent="0.15">
      <c r="A110" s="24" t="s">
        <v>339</v>
      </c>
      <c r="B110" s="24" t="s">
        <v>88</v>
      </c>
      <c r="C110" s="25" t="s">
        <v>409</v>
      </c>
      <c r="D110" s="24" t="s">
        <v>65</v>
      </c>
      <c r="F110" s="24" t="s">
        <v>215</v>
      </c>
      <c r="G110" s="21">
        <v>2013</v>
      </c>
      <c r="H110" s="21">
        <v>0</v>
      </c>
      <c r="I110" s="21">
        <f t="shared" ca="1" si="5"/>
        <v>13</v>
      </c>
      <c r="J110" s="21">
        <v>3</v>
      </c>
      <c r="K110" s="25" t="str">
        <f t="shared" ca="1" si="6"/>
        <v>Activo</v>
      </c>
      <c r="L110" s="25" t="s">
        <v>49</v>
      </c>
      <c r="M110" s="25" t="s">
        <v>49</v>
      </c>
      <c r="N110" s="25" t="s">
        <v>49</v>
      </c>
      <c r="O110" s="26"/>
      <c r="P110" s="26" t="s">
        <v>22</v>
      </c>
      <c r="Q110" s="34">
        <v>365</v>
      </c>
      <c r="R110" s="25" t="s">
        <v>64</v>
      </c>
      <c r="S110" s="28">
        <v>46198</v>
      </c>
      <c r="T110" s="28">
        <f t="shared" si="7"/>
        <v>46563</v>
      </c>
      <c r="U110" s="25">
        <f t="shared" ca="1" si="8"/>
        <v>302</v>
      </c>
      <c r="V110" s="25" t="str">
        <f t="shared" ca="1" si="9"/>
        <v>AL DÍA</v>
      </c>
      <c r="W110" s="25" t="s">
        <v>24</v>
      </c>
      <c r="X110" s="25" t="s">
        <v>277</v>
      </c>
      <c r="Y110" s="25">
        <v>2</v>
      </c>
      <c r="Z110" s="1" t="s">
        <v>284</v>
      </c>
    </row>
    <row r="111" spans="1:26" ht="14.25" hidden="1" customHeight="1" x14ac:dyDescent="0.15">
      <c r="A111" s="24" t="s">
        <v>339</v>
      </c>
      <c r="B111" s="24" t="s">
        <v>88</v>
      </c>
      <c r="C111" s="25" t="s">
        <v>409</v>
      </c>
      <c r="D111" s="24" t="s">
        <v>65</v>
      </c>
      <c r="E111" s="24" t="s">
        <v>451</v>
      </c>
      <c r="F111" s="24" t="s">
        <v>93</v>
      </c>
      <c r="G111" s="21">
        <v>2013</v>
      </c>
      <c r="H111" s="21">
        <v>20</v>
      </c>
      <c r="I111" s="21">
        <f t="shared" ca="1" si="5"/>
        <v>13</v>
      </c>
      <c r="J111" s="21">
        <v>3</v>
      </c>
      <c r="K111" s="25" t="str">
        <f t="shared" ca="1" si="6"/>
        <v>Activo</v>
      </c>
      <c r="L111" s="25" t="s">
        <v>142</v>
      </c>
      <c r="P111" s="25" t="s">
        <v>22</v>
      </c>
      <c r="Q111" s="32">
        <v>365</v>
      </c>
      <c r="R111" s="25" t="s">
        <v>69</v>
      </c>
      <c r="S111" s="28">
        <v>46198</v>
      </c>
      <c r="T111" s="28">
        <f t="shared" si="7"/>
        <v>46563</v>
      </c>
      <c r="U111" s="25">
        <f t="shared" ca="1" si="8"/>
        <v>302</v>
      </c>
      <c r="V111" s="25" t="str">
        <f t="shared" ca="1" si="9"/>
        <v>AL DÍA</v>
      </c>
      <c r="W111" s="25" t="s">
        <v>24</v>
      </c>
      <c r="X111" s="25" t="s">
        <v>262</v>
      </c>
      <c r="Y111" s="25">
        <v>1</v>
      </c>
      <c r="Z111" s="1" t="s">
        <v>265</v>
      </c>
    </row>
    <row r="112" spans="1:26" ht="14.25" hidden="1" customHeight="1" x14ac:dyDescent="0.15">
      <c r="A112" s="24" t="s">
        <v>339</v>
      </c>
      <c r="B112" s="24" t="s">
        <v>88</v>
      </c>
      <c r="C112" s="25" t="s">
        <v>409</v>
      </c>
      <c r="D112" s="24" t="s">
        <v>65</v>
      </c>
      <c r="F112" s="24" t="s">
        <v>217</v>
      </c>
      <c r="G112" s="21">
        <v>2013</v>
      </c>
      <c r="H112" s="21">
        <v>0</v>
      </c>
      <c r="I112" s="21">
        <f t="shared" ca="1" si="5"/>
        <v>13</v>
      </c>
      <c r="J112" s="21">
        <v>3</v>
      </c>
      <c r="K112" s="25" t="str">
        <f t="shared" ca="1" si="6"/>
        <v>Activo</v>
      </c>
      <c r="L112" s="25" t="s">
        <v>49</v>
      </c>
      <c r="O112" s="73"/>
      <c r="P112" s="26"/>
      <c r="Q112" s="34">
        <v>365</v>
      </c>
      <c r="R112" s="25" t="s">
        <v>64</v>
      </c>
      <c r="S112" s="28">
        <v>46198</v>
      </c>
      <c r="T112" s="28">
        <f t="shared" si="7"/>
        <v>46563</v>
      </c>
      <c r="U112" s="25">
        <f t="shared" ca="1" si="8"/>
        <v>302</v>
      </c>
      <c r="V112" s="25" t="str">
        <f t="shared" ca="1" si="9"/>
        <v>AL DÍA</v>
      </c>
      <c r="W112" s="25" t="s">
        <v>24</v>
      </c>
      <c r="X112" s="25" t="s">
        <v>262</v>
      </c>
      <c r="Y112" s="25">
        <v>2</v>
      </c>
    </row>
    <row r="113" spans="1:27" ht="14.25" hidden="1" customHeight="1" x14ac:dyDescent="0.15">
      <c r="A113" s="24" t="s">
        <v>339</v>
      </c>
      <c r="B113" s="24" t="s">
        <v>88</v>
      </c>
      <c r="C113" s="25" t="s">
        <v>409</v>
      </c>
      <c r="D113" s="24" t="s">
        <v>65</v>
      </c>
      <c r="F113" s="24" t="s">
        <v>218</v>
      </c>
      <c r="G113" s="21">
        <v>2013</v>
      </c>
      <c r="H113" s="21">
        <v>0</v>
      </c>
      <c r="I113" s="21">
        <f t="shared" ca="1" si="5"/>
        <v>13</v>
      </c>
      <c r="J113" s="21">
        <v>3</v>
      </c>
      <c r="K113" s="25" t="str">
        <f t="shared" ca="1" si="6"/>
        <v>Activo</v>
      </c>
      <c r="L113" s="25" t="s">
        <v>49</v>
      </c>
      <c r="O113" s="25" t="s">
        <v>227</v>
      </c>
      <c r="P113" s="26"/>
      <c r="Q113" s="34">
        <v>365</v>
      </c>
      <c r="R113" s="25" t="s">
        <v>64</v>
      </c>
      <c r="S113" s="28">
        <v>46198</v>
      </c>
      <c r="T113" s="28">
        <f t="shared" si="7"/>
        <v>46563</v>
      </c>
      <c r="U113" s="25">
        <f t="shared" ca="1" si="8"/>
        <v>302</v>
      </c>
      <c r="V113" s="25" t="str">
        <f t="shared" ca="1" si="9"/>
        <v>AL DÍA</v>
      </c>
      <c r="W113" s="25" t="s">
        <v>24</v>
      </c>
      <c r="X113" s="25" t="s">
        <v>262</v>
      </c>
      <c r="Y113" s="25">
        <v>2</v>
      </c>
    </row>
    <row r="114" spans="1:27" ht="14.25" hidden="1" customHeight="1" x14ac:dyDescent="0.15">
      <c r="A114" s="24" t="s">
        <v>339</v>
      </c>
      <c r="B114" s="24" t="s">
        <v>88</v>
      </c>
      <c r="C114" s="25" t="s">
        <v>409</v>
      </c>
      <c r="D114" s="24" t="s">
        <v>16</v>
      </c>
      <c r="F114" s="24" t="s">
        <v>219</v>
      </c>
      <c r="G114" s="21">
        <v>2019</v>
      </c>
      <c r="H114" s="21">
        <v>15</v>
      </c>
      <c r="I114" s="21">
        <f t="shared" ca="1" si="5"/>
        <v>7</v>
      </c>
      <c r="J114" s="21">
        <v>3</v>
      </c>
      <c r="K114" s="25" t="str">
        <f t="shared" ca="1" si="6"/>
        <v>Activo</v>
      </c>
      <c r="L114" s="72"/>
      <c r="M114" s="72"/>
      <c r="O114" s="25" t="s">
        <v>221</v>
      </c>
      <c r="P114" s="26" t="s">
        <v>49</v>
      </c>
      <c r="Q114" s="34">
        <v>365</v>
      </c>
      <c r="R114" s="25" t="s">
        <v>64</v>
      </c>
      <c r="S114" s="28">
        <v>46198</v>
      </c>
      <c r="T114" s="28">
        <f t="shared" si="7"/>
        <v>46563</v>
      </c>
      <c r="U114" s="25">
        <f t="shared" ca="1" si="8"/>
        <v>302</v>
      </c>
      <c r="V114" s="25" t="str">
        <f t="shared" ca="1" si="9"/>
        <v>AL DÍA</v>
      </c>
      <c r="W114" s="25" t="s">
        <v>24</v>
      </c>
      <c r="X114" s="25" t="s">
        <v>271</v>
      </c>
      <c r="Y114" s="25">
        <v>2</v>
      </c>
      <c r="Z114" s="1" t="s">
        <v>303</v>
      </c>
    </row>
    <row r="115" spans="1:27" ht="14.25" hidden="1" customHeight="1" x14ac:dyDescent="0.15">
      <c r="A115" s="24" t="s">
        <v>339</v>
      </c>
      <c r="B115" s="24" t="s">
        <v>88</v>
      </c>
      <c r="C115" s="25" t="s">
        <v>409</v>
      </c>
      <c r="D115" s="24" t="s">
        <v>16</v>
      </c>
      <c r="F115" s="24" t="s">
        <v>224</v>
      </c>
      <c r="G115" s="21">
        <v>2013</v>
      </c>
      <c r="H115" s="21">
        <v>0</v>
      </c>
      <c r="I115" s="21">
        <f t="shared" ca="1" si="5"/>
        <v>13</v>
      </c>
      <c r="J115" s="21">
        <v>3</v>
      </c>
      <c r="K115" s="25" t="str">
        <f t="shared" ca="1" si="6"/>
        <v>Activo</v>
      </c>
      <c r="O115" s="26"/>
      <c r="P115" s="26"/>
      <c r="Q115" s="34">
        <v>365</v>
      </c>
      <c r="R115" s="25" t="s">
        <v>64</v>
      </c>
      <c r="S115" s="28">
        <v>46198</v>
      </c>
      <c r="T115" s="28">
        <f t="shared" si="7"/>
        <v>46563</v>
      </c>
      <c r="U115" s="25">
        <f t="shared" ca="1" si="8"/>
        <v>302</v>
      </c>
      <c r="V115" s="25" t="str">
        <f t="shared" ca="1" si="9"/>
        <v>AL DÍA</v>
      </c>
      <c r="W115" s="25" t="s">
        <v>24</v>
      </c>
      <c r="X115" s="25" t="s">
        <v>271</v>
      </c>
      <c r="Y115" s="25">
        <v>2</v>
      </c>
    </row>
    <row r="116" spans="1:27" ht="14.25" hidden="1" customHeight="1" x14ac:dyDescent="0.15">
      <c r="A116" s="24" t="s">
        <v>339</v>
      </c>
      <c r="B116" s="24" t="s">
        <v>88</v>
      </c>
      <c r="C116" s="25" t="s">
        <v>409</v>
      </c>
      <c r="D116" s="24" t="s">
        <v>65</v>
      </c>
      <c r="F116" s="24" t="s">
        <v>220</v>
      </c>
      <c r="G116" s="21">
        <v>2013</v>
      </c>
      <c r="H116" s="21">
        <v>0</v>
      </c>
      <c r="I116" s="21">
        <f t="shared" ca="1" si="5"/>
        <v>13</v>
      </c>
      <c r="J116" s="21">
        <v>3</v>
      </c>
      <c r="K116" s="25" t="str">
        <f t="shared" ca="1" si="6"/>
        <v>Activo</v>
      </c>
      <c r="L116" s="25" t="s">
        <v>49</v>
      </c>
      <c r="O116" s="26" t="s">
        <v>222</v>
      </c>
      <c r="P116" s="26"/>
      <c r="Q116" s="34">
        <v>365</v>
      </c>
      <c r="R116" s="25" t="s">
        <v>64</v>
      </c>
      <c r="S116" s="28">
        <v>46198</v>
      </c>
      <c r="T116" s="28">
        <f t="shared" si="7"/>
        <v>46563</v>
      </c>
      <c r="U116" s="25">
        <f t="shared" ca="1" si="8"/>
        <v>302</v>
      </c>
      <c r="V116" s="25" t="str">
        <f t="shared" ca="1" si="9"/>
        <v>AL DÍA</v>
      </c>
      <c r="W116" s="25" t="s">
        <v>24</v>
      </c>
      <c r="X116" s="25" t="s">
        <v>262</v>
      </c>
      <c r="Y116" s="25">
        <v>2</v>
      </c>
    </row>
    <row r="117" spans="1:27" ht="14.25" hidden="1" customHeight="1" x14ac:dyDescent="0.15">
      <c r="A117" s="24" t="s">
        <v>339</v>
      </c>
      <c r="B117" s="24" t="s">
        <v>88</v>
      </c>
      <c r="C117" s="25" t="s">
        <v>340</v>
      </c>
      <c r="D117" s="24" t="s">
        <v>16</v>
      </c>
      <c r="E117" s="24" t="s">
        <v>435</v>
      </c>
      <c r="F117" s="24" t="s">
        <v>420</v>
      </c>
      <c r="G117" s="71"/>
      <c r="H117" s="21">
        <v>0</v>
      </c>
      <c r="I117" s="21">
        <f t="shared" ca="1" si="5"/>
        <v>2026</v>
      </c>
      <c r="J117" s="21">
        <v>3</v>
      </c>
      <c r="K117" s="25" t="str">
        <f t="shared" ca="1" si="6"/>
        <v>Activo</v>
      </c>
      <c r="O117" s="25">
        <v>25</v>
      </c>
      <c r="P117" s="26" t="s">
        <v>439</v>
      </c>
      <c r="Q117" s="34">
        <v>180</v>
      </c>
      <c r="S117" s="29">
        <v>46198</v>
      </c>
      <c r="T117" s="28">
        <f t="shared" si="7"/>
        <v>46378</v>
      </c>
      <c r="U117" s="25">
        <f t="shared" ca="1" si="8"/>
        <v>117</v>
      </c>
      <c r="V117" s="25" t="str">
        <f t="shared" ca="1" si="9"/>
        <v>AL DÍA</v>
      </c>
      <c r="W117" s="25" t="s">
        <v>24</v>
      </c>
      <c r="X117" s="25" t="s">
        <v>271</v>
      </c>
      <c r="Y117" s="25">
        <v>2</v>
      </c>
    </row>
    <row r="118" spans="1:27" ht="14.25" hidden="1" customHeight="1" x14ac:dyDescent="0.15">
      <c r="A118" s="24" t="s">
        <v>339</v>
      </c>
      <c r="B118" s="24" t="s">
        <v>88</v>
      </c>
      <c r="C118" s="25" t="s">
        <v>341</v>
      </c>
      <c r="D118" s="24" t="s">
        <v>16</v>
      </c>
      <c r="E118" s="24" t="s">
        <v>435</v>
      </c>
      <c r="F118" s="24" t="s">
        <v>420</v>
      </c>
      <c r="G118" s="71"/>
      <c r="H118" s="21">
        <v>0</v>
      </c>
      <c r="I118" s="21">
        <f t="shared" ca="1" si="5"/>
        <v>2026</v>
      </c>
      <c r="J118" s="21">
        <v>3</v>
      </c>
      <c r="K118" s="25" t="str">
        <f t="shared" ca="1" si="6"/>
        <v>Activo</v>
      </c>
      <c r="O118" s="25">
        <v>25</v>
      </c>
      <c r="P118" s="26" t="s">
        <v>439</v>
      </c>
      <c r="Q118" s="34">
        <v>180</v>
      </c>
      <c r="S118" s="29">
        <v>46198</v>
      </c>
      <c r="T118" s="28">
        <f t="shared" si="7"/>
        <v>46378</v>
      </c>
      <c r="U118" s="25">
        <f t="shared" ca="1" si="8"/>
        <v>117</v>
      </c>
      <c r="V118" s="25" t="str">
        <f t="shared" ca="1" si="9"/>
        <v>AL DÍA</v>
      </c>
      <c r="W118" s="25" t="s">
        <v>24</v>
      </c>
      <c r="X118" s="25" t="s">
        <v>271</v>
      </c>
      <c r="Y118" s="25">
        <v>2</v>
      </c>
    </row>
    <row r="119" spans="1:27" ht="14.25" hidden="1" customHeight="1" x14ac:dyDescent="0.15">
      <c r="A119" s="24" t="s">
        <v>339</v>
      </c>
      <c r="B119" s="24" t="s">
        <v>88</v>
      </c>
      <c r="C119" s="25" t="s">
        <v>342</v>
      </c>
      <c r="D119" s="24" t="s">
        <v>16</v>
      </c>
      <c r="E119" s="24" t="s">
        <v>435</v>
      </c>
      <c r="F119" s="24" t="s">
        <v>420</v>
      </c>
      <c r="G119" s="71"/>
      <c r="H119" s="21">
        <v>0</v>
      </c>
      <c r="I119" s="21">
        <f t="shared" ca="1" si="5"/>
        <v>2026</v>
      </c>
      <c r="J119" s="21">
        <v>3</v>
      </c>
      <c r="K119" s="25" t="str">
        <f t="shared" ca="1" si="6"/>
        <v>Activo</v>
      </c>
      <c r="O119" s="25">
        <v>25</v>
      </c>
      <c r="P119" s="26" t="s">
        <v>439</v>
      </c>
      <c r="Q119" s="34">
        <v>180</v>
      </c>
      <c r="S119" s="29">
        <v>46198</v>
      </c>
      <c r="T119" s="28">
        <f t="shared" si="7"/>
        <v>46378</v>
      </c>
      <c r="U119" s="25">
        <f t="shared" ca="1" si="8"/>
        <v>117</v>
      </c>
      <c r="V119" s="25" t="str">
        <f t="shared" ca="1" si="9"/>
        <v>AL DÍA</v>
      </c>
      <c r="W119" s="25" t="s">
        <v>24</v>
      </c>
      <c r="X119" s="25" t="s">
        <v>271</v>
      </c>
      <c r="Y119" s="25">
        <v>2</v>
      </c>
    </row>
    <row r="120" spans="1:27" ht="14.25" hidden="1" customHeight="1" x14ac:dyDescent="0.15">
      <c r="A120" s="24" t="s">
        <v>339</v>
      </c>
      <c r="B120" s="24" t="s">
        <v>88</v>
      </c>
      <c r="C120" s="25" t="s">
        <v>343</v>
      </c>
      <c r="D120" s="24" t="s">
        <v>16</v>
      </c>
      <c r="E120" s="24" t="s">
        <v>435</v>
      </c>
      <c r="F120" s="24" t="s">
        <v>420</v>
      </c>
      <c r="G120" s="71"/>
      <c r="H120" s="21">
        <v>0</v>
      </c>
      <c r="I120" s="21">
        <f t="shared" ca="1" si="5"/>
        <v>2026</v>
      </c>
      <c r="J120" s="21">
        <v>3</v>
      </c>
      <c r="K120" s="25" t="str">
        <f t="shared" ca="1" si="6"/>
        <v>Activo</v>
      </c>
      <c r="O120" s="25">
        <v>25</v>
      </c>
      <c r="P120" s="26" t="s">
        <v>439</v>
      </c>
      <c r="Q120" s="34">
        <v>180</v>
      </c>
      <c r="S120" s="29">
        <v>46198</v>
      </c>
      <c r="T120" s="28">
        <f t="shared" si="7"/>
        <v>46378</v>
      </c>
      <c r="U120" s="25">
        <f t="shared" ca="1" si="8"/>
        <v>117</v>
      </c>
      <c r="V120" s="25" t="str">
        <f t="shared" ca="1" si="9"/>
        <v>AL DÍA</v>
      </c>
      <c r="W120" s="25" t="s">
        <v>24</v>
      </c>
      <c r="X120" s="25" t="s">
        <v>271</v>
      </c>
      <c r="Y120" s="25">
        <v>2</v>
      </c>
      <c r="AA120" s="14"/>
    </row>
    <row r="121" spans="1:27" ht="14.25" hidden="1" customHeight="1" x14ac:dyDescent="0.15">
      <c r="A121" s="24" t="s">
        <v>339</v>
      </c>
      <c r="B121" s="24" t="s">
        <v>88</v>
      </c>
      <c r="C121" s="25" t="s">
        <v>344</v>
      </c>
      <c r="D121" s="24" t="s">
        <v>16</v>
      </c>
      <c r="E121" s="24" t="s">
        <v>435</v>
      </c>
      <c r="F121" s="24" t="s">
        <v>420</v>
      </c>
      <c r="G121" s="71"/>
      <c r="H121" s="21">
        <v>0</v>
      </c>
      <c r="I121" s="21">
        <f t="shared" ca="1" si="5"/>
        <v>2026</v>
      </c>
      <c r="J121" s="21">
        <v>3</v>
      </c>
      <c r="K121" s="25" t="str">
        <f t="shared" ca="1" si="6"/>
        <v>Activo</v>
      </c>
      <c r="O121" s="26">
        <v>25</v>
      </c>
      <c r="P121" s="26" t="s">
        <v>439</v>
      </c>
      <c r="Q121" s="34">
        <v>180</v>
      </c>
      <c r="S121" s="29">
        <v>46198</v>
      </c>
      <c r="T121" s="28">
        <f t="shared" si="7"/>
        <v>46378</v>
      </c>
      <c r="U121" s="25">
        <f t="shared" ca="1" si="8"/>
        <v>117</v>
      </c>
      <c r="V121" s="25" t="str">
        <f t="shared" ca="1" si="9"/>
        <v>AL DÍA</v>
      </c>
      <c r="W121" s="25" t="s">
        <v>24</v>
      </c>
      <c r="X121" s="25" t="s">
        <v>271</v>
      </c>
      <c r="Y121" s="25">
        <v>2</v>
      </c>
      <c r="AA121" s="14"/>
    </row>
    <row r="122" spans="1:27" ht="14.25" hidden="1" customHeight="1" x14ac:dyDescent="0.15">
      <c r="A122" s="24" t="s">
        <v>339</v>
      </c>
      <c r="B122" s="24" t="s">
        <v>88</v>
      </c>
      <c r="C122" s="25" t="s">
        <v>345</v>
      </c>
      <c r="D122" s="24" t="s">
        <v>16</v>
      </c>
      <c r="E122" s="24" t="s">
        <v>435</v>
      </c>
      <c r="F122" s="24" t="s">
        <v>420</v>
      </c>
      <c r="G122" s="71"/>
      <c r="H122" s="21">
        <v>0</v>
      </c>
      <c r="I122" s="21">
        <f t="shared" ca="1" si="5"/>
        <v>2026</v>
      </c>
      <c r="J122" s="21">
        <v>3</v>
      </c>
      <c r="K122" s="25" t="str">
        <f t="shared" ca="1" si="6"/>
        <v>Activo</v>
      </c>
      <c r="O122" s="25">
        <v>25</v>
      </c>
      <c r="P122" s="26" t="s">
        <v>439</v>
      </c>
      <c r="Q122" s="34">
        <v>180</v>
      </c>
      <c r="S122" s="29">
        <v>46198</v>
      </c>
      <c r="T122" s="28">
        <f t="shared" si="7"/>
        <v>46378</v>
      </c>
      <c r="U122" s="25">
        <f t="shared" ca="1" si="8"/>
        <v>117</v>
      </c>
      <c r="V122" s="25" t="str">
        <f t="shared" ca="1" si="9"/>
        <v>AL DÍA</v>
      </c>
      <c r="W122" s="25" t="s">
        <v>24</v>
      </c>
      <c r="X122" s="25" t="s">
        <v>271</v>
      </c>
      <c r="Y122" s="25">
        <v>2</v>
      </c>
    </row>
    <row r="123" spans="1:27" ht="14.25" hidden="1" customHeight="1" x14ac:dyDescent="0.15">
      <c r="A123" s="24" t="s">
        <v>339</v>
      </c>
      <c r="B123" s="24" t="s">
        <v>88</v>
      </c>
      <c r="C123" s="25" t="s">
        <v>346</v>
      </c>
      <c r="D123" s="24" t="s">
        <v>16</v>
      </c>
      <c r="E123" s="24" t="s">
        <v>435</v>
      </c>
      <c r="F123" s="24" t="s">
        <v>420</v>
      </c>
      <c r="G123" s="71"/>
      <c r="H123" s="21">
        <v>0</v>
      </c>
      <c r="I123" s="21">
        <f t="shared" ca="1" si="5"/>
        <v>2026</v>
      </c>
      <c r="J123" s="21">
        <v>3</v>
      </c>
      <c r="K123" s="25" t="str">
        <f t="shared" ca="1" si="6"/>
        <v>Activo</v>
      </c>
      <c r="O123" s="25">
        <v>25</v>
      </c>
      <c r="P123" s="26" t="s">
        <v>439</v>
      </c>
      <c r="Q123" s="34">
        <v>180</v>
      </c>
      <c r="S123" s="29">
        <v>46198</v>
      </c>
      <c r="T123" s="28">
        <f t="shared" si="7"/>
        <v>46378</v>
      </c>
      <c r="U123" s="25">
        <f t="shared" ca="1" si="8"/>
        <v>117</v>
      </c>
      <c r="V123" s="25" t="str">
        <f t="shared" ca="1" si="9"/>
        <v>AL DÍA</v>
      </c>
      <c r="W123" s="25" t="s">
        <v>24</v>
      </c>
      <c r="X123" s="25" t="s">
        <v>271</v>
      </c>
      <c r="Y123" s="25">
        <v>2</v>
      </c>
    </row>
    <row r="124" spans="1:27" ht="14.25" hidden="1" customHeight="1" x14ac:dyDescent="0.15">
      <c r="A124" s="24" t="s">
        <v>339</v>
      </c>
      <c r="B124" s="24" t="s">
        <v>88</v>
      </c>
      <c r="C124" s="25" t="s">
        <v>347</v>
      </c>
      <c r="D124" s="24" t="s">
        <v>16</v>
      </c>
      <c r="E124" s="24" t="s">
        <v>435</v>
      </c>
      <c r="F124" s="24" t="s">
        <v>420</v>
      </c>
      <c r="G124" s="71"/>
      <c r="H124" s="21">
        <v>0</v>
      </c>
      <c r="I124" s="21">
        <f t="shared" ca="1" si="5"/>
        <v>2026</v>
      </c>
      <c r="J124" s="21">
        <v>3</v>
      </c>
      <c r="K124" s="25" t="str">
        <f t="shared" ca="1" si="6"/>
        <v>Activo</v>
      </c>
      <c r="O124" s="25">
        <v>25</v>
      </c>
      <c r="P124" s="26" t="s">
        <v>439</v>
      </c>
      <c r="Q124" s="34">
        <v>180</v>
      </c>
      <c r="S124" s="29">
        <v>46198</v>
      </c>
      <c r="T124" s="28">
        <f t="shared" si="7"/>
        <v>46378</v>
      </c>
      <c r="U124" s="25">
        <f t="shared" ca="1" si="8"/>
        <v>117</v>
      </c>
      <c r="V124" s="25" t="str">
        <f t="shared" ca="1" si="9"/>
        <v>AL DÍA</v>
      </c>
      <c r="W124" s="25" t="s">
        <v>24</v>
      </c>
      <c r="X124" s="25" t="s">
        <v>271</v>
      </c>
      <c r="Y124" s="25">
        <v>2</v>
      </c>
    </row>
    <row r="125" spans="1:27" ht="14.25" hidden="1" customHeight="1" x14ac:dyDescent="0.15">
      <c r="A125" s="24" t="s">
        <v>339</v>
      </c>
      <c r="B125" s="24" t="s">
        <v>88</v>
      </c>
      <c r="C125" s="25" t="s">
        <v>348</v>
      </c>
      <c r="D125" s="24" t="s">
        <v>16</v>
      </c>
      <c r="E125" s="24" t="s">
        <v>435</v>
      </c>
      <c r="F125" s="24" t="s">
        <v>420</v>
      </c>
      <c r="G125" s="71"/>
      <c r="H125" s="21">
        <v>0</v>
      </c>
      <c r="I125" s="21">
        <f t="shared" ca="1" si="5"/>
        <v>2026</v>
      </c>
      <c r="J125" s="21">
        <v>3</v>
      </c>
      <c r="K125" s="25" t="str">
        <f t="shared" ca="1" si="6"/>
        <v>Activo</v>
      </c>
      <c r="O125" s="25">
        <v>27</v>
      </c>
      <c r="P125" s="26" t="s">
        <v>439</v>
      </c>
      <c r="Q125" s="34">
        <v>180</v>
      </c>
      <c r="S125" s="29">
        <v>46198</v>
      </c>
      <c r="T125" s="28">
        <f t="shared" si="7"/>
        <v>46378</v>
      </c>
      <c r="U125" s="25">
        <f t="shared" ca="1" si="8"/>
        <v>117</v>
      </c>
      <c r="V125" s="25" t="str">
        <f t="shared" ca="1" si="9"/>
        <v>AL DÍA</v>
      </c>
      <c r="W125" s="25" t="s">
        <v>24</v>
      </c>
      <c r="X125" s="25" t="s">
        <v>271</v>
      </c>
      <c r="Y125" s="25">
        <v>2</v>
      </c>
    </row>
    <row r="126" spans="1:27" ht="14.25" hidden="1" customHeight="1" x14ac:dyDescent="0.15">
      <c r="A126" s="24" t="s">
        <v>339</v>
      </c>
      <c r="B126" s="24" t="s">
        <v>88</v>
      </c>
      <c r="C126" s="25" t="s">
        <v>349</v>
      </c>
      <c r="D126" s="24" t="s">
        <v>16</v>
      </c>
      <c r="E126" s="24" t="s">
        <v>435</v>
      </c>
      <c r="F126" s="24" t="s">
        <v>420</v>
      </c>
      <c r="G126" s="71"/>
      <c r="H126" s="21">
        <v>0</v>
      </c>
      <c r="I126" s="21">
        <f t="shared" ca="1" si="5"/>
        <v>2026</v>
      </c>
      <c r="J126" s="21">
        <v>3</v>
      </c>
      <c r="K126" s="25" t="str">
        <f t="shared" ca="1" si="6"/>
        <v>Activo</v>
      </c>
      <c r="O126" s="25">
        <v>27</v>
      </c>
      <c r="P126" s="26" t="s">
        <v>439</v>
      </c>
      <c r="Q126" s="34">
        <v>180</v>
      </c>
      <c r="S126" s="29">
        <v>46198</v>
      </c>
      <c r="T126" s="28">
        <f t="shared" si="7"/>
        <v>46378</v>
      </c>
      <c r="U126" s="25">
        <f t="shared" ca="1" si="8"/>
        <v>117</v>
      </c>
      <c r="V126" s="25" t="str">
        <f t="shared" ca="1" si="9"/>
        <v>AL DÍA</v>
      </c>
      <c r="W126" s="25" t="s">
        <v>24</v>
      </c>
      <c r="X126" s="25" t="s">
        <v>271</v>
      </c>
      <c r="Y126" s="25">
        <v>2</v>
      </c>
    </row>
    <row r="127" spans="1:27" ht="14.25" hidden="1" customHeight="1" x14ac:dyDescent="0.15">
      <c r="A127" s="24" t="s">
        <v>339</v>
      </c>
      <c r="B127" s="24" t="s">
        <v>88</v>
      </c>
      <c r="C127" s="25" t="s">
        <v>350</v>
      </c>
      <c r="D127" s="24" t="s">
        <v>16</v>
      </c>
      <c r="E127" s="24" t="s">
        <v>435</v>
      </c>
      <c r="F127" s="24" t="s">
        <v>420</v>
      </c>
      <c r="G127" s="71"/>
      <c r="H127" s="21">
        <v>0</v>
      </c>
      <c r="I127" s="21">
        <f t="shared" ca="1" si="5"/>
        <v>2026</v>
      </c>
      <c r="J127" s="21">
        <v>3</v>
      </c>
      <c r="K127" s="25" t="str">
        <f t="shared" ca="1" si="6"/>
        <v>Activo</v>
      </c>
      <c r="O127" s="72"/>
      <c r="P127" s="26" t="s">
        <v>439</v>
      </c>
      <c r="Q127" s="34">
        <v>180</v>
      </c>
      <c r="S127" s="29">
        <v>46198</v>
      </c>
      <c r="T127" s="28">
        <f t="shared" si="7"/>
        <v>46378</v>
      </c>
      <c r="U127" s="25">
        <f t="shared" ca="1" si="8"/>
        <v>117</v>
      </c>
      <c r="V127" s="25" t="str">
        <f t="shared" ca="1" si="9"/>
        <v>AL DÍA</v>
      </c>
      <c r="W127" s="25" t="s">
        <v>24</v>
      </c>
      <c r="X127" s="25" t="s">
        <v>271</v>
      </c>
      <c r="Y127" s="25">
        <v>2</v>
      </c>
    </row>
    <row r="128" spans="1:27" ht="14.25" hidden="1" customHeight="1" x14ac:dyDescent="0.15">
      <c r="A128" s="24" t="s">
        <v>339</v>
      </c>
      <c r="B128" s="24" t="s">
        <v>88</v>
      </c>
      <c r="C128" s="25" t="s">
        <v>408</v>
      </c>
      <c r="D128" s="24" t="s">
        <v>16</v>
      </c>
      <c r="E128" s="24" t="s">
        <v>435</v>
      </c>
      <c r="F128" s="24" t="s">
        <v>420</v>
      </c>
      <c r="G128" s="71"/>
      <c r="H128" s="21">
        <v>0</v>
      </c>
      <c r="I128" s="21">
        <f t="shared" ca="1" si="5"/>
        <v>2026</v>
      </c>
      <c r="J128" s="21">
        <v>3</v>
      </c>
      <c r="K128" s="25" t="str">
        <f t="shared" ca="1" si="6"/>
        <v>Activo</v>
      </c>
      <c r="O128" s="72"/>
      <c r="P128" s="26" t="s">
        <v>439</v>
      </c>
      <c r="Q128" s="34">
        <v>180</v>
      </c>
      <c r="S128" s="29">
        <v>46198</v>
      </c>
      <c r="T128" s="28">
        <f t="shared" si="7"/>
        <v>46378</v>
      </c>
      <c r="U128" s="25">
        <f t="shared" ca="1" si="8"/>
        <v>117</v>
      </c>
      <c r="V128" s="25" t="str">
        <f t="shared" ca="1" si="9"/>
        <v>AL DÍA</v>
      </c>
      <c r="W128" s="25" t="s">
        <v>24</v>
      </c>
      <c r="X128" s="25" t="s">
        <v>271</v>
      </c>
      <c r="Y128" s="25">
        <v>2</v>
      </c>
    </row>
    <row r="129" spans="1:25" ht="14.25" hidden="1" customHeight="1" x14ac:dyDescent="0.15">
      <c r="A129" s="24" t="s">
        <v>339</v>
      </c>
      <c r="B129" s="24" t="s">
        <v>88</v>
      </c>
      <c r="C129" s="25" t="s">
        <v>409</v>
      </c>
      <c r="D129" s="24" t="s">
        <v>16</v>
      </c>
      <c r="E129" s="24" t="s">
        <v>435</v>
      </c>
      <c r="F129" s="24" t="s">
        <v>420</v>
      </c>
      <c r="G129" s="71"/>
      <c r="H129" s="21">
        <v>0</v>
      </c>
      <c r="I129" s="21">
        <f t="shared" ca="1" si="5"/>
        <v>2026</v>
      </c>
      <c r="J129" s="21">
        <v>3</v>
      </c>
      <c r="K129" s="25" t="str">
        <f t="shared" ca="1" si="6"/>
        <v>Activo</v>
      </c>
      <c r="O129" s="72"/>
      <c r="P129" s="26" t="s">
        <v>439</v>
      </c>
      <c r="Q129" s="34">
        <v>180</v>
      </c>
      <c r="S129" s="29">
        <v>46198</v>
      </c>
      <c r="T129" s="28">
        <f t="shared" si="7"/>
        <v>46378</v>
      </c>
      <c r="U129" s="25">
        <f t="shared" ca="1" si="8"/>
        <v>117</v>
      </c>
      <c r="V129" s="25" t="str">
        <f t="shared" ca="1" si="9"/>
        <v>AL DÍA</v>
      </c>
      <c r="W129" s="25" t="s">
        <v>24</v>
      </c>
      <c r="X129" s="25" t="s">
        <v>271</v>
      </c>
      <c r="Y129" s="25">
        <v>2</v>
      </c>
    </row>
    <row r="130" spans="1:25" ht="14.25" hidden="1" customHeight="1" x14ac:dyDescent="0.15">
      <c r="A130" s="24" t="s">
        <v>339</v>
      </c>
      <c r="B130" s="24" t="s">
        <v>88</v>
      </c>
      <c r="C130" s="25" t="s">
        <v>340</v>
      </c>
      <c r="D130" s="24" t="s">
        <v>16</v>
      </c>
      <c r="E130" s="24" t="s">
        <v>450</v>
      </c>
      <c r="F130" s="24" t="s">
        <v>421</v>
      </c>
      <c r="G130" s="71"/>
      <c r="H130" s="21">
        <v>0</v>
      </c>
      <c r="I130" s="21">
        <f t="shared" ref="I130:I193" ca="1" si="10">YEAR(TODAY())-G130</f>
        <v>2026</v>
      </c>
      <c r="J130" s="21">
        <v>3</v>
      </c>
      <c r="K130" s="25" t="str">
        <f t="shared" ref="K130:K193" ca="1" si="11">IF(J130=1,"Cambiar",IF(J130=2,"Presupuestar",IF(H130=0,"Activo",IF(G130+H130&lt;YEAR(TODAY()),"Cambiar o Inspección externa",IF(G130+H130-1&lt;YEAR(TODAY()),"Presupuestar","Activo")))))</f>
        <v>Activo</v>
      </c>
      <c r="O130" s="72"/>
      <c r="P130" s="26" t="s">
        <v>439</v>
      </c>
      <c r="Q130" s="34">
        <v>180</v>
      </c>
      <c r="S130" s="29">
        <v>46198</v>
      </c>
      <c r="T130" s="28">
        <f t="shared" ref="T130:T193" si="12">+S130+Q130</f>
        <v>46378</v>
      </c>
      <c r="U130" s="25">
        <f t="shared" ref="U130:U193" ca="1" si="13">T130-TODAY()</f>
        <v>117</v>
      </c>
      <c r="V130" s="25" t="str">
        <f t="shared" ref="V130:V193" ca="1" si="14">IF(U130&lt;0, "VENCIDO", "AL DÍA")</f>
        <v>AL DÍA</v>
      </c>
      <c r="W130" s="25" t="s">
        <v>24</v>
      </c>
      <c r="X130" s="25" t="s">
        <v>271</v>
      </c>
      <c r="Y130" s="25">
        <v>2</v>
      </c>
    </row>
    <row r="131" spans="1:25" ht="14.25" hidden="1" customHeight="1" x14ac:dyDescent="0.15">
      <c r="A131" s="24" t="s">
        <v>339</v>
      </c>
      <c r="B131" s="24" t="s">
        <v>88</v>
      </c>
      <c r="C131" s="25" t="s">
        <v>341</v>
      </c>
      <c r="D131" s="24" t="s">
        <v>16</v>
      </c>
      <c r="E131" s="24" t="s">
        <v>450</v>
      </c>
      <c r="F131" s="24" t="s">
        <v>421</v>
      </c>
      <c r="G131" s="71"/>
      <c r="H131" s="21">
        <v>0</v>
      </c>
      <c r="I131" s="21">
        <f t="shared" ca="1" si="10"/>
        <v>2026</v>
      </c>
      <c r="J131" s="21">
        <v>3</v>
      </c>
      <c r="K131" s="25" t="str">
        <f t="shared" ca="1" si="11"/>
        <v>Activo</v>
      </c>
      <c r="N131" s="26"/>
      <c r="O131" s="72"/>
      <c r="P131" s="26" t="s">
        <v>439</v>
      </c>
      <c r="Q131" s="34">
        <v>180</v>
      </c>
      <c r="S131" s="29">
        <v>46198</v>
      </c>
      <c r="T131" s="28">
        <f t="shared" si="12"/>
        <v>46378</v>
      </c>
      <c r="U131" s="25">
        <f t="shared" ca="1" si="13"/>
        <v>117</v>
      </c>
      <c r="V131" s="25" t="str">
        <f t="shared" ca="1" si="14"/>
        <v>AL DÍA</v>
      </c>
      <c r="W131" s="25" t="s">
        <v>24</v>
      </c>
      <c r="X131" s="25" t="s">
        <v>271</v>
      </c>
      <c r="Y131" s="25">
        <v>2</v>
      </c>
    </row>
    <row r="132" spans="1:25" ht="14.25" hidden="1" customHeight="1" x14ac:dyDescent="0.15">
      <c r="A132" s="24" t="s">
        <v>339</v>
      </c>
      <c r="B132" s="24" t="s">
        <v>88</v>
      </c>
      <c r="C132" s="25" t="s">
        <v>342</v>
      </c>
      <c r="D132" s="24" t="s">
        <v>16</v>
      </c>
      <c r="E132" s="24" t="s">
        <v>450</v>
      </c>
      <c r="F132" s="24" t="s">
        <v>421</v>
      </c>
      <c r="G132" s="71"/>
      <c r="H132" s="21">
        <v>0</v>
      </c>
      <c r="I132" s="21">
        <f t="shared" ca="1" si="10"/>
        <v>2026</v>
      </c>
      <c r="J132" s="21">
        <v>3</v>
      </c>
      <c r="K132" s="25" t="str">
        <f t="shared" ca="1" si="11"/>
        <v>Activo</v>
      </c>
      <c r="N132" s="26"/>
      <c r="O132" s="72"/>
      <c r="P132" s="26" t="s">
        <v>439</v>
      </c>
      <c r="Q132" s="34">
        <v>180</v>
      </c>
      <c r="S132" s="29">
        <v>46198</v>
      </c>
      <c r="T132" s="28">
        <f t="shared" si="12"/>
        <v>46378</v>
      </c>
      <c r="U132" s="25">
        <f t="shared" ca="1" si="13"/>
        <v>117</v>
      </c>
      <c r="V132" s="25" t="str">
        <f t="shared" ca="1" si="14"/>
        <v>AL DÍA</v>
      </c>
      <c r="W132" s="25" t="s">
        <v>24</v>
      </c>
      <c r="X132" s="25" t="s">
        <v>271</v>
      </c>
      <c r="Y132" s="25">
        <v>2</v>
      </c>
    </row>
    <row r="133" spans="1:25" ht="14.25" hidden="1" customHeight="1" x14ac:dyDescent="0.15">
      <c r="A133" s="24" t="s">
        <v>339</v>
      </c>
      <c r="B133" s="24" t="s">
        <v>88</v>
      </c>
      <c r="C133" s="25" t="s">
        <v>343</v>
      </c>
      <c r="D133" s="24" t="s">
        <v>16</v>
      </c>
      <c r="E133" s="24" t="s">
        <v>450</v>
      </c>
      <c r="F133" s="24" t="s">
        <v>421</v>
      </c>
      <c r="G133" s="71"/>
      <c r="H133" s="21">
        <v>0</v>
      </c>
      <c r="I133" s="21">
        <f t="shared" ca="1" si="10"/>
        <v>2026</v>
      </c>
      <c r="J133" s="21">
        <v>3</v>
      </c>
      <c r="K133" s="25" t="str">
        <f t="shared" ca="1" si="11"/>
        <v>Activo</v>
      </c>
      <c r="N133" s="26"/>
      <c r="O133" s="72"/>
      <c r="P133" s="26" t="s">
        <v>439</v>
      </c>
      <c r="Q133" s="34">
        <v>180</v>
      </c>
      <c r="S133" s="29">
        <v>46198</v>
      </c>
      <c r="T133" s="28">
        <f t="shared" si="12"/>
        <v>46378</v>
      </c>
      <c r="U133" s="25">
        <f t="shared" ca="1" si="13"/>
        <v>117</v>
      </c>
      <c r="V133" s="25" t="str">
        <f t="shared" ca="1" si="14"/>
        <v>AL DÍA</v>
      </c>
      <c r="W133" s="25" t="s">
        <v>24</v>
      </c>
      <c r="X133" s="25" t="s">
        <v>271</v>
      </c>
      <c r="Y133" s="25">
        <v>2</v>
      </c>
    </row>
    <row r="134" spans="1:25" ht="14.25" hidden="1" customHeight="1" x14ac:dyDescent="0.15">
      <c r="A134" s="24" t="s">
        <v>339</v>
      </c>
      <c r="B134" s="24" t="s">
        <v>88</v>
      </c>
      <c r="C134" s="25" t="s">
        <v>344</v>
      </c>
      <c r="D134" s="24" t="s">
        <v>16</v>
      </c>
      <c r="E134" s="24" t="s">
        <v>450</v>
      </c>
      <c r="F134" s="24" t="s">
        <v>421</v>
      </c>
      <c r="G134" s="71"/>
      <c r="H134" s="21">
        <v>0</v>
      </c>
      <c r="I134" s="21">
        <f t="shared" ca="1" si="10"/>
        <v>2026</v>
      </c>
      <c r="J134" s="21">
        <v>3</v>
      </c>
      <c r="K134" s="25" t="str">
        <f t="shared" ca="1" si="11"/>
        <v>Activo</v>
      </c>
      <c r="N134" s="26"/>
      <c r="O134" s="72"/>
      <c r="P134" s="26" t="s">
        <v>439</v>
      </c>
      <c r="Q134" s="34">
        <v>180</v>
      </c>
      <c r="S134" s="29">
        <v>46198</v>
      </c>
      <c r="T134" s="28">
        <f t="shared" si="12"/>
        <v>46378</v>
      </c>
      <c r="U134" s="25">
        <f t="shared" ca="1" si="13"/>
        <v>117</v>
      </c>
      <c r="V134" s="25" t="str">
        <f t="shared" ca="1" si="14"/>
        <v>AL DÍA</v>
      </c>
      <c r="W134" s="25" t="s">
        <v>24</v>
      </c>
      <c r="X134" s="25" t="s">
        <v>271</v>
      </c>
      <c r="Y134" s="25">
        <v>2</v>
      </c>
    </row>
    <row r="135" spans="1:25" ht="14.25" hidden="1" customHeight="1" x14ac:dyDescent="0.15">
      <c r="A135" s="24" t="s">
        <v>339</v>
      </c>
      <c r="B135" s="24" t="s">
        <v>88</v>
      </c>
      <c r="C135" s="25" t="s">
        <v>345</v>
      </c>
      <c r="D135" s="24" t="s">
        <v>16</v>
      </c>
      <c r="E135" s="24" t="s">
        <v>450</v>
      </c>
      <c r="F135" s="24" t="s">
        <v>421</v>
      </c>
      <c r="G135" s="71"/>
      <c r="H135" s="21">
        <v>0</v>
      </c>
      <c r="I135" s="21">
        <f t="shared" ca="1" si="10"/>
        <v>2026</v>
      </c>
      <c r="J135" s="21">
        <v>3</v>
      </c>
      <c r="K135" s="25" t="str">
        <f t="shared" ca="1" si="11"/>
        <v>Activo</v>
      </c>
      <c r="M135" s="26"/>
      <c r="N135" s="26"/>
      <c r="O135" s="72"/>
      <c r="P135" s="26" t="s">
        <v>439</v>
      </c>
      <c r="Q135" s="34">
        <v>180</v>
      </c>
      <c r="S135" s="29">
        <v>46198</v>
      </c>
      <c r="T135" s="28">
        <f t="shared" si="12"/>
        <v>46378</v>
      </c>
      <c r="U135" s="25">
        <f t="shared" ca="1" si="13"/>
        <v>117</v>
      </c>
      <c r="V135" s="25" t="str">
        <f t="shared" ca="1" si="14"/>
        <v>AL DÍA</v>
      </c>
      <c r="W135" s="25" t="s">
        <v>24</v>
      </c>
      <c r="X135" s="25" t="s">
        <v>271</v>
      </c>
      <c r="Y135" s="25">
        <v>2</v>
      </c>
    </row>
    <row r="136" spans="1:25" ht="14.25" hidden="1" customHeight="1" x14ac:dyDescent="0.15">
      <c r="A136" s="24" t="s">
        <v>339</v>
      </c>
      <c r="B136" s="24" t="s">
        <v>88</v>
      </c>
      <c r="C136" s="25" t="s">
        <v>346</v>
      </c>
      <c r="D136" s="24" t="s">
        <v>16</v>
      </c>
      <c r="E136" s="24" t="s">
        <v>450</v>
      </c>
      <c r="F136" s="24" t="s">
        <v>421</v>
      </c>
      <c r="G136" s="71"/>
      <c r="H136" s="21">
        <v>0</v>
      </c>
      <c r="I136" s="21">
        <f t="shared" ca="1" si="10"/>
        <v>2026</v>
      </c>
      <c r="J136" s="21">
        <v>3</v>
      </c>
      <c r="K136" s="25" t="str">
        <f t="shared" ca="1" si="11"/>
        <v>Activo</v>
      </c>
      <c r="M136" s="26"/>
      <c r="N136" s="26"/>
      <c r="O136" s="72"/>
      <c r="P136" s="26" t="s">
        <v>439</v>
      </c>
      <c r="Q136" s="34">
        <v>180</v>
      </c>
      <c r="S136" s="29">
        <v>46198</v>
      </c>
      <c r="T136" s="28">
        <f t="shared" si="12"/>
        <v>46378</v>
      </c>
      <c r="U136" s="25">
        <f t="shared" ca="1" si="13"/>
        <v>117</v>
      </c>
      <c r="V136" s="25" t="str">
        <f t="shared" ca="1" si="14"/>
        <v>AL DÍA</v>
      </c>
      <c r="W136" s="25" t="s">
        <v>24</v>
      </c>
      <c r="X136" s="25" t="s">
        <v>271</v>
      </c>
      <c r="Y136" s="25">
        <v>2</v>
      </c>
    </row>
    <row r="137" spans="1:25" ht="14.25" hidden="1" customHeight="1" x14ac:dyDescent="0.15">
      <c r="A137" s="24" t="s">
        <v>339</v>
      </c>
      <c r="B137" s="24" t="s">
        <v>88</v>
      </c>
      <c r="C137" s="25" t="s">
        <v>347</v>
      </c>
      <c r="D137" s="24" t="s">
        <v>16</v>
      </c>
      <c r="E137" s="24" t="s">
        <v>450</v>
      </c>
      <c r="F137" s="24" t="s">
        <v>421</v>
      </c>
      <c r="G137" s="71"/>
      <c r="H137" s="21">
        <v>0</v>
      </c>
      <c r="I137" s="21">
        <f t="shared" ca="1" si="10"/>
        <v>2026</v>
      </c>
      <c r="J137" s="21">
        <v>3</v>
      </c>
      <c r="K137" s="25" t="str">
        <f t="shared" ca="1" si="11"/>
        <v>Activo</v>
      </c>
      <c r="M137" s="26"/>
      <c r="N137" s="26"/>
      <c r="O137" s="72"/>
      <c r="P137" s="26" t="s">
        <v>439</v>
      </c>
      <c r="Q137" s="34">
        <v>180</v>
      </c>
      <c r="S137" s="29">
        <v>46198</v>
      </c>
      <c r="T137" s="28">
        <f t="shared" si="12"/>
        <v>46378</v>
      </c>
      <c r="U137" s="25">
        <f t="shared" ca="1" si="13"/>
        <v>117</v>
      </c>
      <c r="V137" s="25" t="str">
        <f t="shared" ca="1" si="14"/>
        <v>AL DÍA</v>
      </c>
      <c r="W137" s="25" t="s">
        <v>24</v>
      </c>
      <c r="X137" s="25" t="s">
        <v>271</v>
      </c>
      <c r="Y137" s="25">
        <v>2</v>
      </c>
    </row>
    <row r="138" spans="1:25" ht="14.25" hidden="1" customHeight="1" x14ac:dyDescent="0.15">
      <c r="A138" s="24" t="s">
        <v>339</v>
      </c>
      <c r="B138" s="24" t="s">
        <v>88</v>
      </c>
      <c r="C138" s="25" t="s">
        <v>348</v>
      </c>
      <c r="D138" s="24" t="s">
        <v>16</v>
      </c>
      <c r="E138" s="24" t="s">
        <v>450</v>
      </c>
      <c r="F138" s="24" t="s">
        <v>421</v>
      </c>
      <c r="G138" s="71"/>
      <c r="H138" s="21">
        <v>0</v>
      </c>
      <c r="I138" s="21">
        <f t="shared" ca="1" si="10"/>
        <v>2026</v>
      </c>
      <c r="J138" s="21">
        <v>3</v>
      </c>
      <c r="K138" s="25" t="str">
        <f t="shared" ca="1" si="11"/>
        <v>Activo</v>
      </c>
      <c r="M138" s="26"/>
      <c r="N138" s="26"/>
      <c r="O138" s="72"/>
      <c r="P138" s="26" t="s">
        <v>439</v>
      </c>
      <c r="Q138" s="34">
        <v>180</v>
      </c>
      <c r="S138" s="29">
        <v>46198</v>
      </c>
      <c r="T138" s="28">
        <f t="shared" si="12"/>
        <v>46378</v>
      </c>
      <c r="U138" s="25">
        <f t="shared" ca="1" si="13"/>
        <v>117</v>
      </c>
      <c r="V138" s="25" t="str">
        <f t="shared" ca="1" si="14"/>
        <v>AL DÍA</v>
      </c>
      <c r="W138" s="25" t="s">
        <v>24</v>
      </c>
      <c r="X138" s="25" t="s">
        <v>271</v>
      </c>
      <c r="Y138" s="25">
        <v>2</v>
      </c>
    </row>
    <row r="139" spans="1:25" ht="14.25" hidden="1" customHeight="1" x14ac:dyDescent="0.15">
      <c r="A139" s="24" t="s">
        <v>339</v>
      </c>
      <c r="B139" s="24" t="s">
        <v>88</v>
      </c>
      <c r="C139" s="25" t="s">
        <v>349</v>
      </c>
      <c r="D139" s="24" t="s">
        <v>16</v>
      </c>
      <c r="E139" s="24" t="s">
        <v>450</v>
      </c>
      <c r="F139" s="24" t="s">
        <v>421</v>
      </c>
      <c r="G139" s="71"/>
      <c r="H139" s="21">
        <v>0</v>
      </c>
      <c r="I139" s="21">
        <f t="shared" ca="1" si="10"/>
        <v>2026</v>
      </c>
      <c r="J139" s="21">
        <v>3</v>
      </c>
      <c r="K139" s="25" t="str">
        <f t="shared" ca="1" si="11"/>
        <v>Activo</v>
      </c>
      <c r="M139" s="26"/>
      <c r="N139" s="26"/>
      <c r="O139" s="72"/>
      <c r="P139" s="26" t="s">
        <v>439</v>
      </c>
      <c r="Q139" s="34">
        <v>180</v>
      </c>
      <c r="S139" s="29">
        <v>46198</v>
      </c>
      <c r="T139" s="28">
        <f t="shared" si="12"/>
        <v>46378</v>
      </c>
      <c r="U139" s="25">
        <f t="shared" ca="1" si="13"/>
        <v>117</v>
      </c>
      <c r="V139" s="25" t="str">
        <f t="shared" ca="1" si="14"/>
        <v>AL DÍA</v>
      </c>
      <c r="W139" s="25" t="s">
        <v>24</v>
      </c>
      <c r="X139" s="25" t="s">
        <v>271</v>
      </c>
      <c r="Y139" s="25">
        <v>2</v>
      </c>
    </row>
    <row r="140" spans="1:25" ht="14.25" hidden="1" customHeight="1" x14ac:dyDescent="0.15">
      <c r="A140" s="24" t="s">
        <v>339</v>
      </c>
      <c r="B140" s="24" t="s">
        <v>88</v>
      </c>
      <c r="C140" s="25" t="s">
        <v>350</v>
      </c>
      <c r="D140" s="24" t="s">
        <v>16</v>
      </c>
      <c r="E140" s="24" t="s">
        <v>450</v>
      </c>
      <c r="F140" s="24" t="s">
        <v>421</v>
      </c>
      <c r="G140" s="71"/>
      <c r="H140" s="21">
        <v>0</v>
      </c>
      <c r="I140" s="21">
        <f t="shared" ca="1" si="10"/>
        <v>2026</v>
      </c>
      <c r="J140" s="21">
        <v>3</v>
      </c>
      <c r="K140" s="25" t="str">
        <f t="shared" ca="1" si="11"/>
        <v>Activo</v>
      </c>
      <c r="N140" s="26"/>
      <c r="O140" s="72"/>
      <c r="P140" s="26" t="s">
        <v>439</v>
      </c>
      <c r="Q140" s="34">
        <v>180</v>
      </c>
      <c r="S140" s="29">
        <v>46198</v>
      </c>
      <c r="T140" s="28">
        <f t="shared" si="12"/>
        <v>46378</v>
      </c>
      <c r="U140" s="25">
        <f t="shared" ca="1" si="13"/>
        <v>117</v>
      </c>
      <c r="V140" s="25" t="str">
        <f t="shared" ca="1" si="14"/>
        <v>AL DÍA</v>
      </c>
      <c r="W140" s="25" t="s">
        <v>24</v>
      </c>
      <c r="X140" s="25" t="s">
        <v>271</v>
      </c>
      <c r="Y140" s="25">
        <v>2</v>
      </c>
    </row>
    <row r="141" spans="1:25" ht="14.25" hidden="1" customHeight="1" x14ac:dyDescent="0.15">
      <c r="A141" s="24" t="s">
        <v>339</v>
      </c>
      <c r="B141" s="24" t="s">
        <v>88</v>
      </c>
      <c r="C141" s="25" t="s">
        <v>408</v>
      </c>
      <c r="D141" s="24" t="s">
        <v>16</v>
      </c>
      <c r="E141" s="24" t="s">
        <v>450</v>
      </c>
      <c r="F141" s="24" t="s">
        <v>421</v>
      </c>
      <c r="G141" s="71"/>
      <c r="H141" s="21">
        <v>0</v>
      </c>
      <c r="I141" s="21">
        <f t="shared" ca="1" si="10"/>
        <v>2026</v>
      </c>
      <c r="J141" s="21">
        <v>3</v>
      </c>
      <c r="K141" s="25" t="str">
        <f t="shared" ca="1" si="11"/>
        <v>Activo</v>
      </c>
      <c r="O141" s="72"/>
      <c r="P141" s="26" t="s">
        <v>439</v>
      </c>
      <c r="Q141" s="34">
        <v>180</v>
      </c>
      <c r="S141" s="29">
        <v>46198</v>
      </c>
      <c r="T141" s="28">
        <f t="shared" si="12"/>
        <v>46378</v>
      </c>
      <c r="U141" s="25">
        <f t="shared" ca="1" si="13"/>
        <v>117</v>
      </c>
      <c r="V141" s="25" t="str">
        <f t="shared" ca="1" si="14"/>
        <v>AL DÍA</v>
      </c>
      <c r="W141" s="25" t="s">
        <v>24</v>
      </c>
      <c r="X141" s="25" t="s">
        <v>271</v>
      </c>
      <c r="Y141" s="25">
        <v>2</v>
      </c>
    </row>
    <row r="142" spans="1:25" ht="14.25" hidden="1" customHeight="1" x14ac:dyDescent="0.15">
      <c r="A142" s="24" t="s">
        <v>339</v>
      </c>
      <c r="B142" s="24" t="s">
        <v>88</v>
      </c>
      <c r="C142" s="25" t="s">
        <v>409</v>
      </c>
      <c r="D142" s="24" t="s">
        <v>16</v>
      </c>
      <c r="E142" s="24" t="s">
        <v>450</v>
      </c>
      <c r="F142" s="24" t="s">
        <v>421</v>
      </c>
      <c r="G142" s="71"/>
      <c r="H142" s="21">
        <v>0</v>
      </c>
      <c r="I142" s="21">
        <f t="shared" ca="1" si="10"/>
        <v>2026</v>
      </c>
      <c r="J142" s="21">
        <v>3</v>
      </c>
      <c r="K142" s="25" t="str">
        <f t="shared" ca="1" si="11"/>
        <v>Activo</v>
      </c>
      <c r="O142" s="73"/>
      <c r="P142" s="26" t="s">
        <v>439</v>
      </c>
      <c r="Q142" s="34">
        <v>180</v>
      </c>
      <c r="S142" s="29">
        <v>46198</v>
      </c>
      <c r="T142" s="28">
        <f t="shared" si="12"/>
        <v>46378</v>
      </c>
      <c r="U142" s="25">
        <f t="shared" ca="1" si="13"/>
        <v>117</v>
      </c>
      <c r="V142" s="25" t="str">
        <f t="shared" ca="1" si="14"/>
        <v>AL DÍA</v>
      </c>
      <c r="W142" s="25" t="s">
        <v>24</v>
      </c>
      <c r="X142" s="25" t="s">
        <v>271</v>
      </c>
      <c r="Y142" s="25">
        <v>2</v>
      </c>
    </row>
    <row r="143" spans="1:25" ht="14.25" hidden="1" customHeight="1" x14ac:dyDescent="0.15">
      <c r="A143" s="24" t="s">
        <v>339</v>
      </c>
      <c r="B143" s="24" t="s">
        <v>88</v>
      </c>
      <c r="C143" s="26" t="s">
        <v>340</v>
      </c>
      <c r="D143" s="24" t="s">
        <v>16</v>
      </c>
      <c r="E143" s="24" t="s">
        <v>450</v>
      </c>
      <c r="F143" s="24" t="s">
        <v>422</v>
      </c>
      <c r="G143" s="71"/>
      <c r="H143" s="21">
        <v>0</v>
      </c>
      <c r="I143" s="21">
        <f t="shared" ca="1" si="10"/>
        <v>2026</v>
      </c>
      <c r="J143" s="21">
        <v>3</v>
      </c>
      <c r="K143" s="25" t="str">
        <f t="shared" ca="1" si="11"/>
        <v>Activo</v>
      </c>
      <c r="O143" s="72">
        <v>1</v>
      </c>
      <c r="P143" s="26" t="s">
        <v>439</v>
      </c>
      <c r="Q143" s="34">
        <v>180</v>
      </c>
      <c r="S143" s="29">
        <v>46198</v>
      </c>
      <c r="T143" s="28">
        <f t="shared" si="12"/>
        <v>46378</v>
      </c>
      <c r="U143" s="25">
        <f t="shared" ca="1" si="13"/>
        <v>117</v>
      </c>
      <c r="V143" s="25" t="str">
        <f t="shared" ca="1" si="14"/>
        <v>AL DÍA</v>
      </c>
      <c r="W143" s="25" t="s">
        <v>24</v>
      </c>
      <c r="X143" s="25" t="s">
        <v>271</v>
      </c>
      <c r="Y143" s="25">
        <v>2</v>
      </c>
    </row>
    <row r="144" spans="1:25" ht="14.25" hidden="1" customHeight="1" x14ac:dyDescent="0.15">
      <c r="A144" s="24" t="s">
        <v>339</v>
      </c>
      <c r="B144" s="24" t="s">
        <v>88</v>
      </c>
      <c r="C144" s="26" t="s">
        <v>341</v>
      </c>
      <c r="D144" s="24" t="s">
        <v>16</v>
      </c>
      <c r="E144" s="24" t="s">
        <v>450</v>
      </c>
      <c r="F144" s="24" t="s">
        <v>422</v>
      </c>
      <c r="G144" s="71"/>
      <c r="H144" s="21">
        <v>0</v>
      </c>
      <c r="I144" s="21">
        <f t="shared" ca="1" si="10"/>
        <v>2026</v>
      </c>
      <c r="J144" s="21">
        <v>3</v>
      </c>
      <c r="K144" s="25" t="str">
        <f t="shared" ca="1" si="11"/>
        <v>Activo</v>
      </c>
      <c r="O144" s="72">
        <v>1</v>
      </c>
      <c r="P144" s="26" t="s">
        <v>439</v>
      </c>
      <c r="Q144" s="34">
        <v>180</v>
      </c>
      <c r="S144" s="29">
        <v>46198</v>
      </c>
      <c r="T144" s="28">
        <f t="shared" si="12"/>
        <v>46378</v>
      </c>
      <c r="U144" s="25">
        <f t="shared" ca="1" si="13"/>
        <v>117</v>
      </c>
      <c r="V144" s="25" t="str">
        <f t="shared" ca="1" si="14"/>
        <v>AL DÍA</v>
      </c>
      <c r="W144" s="25" t="s">
        <v>24</v>
      </c>
      <c r="X144" s="25" t="s">
        <v>271</v>
      </c>
      <c r="Y144" s="25">
        <v>2</v>
      </c>
    </row>
    <row r="145" spans="1:25" ht="14.25" hidden="1" customHeight="1" x14ac:dyDescent="0.15">
      <c r="A145" s="24" t="s">
        <v>339</v>
      </c>
      <c r="B145" s="24" t="s">
        <v>88</v>
      </c>
      <c r="C145" s="26" t="s">
        <v>342</v>
      </c>
      <c r="D145" s="24" t="s">
        <v>16</v>
      </c>
      <c r="E145" s="24" t="s">
        <v>450</v>
      </c>
      <c r="F145" s="24" t="s">
        <v>422</v>
      </c>
      <c r="G145" s="71"/>
      <c r="H145" s="21">
        <v>0</v>
      </c>
      <c r="I145" s="21">
        <f t="shared" ca="1" si="10"/>
        <v>2026</v>
      </c>
      <c r="J145" s="21">
        <v>3</v>
      </c>
      <c r="K145" s="25" t="str">
        <f t="shared" ca="1" si="11"/>
        <v>Activo</v>
      </c>
      <c r="O145" s="72">
        <v>1</v>
      </c>
      <c r="P145" s="26" t="s">
        <v>439</v>
      </c>
      <c r="Q145" s="34">
        <v>180</v>
      </c>
      <c r="S145" s="29">
        <v>46198</v>
      </c>
      <c r="T145" s="28">
        <f t="shared" si="12"/>
        <v>46378</v>
      </c>
      <c r="U145" s="25">
        <f t="shared" ca="1" si="13"/>
        <v>117</v>
      </c>
      <c r="V145" s="25" t="str">
        <f t="shared" ca="1" si="14"/>
        <v>AL DÍA</v>
      </c>
      <c r="W145" s="25" t="s">
        <v>24</v>
      </c>
      <c r="X145" s="25" t="s">
        <v>271</v>
      </c>
      <c r="Y145" s="25">
        <v>2</v>
      </c>
    </row>
    <row r="146" spans="1:25" ht="14.25" hidden="1" customHeight="1" x14ac:dyDescent="0.15">
      <c r="A146" s="24" t="s">
        <v>339</v>
      </c>
      <c r="B146" s="24" t="s">
        <v>88</v>
      </c>
      <c r="C146" s="26" t="s">
        <v>343</v>
      </c>
      <c r="D146" s="24" t="s">
        <v>16</v>
      </c>
      <c r="E146" s="24" t="s">
        <v>450</v>
      </c>
      <c r="F146" s="24" t="s">
        <v>422</v>
      </c>
      <c r="G146" s="71"/>
      <c r="H146" s="21">
        <v>0</v>
      </c>
      <c r="I146" s="21">
        <f t="shared" ca="1" si="10"/>
        <v>2026</v>
      </c>
      <c r="J146" s="21">
        <v>3</v>
      </c>
      <c r="K146" s="25" t="str">
        <f t="shared" ca="1" si="11"/>
        <v>Activo</v>
      </c>
      <c r="O146" s="72">
        <v>1</v>
      </c>
      <c r="P146" s="26" t="s">
        <v>439</v>
      </c>
      <c r="Q146" s="34">
        <v>180</v>
      </c>
      <c r="S146" s="29">
        <v>46198</v>
      </c>
      <c r="T146" s="28">
        <f t="shared" si="12"/>
        <v>46378</v>
      </c>
      <c r="U146" s="25">
        <f t="shared" ca="1" si="13"/>
        <v>117</v>
      </c>
      <c r="V146" s="25" t="str">
        <f t="shared" ca="1" si="14"/>
        <v>AL DÍA</v>
      </c>
      <c r="W146" s="25" t="s">
        <v>24</v>
      </c>
      <c r="X146" s="25" t="s">
        <v>271</v>
      </c>
      <c r="Y146" s="25">
        <v>2</v>
      </c>
    </row>
    <row r="147" spans="1:25" ht="14.25" hidden="1" customHeight="1" x14ac:dyDescent="0.15">
      <c r="A147" s="24" t="s">
        <v>339</v>
      </c>
      <c r="B147" s="24" t="s">
        <v>88</v>
      </c>
      <c r="C147" s="26" t="s">
        <v>344</v>
      </c>
      <c r="D147" s="24" t="s">
        <v>16</v>
      </c>
      <c r="E147" s="24" t="s">
        <v>450</v>
      </c>
      <c r="F147" s="24" t="s">
        <v>422</v>
      </c>
      <c r="G147" s="71"/>
      <c r="H147" s="21">
        <v>0</v>
      </c>
      <c r="I147" s="21">
        <f t="shared" ca="1" si="10"/>
        <v>2026</v>
      </c>
      <c r="J147" s="21">
        <v>3</v>
      </c>
      <c r="K147" s="25" t="str">
        <f t="shared" ca="1" si="11"/>
        <v>Activo</v>
      </c>
      <c r="O147" s="72">
        <v>1</v>
      </c>
      <c r="P147" s="26" t="s">
        <v>439</v>
      </c>
      <c r="Q147" s="34">
        <v>180</v>
      </c>
      <c r="S147" s="29">
        <v>46198</v>
      </c>
      <c r="T147" s="28">
        <f t="shared" si="12"/>
        <v>46378</v>
      </c>
      <c r="U147" s="25">
        <f t="shared" ca="1" si="13"/>
        <v>117</v>
      </c>
      <c r="V147" s="25" t="str">
        <f t="shared" ca="1" si="14"/>
        <v>AL DÍA</v>
      </c>
      <c r="W147" s="25" t="s">
        <v>24</v>
      </c>
      <c r="X147" s="25" t="s">
        <v>271</v>
      </c>
      <c r="Y147" s="25">
        <v>2</v>
      </c>
    </row>
    <row r="148" spans="1:25" ht="14.25" hidden="1" customHeight="1" x14ac:dyDescent="0.15">
      <c r="A148" s="24" t="s">
        <v>339</v>
      </c>
      <c r="B148" s="24" t="s">
        <v>88</v>
      </c>
      <c r="C148" s="26" t="s">
        <v>345</v>
      </c>
      <c r="D148" s="24" t="s">
        <v>16</v>
      </c>
      <c r="E148" s="24" t="s">
        <v>450</v>
      </c>
      <c r="F148" s="24" t="s">
        <v>422</v>
      </c>
      <c r="G148" s="71"/>
      <c r="H148" s="21">
        <v>0</v>
      </c>
      <c r="I148" s="21">
        <f t="shared" ca="1" si="10"/>
        <v>2026</v>
      </c>
      <c r="J148" s="21">
        <v>3</v>
      </c>
      <c r="K148" s="25" t="str">
        <f t="shared" ca="1" si="11"/>
        <v>Activo</v>
      </c>
      <c r="O148" s="72">
        <v>1</v>
      </c>
      <c r="P148" s="26" t="s">
        <v>439</v>
      </c>
      <c r="Q148" s="34">
        <v>180</v>
      </c>
      <c r="S148" s="29">
        <v>46198</v>
      </c>
      <c r="T148" s="28">
        <f t="shared" si="12"/>
        <v>46378</v>
      </c>
      <c r="U148" s="25">
        <f t="shared" ca="1" si="13"/>
        <v>117</v>
      </c>
      <c r="V148" s="25" t="str">
        <f t="shared" ca="1" si="14"/>
        <v>AL DÍA</v>
      </c>
      <c r="W148" s="25" t="s">
        <v>24</v>
      </c>
      <c r="X148" s="25" t="s">
        <v>271</v>
      </c>
      <c r="Y148" s="25">
        <v>2</v>
      </c>
    </row>
    <row r="149" spans="1:25" ht="14.25" hidden="1" customHeight="1" x14ac:dyDescent="0.15">
      <c r="A149" s="24" t="s">
        <v>339</v>
      </c>
      <c r="B149" s="24" t="s">
        <v>88</v>
      </c>
      <c r="C149" s="26" t="s">
        <v>346</v>
      </c>
      <c r="D149" s="24" t="s">
        <v>16</v>
      </c>
      <c r="E149" s="24" t="s">
        <v>450</v>
      </c>
      <c r="F149" s="24" t="s">
        <v>422</v>
      </c>
      <c r="G149" s="71"/>
      <c r="H149" s="21">
        <v>0</v>
      </c>
      <c r="I149" s="21">
        <f t="shared" ca="1" si="10"/>
        <v>2026</v>
      </c>
      <c r="J149" s="21">
        <v>3</v>
      </c>
      <c r="K149" s="25" t="str">
        <f t="shared" ca="1" si="11"/>
        <v>Activo</v>
      </c>
      <c r="O149" s="73">
        <v>1</v>
      </c>
      <c r="P149" s="26" t="s">
        <v>439</v>
      </c>
      <c r="Q149" s="34">
        <v>180</v>
      </c>
      <c r="S149" s="29">
        <v>46198</v>
      </c>
      <c r="T149" s="28">
        <f t="shared" si="12"/>
        <v>46378</v>
      </c>
      <c r="U149" s="25">
        <f t="shared" ca="1" si="13"/>
        <v>117</v>
      </c>
      <c r="V149" s="25" t="str">
        <f t="shared" ca="1" si="14"/>
        <v>AL DÍA</v>
      </c>
      <c r="W149" s="25" t="s">
        <v>24</v>
      </c>
      <c r="X149" s="25" t="s">
        <v>271</v>
      </c>
      <c r="Y149" s="25">
        <v>2</v>
      </c>
    </row>
    <row r="150" spans="1:25" ht="14.25" hidden="1" customHeight="1" x14ac:dyDescent="0.15">
      <c r="A150" s="24" t="s">
        <v>339</v>
      </c>
      <c r="B150" s="24" t="s">
        <v>88</v>
      </c>
      <c r="C150" s="26" t="s">
        <v>347</v>
      </c>
      <c r="D150" s="24" t="s">
        <v>16</v>
      </c>
      <c r="E150" s="24" t="s">
        <v>450</v>
      </c>
      <c r="F150" s="24" t="s">
        <v>422</v>
      </c>
      <c r="G150" s="71"/>
      <c r="H150" s="21">
        <v>0</v>
      </c>
      <c r="I150" s="21">
        <f t="shared" ca="1" si="10"/>
        <v>2026</v>
      </c>
      <c r="J150" s="21">
        <v>3</v>
      </c>
      <c r="K150" s="25" t="str">
        <f t="shared" ca="1" si="11"/>
        <v>Activo</v>
      </c>
      <c r="O150" s="72">
        <v>1</v>
      </c>
      <c r="P150" s="26" t="s">
        <v>439</v>
      </c>
      <c r="Q150" s="34">
        <v>180</v>
      </c>
      <c r="S150" s="29">
        <v>46198</v>
      </c>
      <c r="T150" s="28">
        <f t="shared" si="12"/>
        <v>46378</v>
      </c>
      <c r="U150" s="25">
        <f t="shared" ca="1" si="13"/>
        <v>117</v>
      </c>
      <c r="V150" s="25" t="str">
        <f t="shared" ca="1" si="14"/>
        <v>AL DÍA</v>
      </c>
      <c r="W150" s="25" t="s">
        <v>24</v>
      </c>
      <c r="X150" s="25" t="s">
        <v>271</v>
      </c>
      <c r="Y150" s="25">
        <v>2</v>
      </c>
    </row>
    <row r="151" spans="1:25" ht="14.25" hidden="1" customHeight="1" x14ac:dyDescent="0.15">
      <c r="A151" s="24" t="s">
        <v>339</v>
      </c>
      <c r="B151" s="24" t="s">
        <v>88</v>
      </c>
      <c r="C151" s="26" t="s">
        <v>348</v>
      </c>
      <c r="D151" s="24" t="s">
        <v>16</v>
      </c>
      <c r="E151" s="24" t="s">
        <v>450</v>
      </c>
      <c r="F151" s="24" t="s">
        <v>422</v>
      </c>
      <c r="G151" s="71"/>
      <c r="H151" s="21">
        <v>0</v>
      </c>
      <c r="I151" s="21">
        <f t="shared" ca="1" si="10"/>
        <v>2026</v>
      </c>
      <c r="J151" s="21">
        <v>3</v>
      </c>
      <c r="K151" s="25" t="str">
        <f t="shared" ca="1" si="11"/>
        <v>Activo</v>
      </c>
      <c r="O151" s="72">
        <v>1</v>
      </c>
      <c r="P151" s="26" t="s">
        <v>439</v>
      </c>
      <c r="Q151" s="34">
        <v>180</v>
      </c>
      <c r="S151" s="29">
        <v>46198</v>
      </c>
      <c r="T151" s="28">
        <f t="shared" si="12"/>
        <v>46378</v>
      </c>
      <c r="U151" s="25">
        <f t="shared" ca="1" si="13"/>
        <v>117</v>
      </c>
      <c r="V151" s="25" t="str">
        <f t="shared" ca="1" si="14"/>
        <v>AL DÍA</v>
      </c>
      <c r="W151" s="25" t="s">
        <v>24</v>
      </c>
      <c r="X151" s="25" t="s">
        <v>271</v>
      </c>
      <c r="Y151" s="25">
        <v>2</v>
      </c>
    </row>
    <row r="152" spans="1:25" ht="14.25" hidden="1" customHeight="1" x14ac:dyDescent="0.15">
      <c r="A152" s="24" t="s">
        <v>339</v>
      </c>
      <c r="B152" s="24" t="s">
        <v>88</v>
      </c>
      <c r="C152" s="26" t="s">
        <v>349</v>
      </c>
      <c r="D152" s="24" t="s">
        <v>16</v>
      </c>
      <c r="E152" s="24" t="s">
        <v>450</v>
      </c>
      <c r="F152" s="24" t="s">
        <v>422</v>
      </c>
      <c r="G152" s="71"/>
      <c r="H152" s="21">
        <v>0</v>
      </c>
      <c r="I152" s="21">
        <f t="shared" ca="1" si="10"/>
        <v>2026</v>
      </c>
      <c r="J152" s="21">
        <v>3</v>
      </c>
      <c r="K152" s="25" t="str">
        <f t="shared" ca="1" si="11"/>
        <v>Activo</v>
      </c>
      <c r="O152" s="72">
        <v>1</v>
      </c>
      <c r="P152" s="26" t="s">
        <v>439</v>
      </c>
      <c r="Q152" s="34">
        <v>180</v>
      </c>
      <c r="S152" s="29">
        <v>46198</v>
      </c>
      <c r="T152" s="28">
        <f t="shared" si="12"/>
        <v>46378</v>
      </c>
      <c r="U152" s="25">
        <f t="shared" ca="1" si="13"/>
        <v>117</v>
      </c>
      <c r="V152" s="25" t="str">
        <f t="shared" ca="1" si="14"/>
        <v>AL DÍA</v>
      </c>
      <c r="W152" s="25" t="s">
        <v>24</v>
      </c>
      <c r="X152" s="25" t="s">
        <v>271</v>
      </c>
      <c r="Y152" s="25">
        <v>2</v>
      </c>
    </row>
    <row r="153" spans="1:25" ht="14.25" hidden="1" customHeight="1" x14ac:dyDescent="0.15">
      <c r="A153" s="24" t="s">
        <v>339</v>
      </c>
      <c r="B153" s="24" t="s">
        <v>88</v>
      </c>
      <c r="C153" s="26" t="s">
        <v>350</v>
      </c>
      <c r="D153" s="24" t="s">
        <v>16</v>
      </c>
      <c r="E153" s="24" t="s">
        <v>450</v>
      </c>
      <c r="F153" s="24" t="s">
        <v>422</v>
      </c>
      <c r="G153" s="71"/>
      <c r="H153" s="21">
        <v>0</v>
      </c>
      <c r="I153" s="21">
        <f t="shared" ca="1" si="10"/>
        <v>2026</v>
      </c>
      <c r="J153" s="21">
        <v>3</v>
      </c>
      <c r="K153" s="25" t="str">
        <f t="shared" ca="1" si="11"/>
        <v>Activo</v>
      </c>
      <c r="O153" s="72">
        <v>1</v>
      </c>
      <c r="P153" s="26" t="s">
        <v>439</v>
      </c>
      <c r="Q153" s="34">
        <v>180</v>
      </c>
      <c r="S153" s="29">
        <v>46198</v>
      </c>
      <c r="T153" s="28">
        <f t="shared" si="12"/>
        <v>46378</v>
      </c>
      <c r="U153" s="25">
        <f t="shared" ca="1" si="13"/>
        <v>117</v>
      </c>
      <c r="V153" s="25" t="str">
        <f t="shared" ca="1" si="14"/>
        <v>AL DÍA</v>
      </c>
      <c r="W153" s="25" t="s">
        <v>24</v>
      </c>
      <c r="X153" s="25" t="s">
        <v>271</v>
      </c>
      <c r="Y153" s="25">
        <v>2</v>
      </c>
    </row>
    <row r="154" spans="1:25" ht="14.25" hidden="1" customHeight="1" x14ac:dyDescent="0.15">
      <c r="A154" s="24" t="s">
        <v>339</v>
      </c>
      <c r="B154" s="24" t="s">
        <v>88</v>
      </c>
      <c r="C154" s="26" t="s">
        <v>408</v>
      </c>
      <c r="D154" s="24" t="s">
        <v>16</v>
      </c>
      <c r="E154" s="24" t="s">
        <v>450</v>
      </c>
      <c r="F154" s="24" t="s">
        <v>422</v>
      </c>
      <c r="G154" s="71"/>
      <c r="H154" s="21">
        <v>0</v>
      </c>
      <c r="I154" s="21">
        <f t="shared" ca="1" si="10"/>
        <v>2026</v>
      </c>
      <c r="J154" s="21">
        <v>3</v>
      </c>
      <c r="K154" s="25" t="str">
        <f t="shared" ca="1" si="11"/>
        <v>Activo</v>
      </c>
      <c r="O154" s="72">
        <v>1</v>
      </c>
      <c r="P154" s="26" t="s">
        <v>439</v>
      </c>
      <c r="Q154" s="34">
        <v>180</v>
      </c>
      <c r="S154" s="29">
        <v>46198</v>
      </c>
      <c r="T154" s="28">
        <f t="shared" si="12"/>
        <v>46378</v>
      </c>
      <c r="U154" s="25">
        <f t="shared" ca="1" si="13"/>
        <v>117</v>
      </c>
      <c r="V154" s="25" t="str">
        <f t="shared" ca="1" si="14"/>
        <v>AL DÍA</v>
      </c>
      <c r="W154" s="25" t="s">
        <v>24</v>
      </c>
      <c r="X154" s="25" t="s">
        <v>271</v>
      </c>
      <c r="Y154" s="25">
        <v>2</v>
      </c>
    </row>
    <row r="155" spans="1:25" ht="14.25" hidden="1" customHeight="1" x14ac:dyDescent="0.15">
      <c r="A155" s="24" t="s">
        <v>339</v>
      </c>
      <c r="B155" s="24" t="s">
        <v>88</v>
      </c>
      <c r="C155" s="26" t="s">
        <v>409</v>
      </c>
      <c r="D155" s="24" t="s">
        <v>16</v>
      </c>
      <c r="E155" s="24" t="s">
        <v>450</v>
      </c>
      <c r="F155" s="24" t="s">
        <v>422</v>
      </c>
      <c r="G155" s="71"/>
      <c r="H155" s="21">
        <v>0</v>
      </c>
      <c r="I155" s="21">
        <f t="shared" ca="1" si="10"/>
        <v>2026</v>
      </c>
      <c r="J155" s="21">
        <v>3</v>
      </c>
      <c r="K155" s="25" t="str">
        <f t="shared" ca="1" si="11"/>
        <v>Activo</v>
      </c>
      <c r="O155" s="72">
        <v>1</v>
      </c>
      <c r="P155" s="26" t="s">
        <v>439</v>
      </c>
      <c r="Q155" s="34">
        <v>180</v>
      </c>
      <c r="S155" s="29">
        <v>46198</v>
      </c>
      <c r="T155" s="28">
        <f t="shared" si="12"/>
        <v>46378</v>
      </c>
      <c r="U155" s="25">
        <f t="shared" ca="1" si="13"/>
        <v>117</v>
      </c>
      <c r="V155" s="25" t="str">
        <f t="shared" ca="1" si="14"/>
        <v>AL DÍA</v>
      </c>
      <c r="W155" s="25" t="s">
        <v>24</v>
      </c>
      <c r="X155" s="25" t="s">
        <v>271</v>
      </c>
      <c r="Y155" s="25">
        <v>2</v>
      </c>
    </row>
    <row r="156" spans="1:25" ht="14.25" hidden="1" customHeight="1" x14ac:dyDescent="0.15">
      <c r="A156" s="24" t="s">
        <v>339</v>
      </c>
      <c r="B156" s="24" t="s">
        <v>88</v>
      </c>
      <c r="C156" s="26" t="s">
        <v>340</v>
      </c>
      <c r="D156" s="24" t="s">
        <v>16</v>
      </c>
      <c r="E156" s="24" t="s">
        <v>435</v>
      </c>
      <c r="F156" s="24" t="s">
        <v>423</v>
      </c>
      <c r="G156" s="71"/>
      <c r="H156" s="21">
        <v>0</v>
      </c>
      <c r="I156" s="21">
        <f t="shared" ca="1" si="10"/>
        <v>2026</v>
      </c>
      <c r="J156" s="21">
        <v>3</v>
      </c>
      <c r="K156" s="25" t="str">
        <f t="shared" ca="1" si="11"/>
        <v>Activo</v>
      </c>
      <c r="O156" s="73">
        <v>1</v>
      </c>
      <c r="P156" s="26" t="s">
        <v>439</v>
      </c>
      <c r="Q156" s="34">
        <v>180</v>
      </c>
      <c r="S156" s="29">
        <v>46198</v>
      </c>
      <c r="T156" s="28">
        <f t="shared" si="12"/>
        <v>46378</v>
      </c>
      <c r="U156" s="25">
        <f t="shared" ca="1" si="13"/>
        <v>117</v>
      </c>
      <c r="V156" s="25" t="str">
        <f t="shared" ca="1" si="14"/>
        <v>AL DÍA</v>
      </c>
      <c r="W156" s="25" t="s">
        <v>24</v>
      </c>
      <c r="X156" s="25" t="s">
        <v>271</v>
      </c>
      <c r="Y156" s="25">
        <v>2</v>
      </c>
    </row>
    <row r="157" spans="1:25" ht="14.25" hidden="1" customHeight="1" x14ac:dyDescent="0.15">
      <c r="A157" s="24" t="s">
        <v>339</v>
      </c>
      <c r="B157" s="24" t="s">
        <v>88</v>
      </c>
      <c r="C157" s="26" t="s">
        <v>341</v>
      </c>
      <c r="D157" s="24" t="s">
        <v>16</v>
      </c>
      <c r="E157" s="24" t="s">
        <v>435</v>
      </c>
      <c r="F157" s="24" t="s">
        <v>423</v>
      </c>
      <c r="G157" s="71"/>
      <c r="H157" s="21">
        <v>0</v>
      </c>
      <c r="I157" s="21">
        <f t="shared" ca="1" si="10"/>
        <v>2026</v>
      </c>
      <c r="J157" s="21">
        <v>3</v>
      </c>
      <c r="K157" s="25" t="str">
        <f t="shared" ca="1" si="11"/>
        <v>Activo</v>
      </c>
      <c r="O157" s="72">
        <v>1</v>
      </c>
      <c r="P157" s="26" t="s">
        <v>439</v>
      </c>
      <c r="Q157" s="34">
        <v>180</v>
      </c>
      <c r="S157" s="29">
        <v>46198</v>
      </c>
      <c r="T157" s="28">
        <f t="shared" si="12"/>
        <v>46378</v>
      </c>
      <c r="U157" s="25">
        <f t="shared" ca="1" si="13"/>
        <v>117</v>
      </c>
      <c r="V157" s="25" t="str">
        <f t="shared" ca="1" si="14"/>
        <v>AL DÍA</v>
      </c>
      <c r="W157" s="25" t="s">
        <v>24</v>
      </c>
      <c r="X157" s="25" t="s">
        <v>271</v>
      </c>
      <c r="Y157" s="25">
        <v>2</v>
      </c>
    </row>
    <row r="158" spans="1:25" ht="14.25" hidden="1" customHeight="1" x14ac:dyDescent="0.15">
      <c r="A158" s="24" t="s">
        <v>339</v>
      </c>
      <c r="B158" s="24" t="s">
        <v>88</v>
      </c>
      <c r="C158" s="26" t="s">
        <v>342</v>
      </c>
      <c r="D158" s="24" t="s">
        <v>16</v>
      </c>
      <c r="E158" s="24" t="s">
        <v>435</v>
      </c>
      <c r="F158" s="24" t="s">
        <v>423</v>
      </c>
      <c r="G158" s="71"/>
      <c r="H158" s="21">
        <v>0</v>
      </c>
      <c r="I158" s="21">
        <f t="shared" ca="1" si="10"/>
        <v>2026</v>
      </c>
      <c r="J158" s="21">
        <v>3</v>
      </c>
      <c r="K158" s="25" t="str">
        <f t="shared" ca="1" si="11"/>
        <v>Activo</v>
      </c>
      <c r="O158" s="72">
        <v>1</v>
      </c>
      <c r="P158" s="26" t="s">
        <v>439</v>
      </c>
      <c r="Q158" s="34">
        <v>180</v>
      </c>
      <c r="S158" s="29">
        <v>46198</v>
      </c>
      <c r="T158" s="28">
        <f t="shared" si="12"/>
        <v>46378</v>
      </c>
      <c r="U158" s="25">
        <f t="shared" ca="1" si="13"/>
        <v>117</v>
      </c>
      <c r="V158" s="25" t="str">
        <f t="shared" ca="1" si="14"/>
        <v>AL DÍA</v>
      </c>
      <c r="W158" s="25" t="s">
        <v>24</v>
      </c>
      <c r="X158" s="25" t="s">
        <v>271</v>
      </c>
      <c r="Y158" s="25">
        <v>2</v>
      </c>
    </row>
    <row r="159" spans="1:25" ht="14.25" hidden="1" customHeight="1" x14ac:dyDescent="0.15">
      <c r="A159" s="24" t="s">
        <v>339</v>
      </c>
      <c r="B159" s="24" t="s">
        <v>88</v>
      </c>
      <c r="C159" s="26" t="s">
        <v>343</v>
      </c>
      <c r="D159" s="24" t="s">
        <v>16</v>
      </c>
      <c r="E159" s="24" t="s">
        <v>435</v>
      </c>
      <c r="F159" s="24" t="s">
        <v>423</v>
      </c>
      <c r="G159" s="71"/>
      <c r="H159" s="21">
        <v>0</v>
      </c>
      <c r="I159" s="21">
        <f t="shared" ca="1" si="10"/>
        <v>2026</v>
      </c>
      <c r="J159" s="21">
        <v>3</v>
      </c>
      <c r="K159" s="25" t="str">
        <f t="shared" ca="1" si="11"/>
        <v>Activo</v>
      </c>
      <c r="O159" s="72">
        <v>1</v>
      </c>
      <c r="P159" s="26" t="s">
        <v>439</v>
      </c>
      <c r="Q159" s="34">
        <v>180</v>
      </c>
      <c r="S159" s="29">
        <v>46198</v>
      </c>
      <c r="T159" s="28">
        <f t="shared" si="12"/>
        <v>46378</v>
      </c>
      <c r="U159" s="25">
        <f t="shared" ca="1" si="13"/>
        <v>117</v>
      </c>
      <c r="V159" s="25" t="str">
        <f t="shared" ca="1" si="14"/>
        <v>AL DÍA</v>
      </c>
      <c r="W159" s="25" t="s">
        <v>24</v>
      </c>
      <c r="X159" s="25" t="s">
        <v>271</v>
      </c>
      <c r="Y159" s="25">
        <v>2</v>
      </c>
    </row>
    <row r="160" spans="1:25" ht="14.25" hidden="1" customHeight="1" x14ac:dyDescent="0.15">
      <c r="A160" s="24" t="s">
        <v>339</v>
      </c>
      <c r="B160" s="24" t="s">
        <v>88</v>
      </c>
      <c r="C160" s="26" t="s">
        <v>344</v>
      </c>
      <c r="D160" s="24" t="s">
        <v>16</v>
      </c>
      <c r="E160" s="24" t="s">
        <v>435</v>
      </c>
      <c r="F160" s="24" t="s">
        <v>423</v>
      </c>
      <c r="G160" s="71"/>
      <c r="H160" s="21">
        <v>0</v>
      </c>
      <c r="I160" s="21">
        <f t="shared" ca="1" si="10"/>
        <v>2026</v>
      </c>
      <c r="J160" s="21">
        <v>3</v>
      </c>
      <c r="K160" s="25" t="str">
        <f t="shared" ca="1" si="11"/>
        <v>Activo</v>
      </c>
      <c r="O160" s="72">
        <v>1</v>
      </c>
      <c r="P160" s="26" t="s">
        <v>439</v>
      </c>
      <c r="Q160" s="34">
        <v>180</v>
      </c>
      <c r="S160" s="29">
        <v>46198</v>
      </c>
      <c r="T160" s="28">
        <f t="shared" si="12"/>
        <v>46378</v>
      </c>
      <c r="U160" s="25">
        <f t="shared" ca="1" si="13"/>
        <v>117</v>
      </c>
      <c r="V160" s="25" t="str">
        <f t="shared" ca="1" si="14"/>
        <v>AL DÍA</v>
      </c>
      <c r="W160" s="25" t="s">
        <v>24</v>
      </c>
      <c r="X160" s="25" t="s">
        <v>271</v>
      </c>
      <c r="Y160" s="25">
        <v>2</v>
      </c>
    </row>
    <row r="161" spans="1:26" ht="14.25" hidden="1" customHeight="1" x14ac:dyDescent="0.15">
      <c r="A161" s="24" t="s">
        <v>339</v>
      </c>
      <c r="B161" s="24" t="s">
        <v>88</v>
      </c>
      <c r="C161" s="26" t="s">
        <v>345</v>
      </c>
      <c r="D161" s="24" t="s">
        <v>16</v>
      </c>
      <c r="E161" s="24" t="s">
        <v>435</v>
      </c>
      <c r="F161" s="24" t="s">
        <v>423</v>
      </c>
      <c r="G161" s="71"/>
      <c r="H161" s="21">
        <v>0</v>
      </c>
      <c r="I161" s="21">
        <f t="shared" ca="1" si="10"/>
        <v>2026</v>
      </c>
      <c r="J161" s="21">
        <v>3</v>
      </c>
      <c r="K161" s="25" t="str">
        <f t="shared" ca="1" si="11"/>
        <v>Activo</v>
      </c>
      <c r="O161" s="72">
        <v>1</v>
      </c>
      <c r="P161" s="26" t="s">
        <v>439</v>
      </c>
      <c r="Q161" s="34">
        <v>180</v>
      </c>
      <c r="S161" s="29">
        <v>46198</v>
      </c>
      <c r="T161" s="28">
        <f t="shared" si="12"/>
        <v>46378</v>
      </c>
      <c r="U161" s="25">
        <f t="shared" ca="1" si="13"/>
        <v>117</v>
      </c>
      <c r="V161" s="25" t="str">
        <f t="shared" ca="1" si="14"/>
        <v>AL DÍA</v>
      </c>
      <c r="W161" s="25" t="s">
        <v>24</v>
      </c>
      <c r="X161" s="25" t="s">
        <v>271</v>
      </c>
      <c r="Y161" s="25">
        <v>2</v>
      </c>
    </row>
    <row r="162" spans="1:26" ht="14.25" hidden="1" customHeight="1" x14ac:dyDescent="0.15">
      <c r="A162" s="24" t="s">
        <v>339</v>
      </c>
      <c r="B162" s="24" t="s">
        <v>88</v>
      </c>
      <c r="C162" s="26" t="s">
        <v>346</v>
      </c>
      <c r="D162" s="24" t="s">
        <v>16</v>
      </c>
      <c r="E162" s="24" t="s">
        <v>435</v>
      </c>
      <c r="F162" s="24" t="s">
        <v>423</v>
      </c>
      <c r="G162" s="71"/>
      <c r="H162" s="21">
        <v>0</v>
      </c>
      <c r="I162" s="21">
        <f t="shared" ca="1" si="10"/>
        <v>2026</v>
      </c>
      <c r="J162" s="21">
        <v>3</v>
      </c>
      <c r="K162" s="25" t="str">
        <f t="shared" ca="1" si="11"/>
        <v>Activo</v>
      </c>
      <c r="O162" s="72">
        <v>1</v>
      </c>
      <c r="P162" s="26" t="s">
        <v>439</v>
      </c>
      <c r="Q162" s="34">
        <v>180</v>
      </c>
      <c r="S162" s="29">
        <v>46198</v>
      </c>
      <c r="T162" s="28">
        <f t="shared" si="12"/>
        <v>46378</v>
      </c>
      <c r="U162" s="25">
        <f t="shared" ca="1" si="13"/>
        <v>117</v>
      </c>
      <c r="V162" s="25" t="str">
        <f t="shared" ca="1" si="14"/>
        <v>AL DÍA</v>
      </c>
      <c r="W162" s="25" t="s">
        <v>24</v>
      </c>
      <c r="X162" s="25" t="s">
        <v>271</v>
      </c>
      <c r="Y162" s="25">
        <v>2</v>
      </c>
    </row>
    <row r="163" spans="1:26" ht="14.25" hidden="1" customHeight="1" x14ac:dyDescent="0.15">
      <c r="A163" s="24" t="s">
        <v>339</v>
      </c>
      <c r="B163" s="24" t="s">
        <v>88</v>
      </c>
      <c r="C163" s="26" t="s">
        <v>347</v>
      </c>
      <c r="D163" s="24" t="s">
        <v>16</v>
      </c>
      <c r="E163" s="24" t="s">
        <v>435</v>
      </c>
      <c r="F163" s="24" t="s">
        <v>423</v>
      </c>
      <c r="G163" s="71"/>
      <c r="H163" s="21">
        <v>0</v>
      </c>
      <c r="I163" s="21">
        <f t="shared" ca="1" si="10"/>
        <v>2026</v>
      </c>
      <c r="J163" s="21">
        <v>3</v>
      </c>
      <c r="K163" s="25" t="str">
        <f t="shared" ca="1" si="11"/>
        <v>Activo</v>
      </c>
      <c r="O163" s="73">
        <v>1</v>
      </c>
      <c r="P163" s="26" t="s">
        <v>439</v>
      </c>
      <c r="Q163" s="34">
        <v>180</v>
      </c>
      <c r="S163" s="29">
        <v>46198</v>
      </c>
      <c r="T163" s="28">
        <f t="shared" si="12"/>
        <v>46378</v>
      </c>
      <c r="U163" s="25">
        <f t="shared" ca="1" si="13"/>
        <v>117</v>
      </c>
      <c r="V163" s="25" t="str">
        <f t="shared" ca="1" si="14"/>
        <v>AL DÍA</v>
      </c>
      <c r="W163" s="25" t="s">
        <v>24</v>
      </c>
      <c r="X163" s="25" t="s">
        <v>271</v>
      </c>
      <c r="Y163" s="25">
        <v>2</v>
      </c>
    </row>
    <row r="164" spans="1:26" ht="14.25" hidden="1" customHeight="1" x14ac:dyDescent="0.15">
      <c r="A164" s="24" t="s">
        <v>339</v>
      </c>
      <c r="B164" s="24" t="s">
        <v>88</v>
      </c>
      <c r="C164" s="26" t="s">
        <v>348</v>
      </c>
      <c r="D164" s="24" t="s">
        <v>16</v>
      </c>
      <c r="E164" s="24" t="s">
        <v>435</v>
      </c>
      <c r="F164" s="24" t="s">
        <v>423</v>
      </c>
      <c r="G164" s="71"/>
      <c r="H164" s="21">
        <v>0</v>
      </c>
      <c r="I164" s="21">
        <f t="shared" ca="1" si="10"/>
        <v>2026</v>
      </c>
      <c r="J164" s="21">
        <v>3</v>
      </c>
      <c r="K164" s="25" t="str">
        <f t="shared" ca="1" si="11"/>
        <v>Activo</v>
      </c>
      <c r="O164" s="72">
        <v>1</v>
      </c>
      <c r="P164" s="26" t="s">
        <v>439</v>
      </c>
      <c r="Q164" s="34">
        <v>180</v>
      </c>
      <c r="S164" s="29">
        <v>46198</v>
      </c>
      <c r="T164" s="28">
        <f t="shared" si="12"/>
        <v>46378</v>
      </c>
      <c r="U164" s="25">
        <f t="shared" ca="1" si="13"/>
        <v>117</v>
      </c>
      <c r="V164" s="25" t="str">
        <f t="shared" ca="1" si="14"/>
        <v>AL DÍA</v>
      </c>
      <c r="W164" s="25" t="s">
        <v>24</v>
      </c>
      <c r="X164" s="25" t="s">
        <v>271</v>
      </c>
      <c r="Y164" s="25">
        <v>2</v>
      </c>
    </row>
    <row r="165" spans="1:26" ht="14.25" hidden="1" customHeight="1" x14ac:dyDescent="0.15">
      <c r="A165" s="24" t="s">
        <v>339</v>
      </c>
      <c r="B165" s="24" t="s">
        <v>88</v>
      </c>
      <c r="C165" s="26" t="s">
        <v>349</v>
      </c>
      <c r="D165" s="24" t="s">
        <v>16</v>
      </c>
      <c r="E165" s="24" t="s">
        <v>435</v>
      </c>
      <c r="F165" s="24" t="s">
        <v>423</v>
      </c>
      <c r="G165" s="71"/>
      <c r="H165" s="21">
        <v>0</v>
      </c>
      <c r="I165" s="21">
        <f t="shared" ca="1" si="10"/>
        <v>2026</v>
      </c>
      <c r="J165" s="21">
        <v>3</v>
      </c>
      <c r="K165" s="25" t="str">
        <f t="shared" ca="1" si="11"/>
        <v>Activo</v>
      </c>
      <c r="O165" s="72">
        <v>1</v>
      </c>
      <c r="P165" s="26" t="s">
        <v>439</v>
      </c>
      <c r="Q165" s="34">
        <v>180</v>
      </c>
      <c r="S165" s="29">
        <v>46198</v>
      </c>
      <c r="T165" s="28">
        <f t="shared" si="12"/>
        <v>46378</v>
      </c>
      <c r="U165" s="25">
        <f t="shared" ca="1" si="13"/>
        <v>117</v>
      </c>
      <c r="V165" s="25" t="str">
        <f t="shared" ca="1" si="14"/>
        <v>AL DÍA</v>
      </c>
      <c r="W165" s="25" t="s">
        <v>24</v>
      </c>
      <c r="X165" s="25" t="s">
        <v>271</v>
      </c>
      <c r="Y165" s="25">
        <v>2</v>
      </c>
    </row>
    <row r="166" spans="1:26" ht="14.25" hidden="1" customHeight="1" x14ac:dyDescent="0.15">
      <c r="A166" s="24" t="s">
        <v>339</v>
      </c>
      <c r="B166" s="24" t="s">
        <v>88</v>
      </c>
      <c r="C166" s="26" t="s">
        <v>350</v>
      </c>
      <c r="D166" s="24" t="s">
        <v>16</v>
      </c>
      <c r="E166" s="24" t="s">
        <v>435</v>
      </c>
      <c r="F166" s="24" t="s">
        <v>423</v>
      </c>
      <c r="G166" s="71"/>
      <c r="H166" s="21">
        <v>0</v>
      </c>
      <c r="I166" s="21">
        <f t="shared" ca="1" si="10"/>
        <v>2026</v>
      </c>
      <c r="J166" s="21">
        <v>3</v>
      </c>
      <c r="K166" s="25" t="str">
        <f t="shared" ca="1" si="11"/>
        <v>Activo</v>
      </c>
      <c r="O166" s="72">
        <v>1</v>
      </c>
      <c r="P166" s="26" t="s">
        <v>439</v>
      </c>
      <c r="Q166" s="34">
        <v>180</v>
      </c>
      <c r="S166" s="29">
        <v>46198</v>
      </c>
      <c r="T166" s="28">
        <f t="shared" si="12"/>
        <v>46378</v>
      </c>
      <c r="U166" s="25">
        <f t="shared" ca="1" si="13"/>
        <v>117</v>
      </c>
      <c r="V166" s="25" t="str">
        <f t="shared" ca="1" si="14"/>
        <v>AL DÍA</v>
      </c>
      <c r="W166" s="25" t="s">
        <v>24</v>
      </c>
      <c r="X166" s="25" t="s">
        <v>271</v>
      </c>
      <c r="Y166" s="25">
        <v>2</v>
      </c>
    </row>
    <row r="167" spans="1:26" ht="14.25" hidden="1" customHeight="1" x14ac:dyDescent="0.15">
      <c r="A167" s="24" t="s">
        <v>339</v>
      </c>
      <c r="B167" s="24" t="s">
        <v>88</v>
      </c>
      <c r="C167" s="26" t="s">
        <v>408</v>
      </c>
      <c r="D167" s="24" t="s">
        <v>16</v>
      </c>
      <c r="E167" s="24" t="s">
        <v>435</v>
      </c>
      <c r="F167" s="24" t="s">
        <v>423</v>
      </c>
      <c r="G167" s="71"/>
      <c r="H167" s="21">
        <v>0</v>
      </c>
      <c r="I167" s="21">
        <f t="shared" ca="1" si="10"/>
        <v>2026</v>
      </c>
      <c r="J167" s="21">
        <v>3</v>
      </c>
      <c r="K167" s="25" t="str">
        <f t="shared" ca="1" si="11"/>
        <v>Activo</v>
      </c>
      <c r="O167" s="72">
        <v>1</v>
      </c>
      <c r="P167" s="26" t="s">
        <v>439</v>
      </c>
      <c r="Q167" s="34">
        <v>180</v>
      </c>
      <c r="S167" s="29">
        <v>46198</v>
      </c>
      <c r="T167" s="28">
        <f t="shared" si="12"/>
        <v>46378</v>
      </c>
      <c r="U167" s="25">
        <f t="shared" ca="1" si="13"/>
        <v>117</v>
      </c>
      <c r="V167" s="25" t="str">
        <f t="shared" ca="1" si="14"/>
        <v>AL DÍA</v>
      </c>
      <c r="W167" s="25" t="s">
        <v>24</v>
      </c>
      <c r="X167" s="25" t="s">
        <v>271</v>
      </c>
      <c r="Y167" s="25">
        <v>2</v>
      </c>
    </row>
    <row r="168" spans="1:26" ht="14.25" hidden="1" customHeight="1" x14ac:dyDescent="0.15">
      <c r="A168" s="24" t="s">
        <v>339</v>
      </c>
      <c r="B168" s="24" t="s">
        <v>88</v>
      </c>
      <c r="C168" s="26" t="s">
        <v>409</v>
      </c>
      <c r="D168" s="24" t="s">
        <v>16</v>
      </c>
      <c r="E168" s="24" t="s">
        <v>435</v>
      </c>
      <c r="F168" s="24" t="s">
        <v>423</v>
      </c>
      <c r="G168" s="71"/>
      <c r="H168" s="21">
        <v>0</v>
      </c>
      <c r="I168" s="21">
        <f t="shared" ca="1" si="10"/>
        <v>2026</v>
      </c>
      <c r="J168" s="21">
        <v>3</v>
      </c>
      <c r="K168" s="25" t="str">
        <f t="shared" ca="1" si="11"/>
        <v>Activo</v>
      </c>
      <c r="O168" s="72">
        <v>1</v>
      </c>
      <c r="P168" s="26" t="s">
        <v>439</v>
      </c>
      <c r="Q168" s="34">
        <v>180</v>
      </c>
      <c r="S168" s="29">
        <v>46198</v>
      </c>
      <c r="T168" s="28">
        <f t="shared" si="12"/>
        <v>46378</v>
      </c>
      <c r="U168" s="25">
        <f t="shared" ca="1" si="13"/>
        <v>117</v>
      </c>
      <c r="V168" s="25" t="str">
        <f t="shared" ca="1" si="14"/>
        <v>AL DÍA</v>
      </c>
      <c r="W168" s="25" t="s">
        <v>24</v>
      </c>
      <c r="X168" s="25" t="s">
        <v>271</v>
      </c>
      <c r="Y168" s="25">
        <v>2</v>
      </c>
    </row>
    <row r="169" spans="1:26" ht="14.25" hidden="1" customHeight="1" x14ac:dyDescent="0.15">
      <c r="A169" s="24" t="s">
        <v>259</v>
      </c>
      <c r="B169" s="24" t="s">
        <v>88</v>
      </c>
      <c r="C169" s="26" t="s">
        <v>292</v>
      </c>
      <c r="D169" s="24" t="s">
        <v>65</v>
      </c>
      <c r="E169" s="24" t="s">
        <v>449</v>
      </c>
      <c r="F169" s="24" t="s">
        <v>260</v>
      </c>
      <c r="G169" s="21">
        <v>2013</v>
      </c>
      <c r="H169" s="21">
        <v>0</v>
      </c>
      <c r="I169" s="21">
        <f t="shared" ca="1" si="10"/>
        <v>13</v>
      </c>
      <c r="J169" s="21">
        <v>3</v>
      </c>
      <c r="K169" s="25" t="str">
        <f t="shared" ca="1" si="11"/>
        <v>Activo</v>
      </c>
      <c r="L169" s="25" t="s">
        <v>49</v>
      </c>
      <c r="M169" s="25" t="s">
        <v>49</v>
      </c>
      <c r="N169" s="25" t="s">
        <v>49</v>
      </c>
      <c r="O169" s="25" t="s">
        <v>98</v>
      </c>
      <c r="P169" s="25" t="s">
        <v>138</v>
      </c>
      <c r="Q169" s="32">
        <v>30</v>
      </c>
      <c r="R169" s="25" t="s">
        <v>69</v>
      </c>
      <c r="S169" s="30">
        <v>46228</v>
      </c>
      <c r="T169" s="28">
        <f t="shared" si="12"/>
        <v>46258</v>
      </c>
      <c r="U169" s="25">
        <f t="shared" ca="1" si="13"/>
        <v>-3</v>
      </c>
      <c r="V169" s="25" t="str">
        <f t="shared" ca="1" si="14"/>
        <v>VENCIDO</v>
      </c>
      <c r="W169" s="25" t="s">
        <v>24</v>
      </c>
      <c r="X169" s="25" t="s">
        <v>267</v>
      </c>
      <c r="Y169" s="25">
        <v>3</v>
      </c>
    </row>
    <row r="170" spans="1:26" ht="14.25" hidden="1" customHeight="1" x14ac:dyDescent="0.15">
      <c r="A170" s="24" t="s">
        <v>259</v>
      </c>
      <c r="B170" s="24" t="s">
        <v>88</v>
      </c>
      <c r="C170" s="26" t="s">
        <v>88</v>
      </c>
      <c r="D170" s="24" t="s">
        <v>16</v>
      </c>
      <c r="E170" s="24" t="s">
        <v>453</v>
      </c>
      <c r="F170" s="24" t="s">
        <v>63</v>
      </c>
      <c r="G170" s="21">
        <v>1990</v>
      </c>
      <c r="H170" s="21">
        <v>40</v>
      </c>
      <c r="I170" s="21">
        <f t="shared" ca="1" si="10"/>
        <v>36</v>
      </c>
      <c r="J170" s="21">
        <v>3</v>
      </c>
      <c r="K170" s="25" t="str">
        <f t="shared" ca="1" si="11"/>
        <v>Activo</v>
      </c>
      <c r="L170" s="25" t="s">
        <v>49</v>
      </c>
      <c r="M170" s="25" t="s">
        <v>49</v>
      </c>
      <c r="N170" s="25" t="s">
        <v>49</v>
      </c>
      <c r="O170" s="26" t="s">
        <v>207</v>
      </c>
      <c r="P170" s="26" t="s">
        <v>22</v>
      </c>
      <c r="Q170" s="34">
        <v>365</v>
      </c>
      <c r="R170" s="25" t="s">
        <v>64</v>
      </c>
      <c r="S170" s="28">
        <v>46198</v>
      </c>
      <c r="T170" s="28">
        <f t="shared" si="12"/>
        <v>46563</v>
      </c>
      <c r="U170" s="25">
        <f t="shared" ca="1" si="13"/>
        <v>302</v>
      </c>
      <c r="V170" s="25" t="str">
        <f t="shared" ca="1" si="14"/>
        <v>AL DÍA</v>
      </c>
      <c r="W170" s="25" t="s">
        <v>24</v>
      </c>
      <c r="X170" s="25" t="s">
        <v>277</v>
      </c>
      <c r="Y170" s="25">
        <v>2</v>
      </c>
      <c r="Z170" s="1" t="s">
        <v>284</v>
      </c>
    </row>
    <row r="171" spans="1:26" ht="14.25" hidden="1" customHeight="1" x14ac:dyDescent="0.15">
      <c r="A171" s="24" t="s">
        <v>259</v>
      </c>
      <c r="B171" s="24" t="s">
        <v>88</v>
      </c>
      <c r="C171" s="26" t="s">
        <v>293</v>
      </c>
      <c r="D171" s="24" t="s">
        <v>65</v>
      </c>
      <c r="E171" s="24" t="s">
        <v>452</v>
      </c>
      <c r="F171" s="24" t="s">
        <v>128</v>
      </c>
      <c r="G171" s="21">
        <v>1990</v>
      </c>
      <c r="H171" s="21">
        <v>0</v>
      </c>
      <c r="I171" s="21">
        <f t="shared" ca="1" si="10"/>
        <v>36</v>
      </c>
      <c r="J171" s="21">
        <v>3</v>
      </c>
      <c r="K171" s="25" t="str">
        <f t="shared" ca="1" si="11"/>
        <v>Activo</v>
      </c>
      <c r="L171" s="25" t="s">
        <v>49</v>
      </c>
      <c r="M171" s="25" t="s">
        <v>49</v>
      </c>
      <c r="N171" s="25" t="s">
        <v>49</v>
      </c>
      <c r="O171" s="25" t="s">
        <v>129</v>
      </c>
      <c r="P171" s="25" t="s">
        <v>138</v>
      </c>
      <c r="Q171" s="32">
        <v>30</v>
      </c>
      <c r="R171" s="25" t="s">
        <v>69</v>
      </c>
      <c r="S171" s="30">
        <v>46228</v>
      </c>
      <c r="T171" s="28">
        <f t="shared" si="12"/>
        <v>46258</v>
      </c>
      <c r="U171" s="25">
        <f t="shared" ca="1" si="13"/>
        <v>-3</v>
      </c>
      <c r="V171" s="25" t="str">
        <f t="shared" ca="1" si="14"/>
        <v>VENCIDO</v>
      </c>
      <c r="W171" s="25" t="s">
        <v>24</v>
      </c>
      <c r="X171" s="25" t="s">
        <v>267</v>
      </c>
      <c r="Y171" s="25">
        <v>2</v>
      </c>
      <c r="Z171" s="1" t="s">
        <v>269</v>
      </c>
    </row>
    <row r="172" spans="1:26" ht="14.25" hidden="1" customHeight="1" x14ac:dyDescent="0.15">
      <c r="A172" s="24" t="s">
        <v>258</v>
      </c>
      <c r="B172" s="24" t="s">
        <v>88</v>
      </c>
      <c r="C172" s="26" t="s">
        <v>291</v>
      </c>
      <c r="D172" s="24" t="s">
        <v>65</v>
      </c>
      <c r="E172" s="24" t="s">
        <v>449</v>
      </c>
      <c r="F172" s="24" t="s">
        <v>238</v>
      </c>
      <c r="G172" s="21">
        <v>2013</v>
      </c>
      <c r="H172" s="21">
        <v>0</v>
      </c>
      <c r="I172" s="21">
        <f t="shared" ca="1" si="10"/>
        <v>13</v>
      </c>
      <c r="J172" s="21">
        <v>3</v>
      </c>
      <c r="K172" s="25" t="str">
        <f t="shared" ca="1" si="11"/>
        <v>Activo</v>
      </c>
      <c r="L172" s="25" t="s">
        <v>49</v>
      </c>
      <c r="M172" s="25" t="s">
        <v>49</v>
      </c>
      <c r="N172" s="25" t="s">
        <v>49</v>
      </c>
      <c r="O172" s="25" t="s">
        <v>98</v>
      </c>
      <c r="P172" s="25" t="s">
        <v>138</v>
      </c>
      <c r="Q172" s="32">
        <v>30</v>
      </c>
      <c r="R172" s="25" t="s">
        <v>69</v>
      </c>
      <c r="S172" s="30">
        <v>46228</v>
      </c>
      <c r="T172" s="28">
        <f t="shared" si="12"/>
        <v>46258</v>
      </c>
      <c r="U172" s="25">
        <f t="shared" ca="1" si="13"/>
        <v>-3</v>
      </c>
      <c r="V172" s="25" t="str">
        <f t="shared" ca="1" si="14"/>
        <v>VENCIDO</v>
      </c>
      <c r="W172" s="25" t="s">
        <v>24</v>
      </c>
      <c r="X172" s="25" t="s">
        <v>267</v>
      </c>
      <c r="Y172" s="25">
        <v>1</v>
      </c>
    </row>
    <row r="173" spans="1:26" ht="14.25" hidden="1" customHeight="1" x14ac:dyDescent="0.15">
      <c r="A173" s="24" t="s">
        <v>258</v>
      </c>
      <c r="B173" s="24" t="s">
        <v>88</v>
      </c>
      <c r="C173" s="26" t="s">
        <v>291</v>
      </c>
      <c r="D173" s="24" t="s">
        <v>65</v>
      </c>
      <c r="E173" s="24" t="s">
        <v>449</v>
      </c>
      <c r="F173" s="24" t="s">
        <v>239</v>
      </c>
      <c r="G173" s="21">
        <v>2013</v>
      </c>
      <c r="H173" s="21">
        <v>0</v>
      </c>
      <c r="I173" s="21">
        <f t="shared" ca="1" si="10"/>
        <v>13</v>
      </c>
      <c r="J173" s="21">
        <v>3</v>
      </c>
      <c r="K173" s="25" t="str">
        <f t="shared" ca="1" si="11"/>
        <v>Activo</v>
      </c>
      <c r="L173" s="25" t="s">
        <v>49</v>
      </c>
      <c r="M173" s="25" t="s">
        <v>49</v>
      </c>
      <c r="N173" s="25" t="s">
        <v>49</v>
      </c>
      <c r="O173" s="25" t="s">
        <v>98</v>
      </c>
      <c r="P173" s="25" t="s">
        <v>138</v>
      </c>
      <c r="Q173" s="32">
        <v>30</v>
      </c>
      <c r="R173" s="25" t="s">
        <v>69</v>
      </c>
      <c r="S173" s="30">
        <v>46228</v>
      </c>
      <c r="T173" s="28">
        <f t="shared" si="12"/>
        <v>46258</v>
      </c>
      <c r="U173" s="25">
        <f t="shared" ca="1" si="13"/>
        <v>-3</v>
      </c>
      <c r="V173" s="25" t="str">
        <f t="shared" ca="1" si="14"/>
        <v>VENCIDO</v>
      </c>
      <c r="W173" s="25" t="s">
        <v>24</v>
      </c>
      <c r="X173" s="25" t="s">
        <v>267</v>
      </c>
      <c r="Y173" s="25">
        <v>1</v>
      </c>
    </row>
    <row r="174" spans="1:26" ht="14.25" hidden="1" customHeight="1" x14ac:dyDescent="0.15">
      <c r="A174" s="24" t="s">
        <v>296</v>
      </c>
      <c r="B174" s="24" t="s">
        <v>88</v>
      </c>
      <c r="C174" s="26" t="s">
        <v>137</v>
      </c>
      <c r="D174" s="24" t="s">
        <v>65</v>
      </c>
      <c r="E174" s="24" t="s">
        <v>452</v>
      </c>
      <c r="F174" s="24" t="s">
        <v>136</v>
      </c>
      <c r="G174" s="21">
        <v>2014</v>
      </c>
      <c r="H174" s="21">
        <v>0</v>
      </c>
      <c r="I174" s="21">
        <f t="shared" ca="1" si="10"/>
        <v>12</v>
      </c>
      <c r="J174" s="21">
        <v>3</v>
      </c>
      <c r="K174" s="25" t="str">
        <f t="shared" ca="1" si="11"/>
        <v>Activo</v>
      </c>
      <c r="L174" s="25" t="s">
        <v>49</v>
      </c>
      <c r="M174" s="25" t="s">
        <v>49</v>
      </c>
      <c r="N174" s="25" t="s">
        <v>49</v>
      </c>
      <c r="P174" s="26" t="s">
        <v>138</v>
      </c>
      <c r="Q174" s="34">
        <v>30</v>
      </c>
      <c r="R174" s="25" t="s">
        <v>69</v>
      </c>
      <c r="S174" s="30">
        <v>46228</v>
      </c>
      <c r="T174" s="28">
        <f t="shared" si="12"/>
        <v>46258</v>
      </c>
      <c r="U174" s="25">
        <f t="shared" ca="1" si="13"/>
        <v>-3</v>
      </c>
      <c r="V174" s="25" t="str">
        <f t="shared" ca="1" si="14"/>
        <v>VENCIDO</v>
      </c>
      <c r="W174" s="25" t="s">
        <v>24</v>
      </c>
      <c r="X174" s="25" t="s">
        <v>267</v>
      </c>
      <c r="Y174" s="25">
        <v>2</v>
      </c>
      <c r="Z174" s="1" t="s">
        <v>269</v>
      </c>
    </row>
    <row r="175" spans="1:26" ht="14.25" hidden="1" customHeight="1" x14ac:dyDescent="0.15">
      <c r="A175" s="24" t="s">
        <v>296</v>
      </c>
      <c r="B175" s="24" t="s">
        <v>88</v>
      </c>
      <c r="C175" s="26" t="s">
        <v>137</v>
      </c>
      <c r="D175" s="24" t="s">
        <v>65</v>
      </c>
      <c r="E175" s="24" t="s">
        <v>452</v>
      </c>
      <c r="F175" s="24" t="s">
        <v>139</v>
      </c>
      <c r="G175" s="21">
        <v>2014</v>
      </c>
      <c r="H175" s="21">
        <v>0</v>
      </c>
      <c r="I175" s="21">
        <f t="shared" ca="1" si="10"/>
        <v>12</v>
      </c>
      <c r="J175" s="21">
        <v>3</v>
      </c>
      <c r="K175" s="25" t="str">
        <f t="shared" ca="1" si="11"/>
        <v>Activo</v>
      </c>
      <c r="L175" s="25" t="s">
        <v>49</v>
      </c>
      <c r="M175" s="25" t="s">
        <v>49</v>
      </c>
      <c r="N175" s="25" t="s">
        <v>49</v>
      </c>
      <c r="P175" s="25" t="s">
        <v>138</v>
      </c>
      <c r="Q175" s="32">
        <v>30</v>
      </c>
      <c r="R175" s="25" t="s">
        <v>69</v>
      </c>
      <c r="S175" s="30">
        <v>46228</v>
      </c>
      <c r="T175" s="28">
        <f t="shared" si="12"/>
        <v>46258</v>
      </c>
      <c r="U175" s="25">
        <f t="shared" ca="1" si="13"/>
        <v>-3</v>
      </c>
      <c r="V175" s="25" t="str">
        <f t="shared" ca="1" si="14"/>
        <v>VENCIDO</v>
      </c>
      <c r="W175" s="25" t="s">
        <v>24</v>
      </c>
      <c r="X175" s="25" t="s">
        <v>267</v>
      </c>
      <c r="Y175" s="25">
        <v>2</v>
      </c>
      <c r="Z175" s="1" t="s">
        <v>269</v>
      </c>
    </row>
    <row r="176" spans="1:26" ht="14.25" hidden="1" customHeight="1" x14ac:dyDescent="0.15">
      <c r="A176" s="24" t="s">
        <v>296</v>
      </c>
      <c r="B176" s="24" t="s">
        <v>88</v>
      </c>
      <c r="C176" s="26" t="s">
        <v>140</v>
      </c>
      <c r="D176" s="24" t="s">
        <v>65</v>
      </c>
      <c r="E176" s="24" t="s">
        <v>449</v>
      </c>
      <c r="F176" s="24" t="s">
        <v>109</v>
      </c>
      <c r="G176" s="21">
        <v>2014</v>
      </c>
      <c r="H176" s="21">
        <v>0</v>
      </c>
      <c r="I176" s="21">
        <f t="shared" ca="1" si="10"/>
        <v>12</v>
      </c>
      <c r="J176" s="21">
        <v>3</v>
      </c>
      <c r="K176" s="25" t="str">
        <f t="shared" ca="1" si="11"/>
        <v>Activo</v>
      </c>
      <c r="L176" s="25" t="s">
        <v>49</v>
      </c>
      <c r="M176" s="25" t="s">
        <v>49</v>
      </c>
      <c r="N176" s="25" t="s">
        <v>49</v>
      </c>
      <c r="P176" s="25" t="s">
        <v>138</v>
      </c>
      <c r="Q176" s="32">
        <v>30</v>
      </c>
      <c r="R176" s="25" t="s">
        <v>69</v>
      </c>
      <c r="S176" s="30">
        <v>46228</v>
      </c>
      <c r="T176" s="28">
        <f t="shared" si="12"/>
        <v>46258</v>
      </c>
      <c r="U176" s="25">
        <f t="shared" ca="1" si="13"/>
        <v>-3</v>
      </c>
      <c r="V176" s="25" t="str">
        <f t="shared" ca="1" si="14"/>
        <v>VENCIDO</v>
      </c>
      <c r="W176" s="25" t="s">
        <v>24</v>
      </c>
      <c r="X176" s="25" t="s">
        <v>267</v>
      </c>
      <c r="Y176" s="25">
        <v>2</v>
      </c>
    </row>
    <row r="177" spans="1:26" ht="14.25" hidden="1" customHeight="1" x14ac:dyDescent="0.15">
      <c r="A177" s="24" t="s">
        <v>296</v>
      </c>
      <c r="B177" s="24" t="s">
        <v>88</v>
      </c>
      <c r="C177" s="26" t="s">
        <v>140</v>
      </c>
      <c r="D177" s="24" t="s">
        <v>65</v>
      </c>
      <c r="E177" s="24" t="s">
        <v>449</v>
      </c>
      <c r="F177" s="24" t="s">
        <v>110</v>
      </c>
      <c r="G177" s="21">
        <v>2014</v>
      </c>
      <c r="H177" s="21">
        <v>0</v>
      </c>
      <c r="I177" s="21">
        <f t="shared" ca="1" si="10"/>
        <v>12</v>
      </c>
      <c r="J177" s="21">
        <v>3</v>
      </c>
      <c r="K177" s="25" t="str">
        <f t="shared" ca="1" si="11"/>
        <v>Activo</v>
      </c>
      <c r="L177" s="25" t="s">
        <v>49</v>
      </c>
      <c r="M177" s="25" t="s">
        <v>49</v>
      </c>
      <c r="N177" s="25" t="s">
        <v>49</v>
      </c>
      <c r="O177" s="26"/>
      <c r="P177" s="26" t="s">
        <v>138</v>
      </c>
      <c r="Q177" s="34">
        <v>30</v>
      </c>
      <c r="R177" s="25" t="s">
        <v>69</v>
      </c>
      <c r="S177" s="30">
        <v>46228</v>
      </c>
      <c r="T177" s="28">
        <f t="shared" si="12"/>
        <v>46258</v>
      </c>
      <c r="U177" s="25">
        <f t="shared" ca="1" si="13"/>
        <v>-3</v>
      </c>
      <c r="V177" s="25" t="str">
        <f t="shared" ca="1" si="14"/>
        <v>VENCIDO</v>
      </c>
      <c r="W177" s="25" t="s">
        <v>24</v>
      </c>
      <c r="X177" s="25" t="s">
        <v>267</v>
      </c>
      <c r="Y177" s="25">
        <v>2</v>
      </c>
    </row>
    <row r="178" spans="1:26" ht="14.25" hidden="1" customHeight="1" x14ac:dyDescent="0.15">
      <c r="A178" s="24" t="s">
        <v>296</v>
      </c>
      <c r="B178" s="24" t="s">
        <v>88</v>
      </c>
      <c r="C178" s="26" t="s">
        <v>143</v>
      </c>
      <c r="D178" s="24" t="s">
        <v>16</v>
      </c>
      <c r="E178" s="24" t="s">
        <v>451</v>
      </c>
      <c r="F178" s="24" t="s">
        <v>17</v>
      </c>
      <c r="G178" s="21">
        <v>1998</v>
      </c>
      <c r="H178" s="21">
        <v>25</v>
      </c>
      <c r="I178" s="21">
        <f t="shared" ca="1" si="10"/>
        <v>28</v>
      </c>
      <c r="J178" s="21">
        <v>3</v>
      </c>
      <c r="K178" s="25" t="str">
        <f t="shared" ca="1" si="11"/>
        <v>Cambiar o Inspección externa</v>
      </c>
      <c r="L178" s="25" t="s">
        <v>141</v>
      </c>
      <c r="M178" s="25" t="s">
        <v>249</v>
      </c>
      <c r="N178" s="25">
        <v>22128000096</v>
      </c>
      <c r="O178" s="25" t="s">
        <v>251</v>
      </c>
      <c r="P178" s="25" t="s">
        <v>22</v>
      </c>
      <c r="Q178" s="32">
        <v>365</v>
      </c>
      <c r="R178" s="25" t="s">
        <v>23</v>
      </c>
      <c r="S178" s="28">
        <v>46198</v>
      </c>
      <c r="T178" s="28">
        <f t="shared" si="12"/>
        <v>46563</v>
      </c>
      <c r="U178" s="25">
        <f t="shared" ca="1" si="13"/>
        <v>302</v>
      </c>
      <c r="V178" s="25" t="str">
        <f t="shared" ca="1" si="14"/>
        <v>AL DÍA</v>
      </c>
      <c r="W178" s="25" t="s">
        <v>24</v>
      </c>
      <c r="X178" s="25" t="s">
        <v>271</v>
      </c>
      <c r="Y178" s="25">
        <v>1</v>
      </c>
      <c r="Z178" s="1" t="s">
        <v>276</v>
      </c>
    </row>
    <row r="179" spans="1:26" ht="14.25" hidden="1" customHeight="1" x14ac:dyDescent="0.15">
      <c r="A179" s="24" t="s">
        <v>296</v>
      </c>
      <c r="B179" s="24" t="s">
        <v>88</v>
      </c>
      <c r="C179" s="26" t="s">
        <v>432</v>
      </c>
      <c r="D179" s="24" t="s">
        <v>16</v>
      </c>
      <c r="E179" s="24" t="s">
        <v>451</v>
      </c>
      <c r="F179" s="24" t="s">
        <v>93</v>
      </c>
      <c r="G179" s="21">
        <v>1987</v>
      </c>
      <c r="H179" s="21">
        <v>20</v>
      </c>
      <c r="I179" s="21">
        <f t="shared" ca="1" si="10"/>
        <v>39</v>
      </c>
      <c r="J179" s="21">
        <v>3</v>
      </c>
      <c r="K179" s="25" t="str">
        <f t="shared" ca="1" si="11"/>
        <v>Cambiar o Inspección externa</v>
      </c>
      <c r="L179" s="25" t="s">
        <v>142</v>
      </c>
      <c r="P179" s="25" t="s">
        <v>22</v>
      </c>
      <c r="Q179" s="32">
        <v>365</v>
      </c>
      <c r="R179" s="25" t="s">
        <v>69</v>
      </c>
      <c r="S179" s="28">
        <v>46198</v>
      </c>
      <c r="T179" s="28">
        <f t="shared" si="12"/>
        <v>46563</v>
      </c>
      <c r="U179" s="25">
        <f t="shared" ca="1" si="13"/>
        <v>302</v>
      </c>
      <c r="V179" s="25" t="str">
        <f t="shared" ca="1" si="14"/>
        <v>AL DÍA</v>
      </c>
      <c r="W179" s="25" t="s">
        <v>24</v>
      </c>
      <c r="X179" s="25" t="s">
        <v>262</v>
      </c>
      <c r="Y179" s="25">
        <v>1</v>
      </c>
      <c r="Z179" s="1" t="s">
        <v>265</v>
      </c>
    </row>
    <row r="180" spans="1:26" ht="14.25" hidden="1" customHeight="1" x14ac:dyDescent="0.15">
      <c r="A180" s="24" t="s">
        <v>296</v>
      </c>
      <c r="B180" s="24" t="s">
        <v>88</v>
      </c>
      <c r="C180" s="26" t="s">
        <v>146</v>
      </c>
      <c r="D180" s="24" t="s">
        <v>16</v>
      </c>
      <c r="F180" s="24" t="s">
        <v>144</v>
      </c>
      <c r="G180" s="21">
        <v>2025</v>
      </c>
      <c r="H180" s="21">
        <v>15</v>
      </c>
      <c r="I180" s="21">
        <f t="shared" ca="1" si="10"/>
        <v>1</v>
      </c>
      <c r="J180" s="21">
        <v>3</v>
      </c>
      <c r="K180" s="25" t="str">
        <f t="shared" ca="1" si="11"/>
        <v>Activo</v>
      </c>
      <c r="L180" s="25" t="s">
        <v>145</v>
      </c>
      <c r="M180" s="25">
        <v>6090</v>
      </c>
      <c r="O180" s="25" t="s">
        <v>147</v>
      </c>
      <c r="P180" s="25" t="s">
        <v>22</v>
      </c>
      <c r="Q180" s="32">
        <v>365</v>
      </c>
      <c r="R180" s="25" t="s">
        <v>148</v>
      </c>
      <c r="S180" s="28">
        <v>46198</v>
      </c>
      <c r="T180" s="28">
        <f t="shared" si="12"/>
        <v>46563</v>
      </c>
      <c r="U180" s="25">
        <f t="shared" ca="1" si="13"/>
        <v>302</v>
      </c>
      <c r="V180" s="25" t="str">
        <f t="shared" ca="1" si="14"/>
        <v>AL DÍA</v>
      </c>
      <c r="W180" s="25" t="s">
        <v>24</v>
      </c>
      <c r="X180" s="25" t="s">
        <v>271</v>
      </c>
      <c r="Y180" s="25">
        <v>2</v>
      </c>
    </row>
    <row r="181" spans="1:26" ht="14.25" hidden="1" customHeight="1" x14ac:dyDescent="0.15">
      <c r="A181" s="24" t="s">
        <v>296</v>
      </c>
      <c r="B181" s="24" t="s">
        <v>88</v>
      </c>
      <c r="C181" s="26" t="s">
        <v>146</v>
      </c>
      <c r="D181" s="24" t="s">
        <v>16</v>
      </c>
      <c r="F181" s="24" t="s">
        <v>149</v>
      </c>
      <c r="G181" s="21">
        <v>2025</v>
      </c>
      <c r="H181" s="21">
        <v>15</v>
      </c>
      <c r="I181" s="21">
        <f t="shared" ca="1" si="10"/>
        <v>1</v>
      </c>
      <c r="J181" s="21">
        <v>3</v>
      </c>
      <c r="K181" s="25" t="str">
        <f t="shared" ca="1" si="11"/>
        <v>Activo</v>
      </c>
      <c r="L181" s="25" t="s">
        <v>145</v>
      </c>
      <c r="M181" s="25">
        <v>1313</v>
      </c>
      <c r="O181" s="25" t="s">
        <v>150</v>
      </c>
      <c r="P181" s="26" t="s">
        <v>22</v>
      </c>
      <c r="Q181" s="34">
        <v>365</v>
      </c>
      <c r="R181" s="25" t="s">
        <v>148</v>
      </c>
      <c r="S181" s="28">
        <v>46198</v>
      </c>
      <c r="T181" s="28">
        <f t="shared" si="12"/>
        <v>46563</v>
      </c>
      <c r="U181" s="25">
        <f t="shared" ca="1" si="13"/>
        <v>302</v>
      </c>
      <c r="V181" s="25" t="str">
        <f t="shared" ca="1" si="14"/>
        <v>AL DÍA</v>
      </c>
      <c r="W181" s="25" t="s">
        <v>24</v>
      </c>
      <c r="X181" s="25" t="s">
        <v>271</v>
      </c>
      <c r="Y181" s="25">
        <v>2</v>
      </c>
    </row>
    <row r="182" spans="1:26" ht="14.25" hidden="1" customHeight="1" x14ac:dyDescent="0.15">
      <c r="A182" s="24" t="s">
        <v>296</v>
      </c>
      <c r="B182" s="24" t="s">
        <v>88</v>
      </c>
      <c r="C182" s="26" t="s">
        <v>146</v>
      </c>
      <c r="D182" s="24" t="s">
        <v>16</v>
      </c>
      <c r="F182" s="24" t="s">
        <v>151</v>
      </c>
      <c r="G182" s="21">
        <v>2025</v>
      </c>
      <c r="H182" s="21">
        <v>15</v>
      </c>
      <c r="I182" s="21">
        <f t="shared" ca="1" si="10"/>
        <v>1</v>
      </c>
      <c r="J182" s="21">
        <v>3</v>
      </c>
      <c r="K182" s="25" t="str">
        <f t="shared" ca="1" si="11"/>
        <v>Activo</v>
      </c>
      <c r="L182" s="25" t="s">
        <v>145</v>
      </c>
      <c r="P182" s="25" t="s">
        <v>22</v>
      </c>
      <c r="Q182" s="32">
        <v>365</v>
      </c>
      <c r="R182" s="25" t="s">
        <v>148</v>
      </c>
      <c r="S182" s="28">
        <v>46198</v>
      </c>
      <c r="T182" s="28">
        <f t="shared" si="12"/>
        <v>46563</v>
      </c>
      <c r="U182" s="25">
        <f t="shared" ca="1" si="13"/>
        <v>302</v>
      </c>
      <c r="V182" s="25" t="str">
        <f t="shared" ca="1" si="14"/>
        <v>AL DÍA</v>
      </c>
      <c r="W182" s="25" t="s">
        <v>24</v>
      </c>
      <c r="X182" s="25" t="s">
        <v>271</v>
      </c>
      <c r="Y182" s="25">
        <v>2</v>
      </c>
    </row>
    <row r="183" spans="1:26" ht="14.25" hidden="1" customHeight="1" x14ac:dyDescent="0.15">
      <c r="A183" s="24" t="s">
        <v>296</v>
      </c>
      <c r="B183" s="24" t="s">
        <v>88</v>
      </c>
      <c r="C183" s="26" t="s">
        <v>146</v>
      </c>
      <c r="D183" s="24" t="s">
        <v>16</v>
      </c>
      <c r="E183" s="24" t="s">
        <v>453</v>
      </c>
      <c r="F183" s="24" t="s">
        <v>152</v>
      </c>
      <c r="G183" s="21">
        <v>1987</v>
      </c>
      <c r="H183" s="21">
        <v>40</v>
      </c>
      <c r="I183" s="21">
        <f t="shared" ca="1" si="10"/>
        <v>39</v>
      </c>
      <c r="J183" s="21">
        <v>3</v>
      </c>
      <c r="K183" s="25" t="str">
        <f t="shared" ca="1" si="11"/>
        <v>Activo</v>
      </c>
      <c r="L183" s="25" t="s">
        <v>49</v>
      </c>
      <c r="M183" s="25" t="s">
        <v>49</v>
      </c>
      <c r="N183" s="25" t="s">
        <v>49</v>
      </c>
      <c r="O183" s="25" t="s">
        <v>212</v>
      </c>
      <c r="P183" s="25" t="s">
        <v>22</v>
      </c>
      <c r="Q183" s="34">
        <v>365</v>
      </c>
      <c r="R183" s="25" t="s">
        <v>64</v>
      </c>
      <c r="S183" s="28">
        <v>46198</v>
      </c>
      <c r="T183" s="28">
        <f t="shared" si="12"/>
        <v>46563</v>
      </c>
      <c r="U183" s="25">
        <f t="shared" ca="1" si="13"/>
        <v>302</v>
      </c>
      <c r="V183" s="25" t="str">
        <f t="shared" ca="1" si="14"/>
        <v>AL DÍA</v>
      </c>
      <c r="W183" s="25" t="s">
        <v>24</v>
      </c>
      <c r="X183" s="25" t="s">
        <v>271</v>
      </c>
      <c r="Y183" s="25">
        <v>2</v>
      </c>
      <c r="Z183" s="1" t="s">
        <v>283</v>
      </c>
    </row>
    <row r="184" spans="1:26" ht="14.25" hidden="1" customHeight="1" x14ac:dyDescent="0.15">
      <c r="A184" s="24" t="s">
        <v>296</v>
      </c>
      <c r="B184" s="24" t="s">
        <v>88</v>
      </c>
      <c r="C184" s="26" t="s">
        <v>137</v>
      </c>
      <c r="D184" s="24" t="s">
        <v>16</v>
      </c>
      <c r="E184" s="24" t="s">
        <v>453</v>
      </c>
      <c r="F184" s="24" t="s">
        <v>153</v>
      </c>
      <c r="G184" s="21">
        <v>1987</v>
      </c>
      <c r="H184" s="21">
        <v>40</v>
      </c>
      <c r="I184" s="21">
        <f t="shared" ca="1" si="10"/>
        <v>39</v>
      </c>
      <c r="J184" s="21">
        <v>3</v>
      </c>
      <c r="K184" s="25" t="str">
        <f t="shared" ca="1" si="11"/>
        <v>Activo</v>
      </c>
      <c r="L184" s="25" t="s">
        <v>49</v>
      </c>
      <c r="M184" s="25" t="s">
        <v>49</v>
      </c>
      <c r="N184" s="25" t="s">
        <v>49</v>
      </c>
      <c r="O184" s="26" t="s">
        <v>207</v>
      </c>
      <c r="P184" s="26" t="s">
        <v>22</v>
      </c>
      <c r="Q184" s="34">
        <v>365</v>
      </c>
      <c r="R184" s="25" t="s">
        <v>64</v>
      </c>
      <c r="S184" s="28">
        <v>46198</v>
      </c>
      <c r="T184" s="28">
        <f t="shared" si="12"/>
        <v>46563</v>
      </c>
      <c r="U184" s="25">
        <f t="shared" ca="1" si="13"/>
        <v>302</v>
      </c>
      <c r="V184" s="25" t="str">
        <f t="shared" ca="1" si="14"/>
        <v>AL DÍA</v>
      </c>
      <c r="W184" s="25" t="s">
        <v>24</v>
      </c>
      <c r="X184" s="25" t="s">
        <v>271</v>
      </c>
      <c r="Y184" s="25">
        <v>2</v>
      </c>
      <c r="Z184" s="1" t="s">
        <v>283</v>
      </c>
    </row>
    <row r="185" spans="1:26" ht="14.25" hidden="1" customHeight="1" x14ac:dyDescent="0.15">
      <c r="A185" s="24" t="s">
        <v>296</v>
      </c>
      <c r="B185" s="24" t="s">
        <v>120</v>
      </c>
      <c r="C185" s="26" t="s">
        <v>213</v>
      </c>
      <c r="D185" s="24" t="s">
        <v>16</v>
      </c>
      <c r="E185" s="24" t="s">
        <v>453</v>
      </c>
      <c r="F185" s="24" t="s">
        <v>154</v>
      </c>
      <c r="G185" s="21">
        <v>1987</v>
      </c>
      <c r="H185" s="21">
        <v>40</v>
      </c>
      <c r="I185" s="21">
        <f t="shared" ca="1" si="10"/>
        <v>39</v>
      </c>
      <c r="J185" s="21">
        <v>3</v>
      </c>
      <c r="K185" s="25" t="str">
        <f t="shared" ca="1" si="11"/>
        <v>Activo</v>
      </c>
      <c r="L185" s="25" t="s">
        <v>49</v>
      </c>
      <c r="M185" s="25" t="s">
        <v>49</v>
      </c>
      <c r="N185" s="25" t="s">
        <v>49</v>
      </c>
      <c r="O185" s="25" t="s">
        <v>212</v>
      </c>
      <c r="P185" s="25" t="s">
        <v>22</v>
      </c>
      <c r="Q185" s="34">
        <v>365</v>
      </c>
      <c r="R185" s="25" t="s">
        <v>64</v>
      </c>
      <c r="S185" s="28">
        <v>46198</v>
      </c>
      <c r="T185" s="28">
        <f t="shared" si="12"/>
        <v>46563</v>
      </c>
      <c r="U185" s="25">
        <f t="shared" ca="1" si="13"/>
        <v>302</v>
      </c>
      <c r="V185" s="25" t="str">
        <f t="shared" ca="1" si="14"/>
        <v>AL DÍA</v>
      </c>
      <c r="W185" s="25" t="s">
        <v>24</v>
      </c>
      <c r="X185" s="25" t="s">
        <v>271</v>
      </c>
      <c r="Y185" s="25">
        <v>2</v>
      </c>
      <c r="Z185" s="1" t="s">
        <v>283</v>
      </c>
    </row>
    <row r="186" spans="1:26" ht="14.25" hidden="1" customHeight="1" x14ac:dyDescent="0.15">
      <c r="A186" s="24" t="s">
        <v>296</v>
      </c>
      <c r="B186" s="24" t="s">
        <v>120</v>
      </c>
      <c r="C186" s="26" t="s">
        <v>290</v>
      </c>
      <c r="D186" s="24" t="s">
        <v>16</v>
      </c>
      <c r="F186" s="24" t="s">
        <v>263</v>
      </c>
      <c r="G186" s="21">
        <v>2024</v>
      </c>
      <c r="H186" s="21">
        <v>10</v>
      </c>
      <c r="I186" s="21">
        <f t="shared" ca="1" si="10"/>
        <v>2</v>
      </c>
      <c r="J186" s="21">
        <v>3</v>
      </c>
      <c r="K186" s="25" t="str">
        <f t="shared" ca="1" si="11"/>
        <v>Activo</v>
      </c>
      <c r="L186" s="25" t="s">
        <v>365</v>
      </c>
      <c r="P186" s="25" t="s">
        <v>22</v>
      </c>
      <c r="Q186" s="34">
        <v>365</v>
      </c>
      <c r="R186" s="25" t="s">
        <v>64</v>
      </c>
      <c r="S186" s="28">
        <v>46198</v>
      </c>
      <c r="T186" s="28">
        <f t="shared" si="12"/>
        <v>46563</v>
      </c>
      <c r="U186" s="25">
        <f t="shared" ca="1" si="13"/>
        <v>302</v>
      </c>
      <c r="V186" s="25" t="str">
        <f t="shared" ca="1" si="14"/>
        <v>AL DÍA</v>
      </c>
      <c r="W186" s="25" t="s">
        <v>24</v>
      </c>
      <c r="X186" s="25" t="s">
        <v>262</v>
      </c>
      <c r="Y186" s="25">
        <v>2</v>
      </c>
      <c r="Z186" s="1" t="s">
        <v>264</v>
      </c>
    </row>
    <row r="187" spans="1:26" ht="14.25" hidden="1" customHeight="1" x14ac:dyDescent="0.15">
      <c r="A187" s="24" t="s">
        <v>296</v>
      </c>
      <c r="B187" s="24" t="s">
        <v>120</v>
      </c>
      <c r="C187" s="26" t="s">
        <v>155</v>
      </c>
      <c r="D187" s="24" t="s">
        <v>16</v>
      </c>
      <c r="E187" s="24" t="s">
        <v>453</v>
      </c>
      <c r="F187" s="24" t="s">
        <v>210</v>
      </c>
      <c r="G187" s="21">
        <v>1987</v>
      </c>
      <c r="H187" s="21">
        <v>40</v>
      </c>
      <c r="I187" s="21">
        <f t="shared" ca="1" si="10"/>
        <v>39</v>
      </c>
      <c r="J187" s="21">
        <v>3</v>
      </c>
      <c r="K187" s="25" t="str">
        <f t="shared" ca="1" si="11"/>
        <v>Activo</v>
      </c>
      <c r="L187" s="25" t="s">
        <v>49</v>
      </c>
      <c r="M187" s="25" t="s">
        <v>49</v>
      </c>
      <c r="N187" s="25" t="s">
        <v>49</v>
      </c>
      <c r="O187" s="25" t="s">
        <v>211</v>
      </c>
      <c r="P187" s="25" t="s">
        <v>22</v>
      </c>
      <c r="Q187" s="34">
        <v>365</v>
      </c>
      <c r="R187" s="25" t="s">
        <v>64</v>
      </c>
      <c r="S187" s="28">
        <v>46198</v>
      </c>
      <c r="T187" s="28">
        <f t="shared" si="12"/>
        <v>46563</v>
      </c>
      <c r="U187" s="25">
        <f t="shared" ca="1" si="13"/>
        <v>302</v>
      </c>
      <c r="V187" s="25" t="str">
        <f t="shared" ca="1" si="14"/>
        <v>AL DÍA</v>
      </c>
      <c r="W187" s="25" t="s">
        <v>24</v>
      </c>
      <c r="X187" s="25" t="s">
        <v>277</v>
      </c>
      <c r="Y187" s="25">
        <v>1</v>
      </c>
      <c r="Z187" s="1" t="s">
        <v>278</v>
      </c>
    </row>
    <row r="188" spans="1:26" ht="14.25" hidden="1" customHeight="1" x14ac:dyDescent="0.15">
      <c r="A188" s="24" t="s">
        <v>296</v>
      </c>
      <c r="B188" s="24" t="s">
        <v>156</v>
      </c>
      <c r="C188" s="26" t="s">
        <v>158</v>
      </c>
      <c r="D188" s="24" t="s">
        <v>16</v>
      </c>
      <c r="E188" s="24" t="s">
        <v>453</v>
      </c>
      <c r="F188" s="24" t="s">
        <v>157</v>
      </c>
      <c r="G188" s="21">
        <v>2018</v>
      </c>
      <c r="H188" s="21">
        <v>40</v>
      </c>
      <c r="I188" s="21">
        <f t="shared" ca="1" si="10"/>
        <v>8</v>
      </c>
      <c r="J188" s="21">
        <v>3</v>
      </c>
      <c r="K188" s="25" t="str">
        <f t="shared" ca="1" si="11"/>
        <v>Activo</v>
      </c>
      <c r="L188" s="25" t="s">
        <v>49</v>
      </c>
      <c r="M188" s="25" t="s">
        <v>49</v>
      </c>
      <c r="N188" s="25" t="s">
        <v>49</v>
      </c>
      <c r="P188" s="26" t="s">
        <v>22</v>
      </c>
      <c r="Q188" s="34">
        <v>365</v>
      </c>
      <c r="R188" s="25" t="s">
        <v>64</v>
      </c>
      <c r="S188" s="28">
        <v>46198</v>
      </c>
      <c r="T188" s="28">
        <f t="shared" si="12"/>
        <v>46563</v>
      </c>
      <c r="U188" s="25">
        <f t="shared" ca="1" si="13"/>
        <v>302</v>
      </c>
      <c r="V188" s="25" t="str">
        <f t="shared" ca="1" si="14"/>
        <v>AL DÍA</v>
      </c>
      <c r="W188" s="25" t="s">
        <v>24</v>
      </c>
      <c r="X188" s="25" t="s">
        <v>271</v>
      </c>
      <c r="Y188" s="25">
        <v>2</v>
      </c>
      <c r="Z188" s="1" t="s">
        <v>283</v>
      </c>
    </row>
    <row r="189" spans="1:26" ht="14.25" hidden="1" customHeight="1" x14ac:dyDescent="0.15">
      <c r="A189" s="24" t="s">
        <v>296</v>
      </c>
      <c r="B189" s="24" t="s">
        <v>156</v>
      </c>
      <c r="C189" s="26" t="s">
        <v>160</v>
      </c>
      <c r="D189" s="24" t="s">
        <v>16</v>
      </c>
      <c r="E189" s="24" t="s">
        <v>453</v>
      </c>
      <c r="F189" s="24" t="s">
        <v>159</v>
      </c>
      <c r="G189" s="21">
        <v>1987</v>
      </c>
      <c r="H189" s="21">
        <v>40</v>
      </c>
      <c r="I189" s="21">
        <f t="shared" ca="1" si="10"/>
        <v>39</v>
      </c>
      <c r="J189" s="21">
        <v>3</v>
      </c>
      <c r="K189" s="25" t="str">
        <f t="shared" ca="1" si="11"/>
        <v>Activo</v>
      </c>
      <c r="L189" s="25" t="s">
        <v>49</v>
      </c>
      <c r="M189" s="25" t="s">
        <v>49</v>
      </c>
      <c r="N189" s="25" t="s">
        <v>49</v>
      </c>
      <c r="O189" s="25" t="s">
        <v>204</v>
      </c>
      <c r="P189" s="25" t="s">
        <v>22</v>
      </c>
      <c r="Q189" s="34">
        <v>365</v>
      </c>
      <c r="R189" s="25" t="s">
        <v>64</v>
      </c>
      <c r="S189" s="28">
        <v>46198</v>
      </c>
      <c r="T189" s="28">
        <f t="shared" si="12"/>
        <v>46563</v>
      </c>
      <c r="U189" s="25">
        <f t="shared" ca="1" si="13"/>
        <v>302</v>
      </c>
      <c r="V189" s="25" t="str">
        <f t="shared" ca="1" si="14"/>
        <v>AL DÍA</v>
      </c>
      <c r="W189" s="25" t="s">
        <v>24</v>
      </c>
      <c r="X189" s="25" t="s">
        <v>271</v>
      </c>
      <c r="Y189" s="25">
        <v>2</v>
      </c>
      <c r="Z189" s="1" t="s">
        <v>283</v>
      </c>
    </row>
    <row r="190" spans="1:26" ht="14.25" hidden="1" customHeight="1" x14ac:dyDescent="0.15">
      <c r="A190" s="24" t="s">
        <v>296</v>
      </c>
      <c r="B190" s="24" t="s">
        <v>156</v>
      </c>
      <c r="C190" s="26" t="s">
        <v>160</v>
      </c>
      <c r="D190" s="24" t="s">
        <v>16</v>
      </c>
      <c r="E190" s="24" t="s">
        <v>453</v>
      </c>
      <c r="F190" s="24" t="s">
        <v>161</v>
      </c>
      <c r="G190" s="21">
        <v>1987</v>
      </c>
      <c r="H190" s="21">
        <v>40</v>
      </c>
      <c r="I190" s="21">
        <f t="shared" ca="1" si="10"/>
        <v>39</v>
      </c>
      <c r="J190" s="21">
        <v>3</v>
      </c>
      <c r="K190" s="25" t="str">
        <f t="shared" ca="1" si="11"/>
        <v>Activo</v>
      </c>
      <c r="L190" s="25" t="s">
        <v>49</v>
      </c>
      <c r="M190" s="25" t="s">
        <v>49</v>
      </c>
      <c r="N190" s="25" t="s">
        <v>49</v>
      </c>
      <c r="O190" s="25" t="s">
        <v>204</v>
      </c>
      <c r="P190" s="25" t="s">
        <v>22</v>
      </c>
      <c r="Q190" s="34">
        <v>365</v>
      </c>
      <c r="R190" s="25" t="s">
        <v>64</v>
      </c>
      <c r="S190" s="28">
        <v>46198</v>
      </c>
      <c r="T190" s="28">
        <f t="shared" si="12"/>
        <v>46563</v>
      </c>
      <c r="U190" s="25">
        <f t="shared" ca="1" si="13"/>
        <v>302</v>
      </c>
      <c r="V190" s="25" t="str">
        <f t="shared" ca="1" si="14"/>
        <v>AL DÍA</v>
      </c>
      <c r="W190" s="25" t="s">
        <v>24</v>
      </c>
      <c r="X190" s="25" t="s">
        <v>271</v>
      </c>
      <c r="Y190" s="25">
        <v>2</v>
      </c>
      <c r="Z190" s="1" t="s">
        <v>283</v>
      </c>
    </row>
    <row r="191" spans="1:26" ht="14.25" hidden="1" customHeight="1" x14ac:dyDescent="0.15">
      <c r="A191" s="24" t="s">
        <v>296</v>
      </c>
      <c r="B191" s="24" t="s">
        <v>156</v>
      </c>
      <c r="C191" s="26" t="s">
        <v>163</v>
      </c>
      <c r="D191" s="24" t="s">
        <v>16</v>
      </c>
      <c r="E191" s="24" t="s">
        <v>453</v>
      </c>
      <c r="F191" s="24" t="s">
        <v>162</v>
      </c>
      <c r="G191" s="21">
        <v>2019</v>
      </c>
      <c r="H191" s="21">
        <v>40</v>
      </c>
      <c r="I191" s="21">
        <f t="shared" ca="1" si="10"/>
        <v>7</v>
      </c>
      <c r="J191" s="21">
        <v>3</v>
      </c>
      <c r="K191" s="25" t="str">
        <f t="shared" ca="1" si="11"/>
        <v>Activo</v>
      </c>
      <c r="L191" s="25" t="s">
        <v>49</v>
      </c>
      <c r="M191" s="25" t="s">
        <v>49</v>
      </c>
      <c r="N191" s="25" t="s">
        <v>49</v>
      </c>
      <c r="O191" s="26" t="s">
        <v>202</v>
      </c>
      <c r="P191" s="26" t="s">
        <v>22</v>
      </c>
      <c r="Q191" s="34">
        <v>365</v>
      </c>
      <c r="R191" s="25" t="s">
        <v>64</v>
      </c>
      <c r="S191" s="28">
        <v>46198</v>
      </c>
      <c r="T191" s="28">
        <f t="shared" si="12"/>
        <v>46563</v>
      </c>
      <c r="U191" s="25">
        <f t="shared" ca="1" si="13"/>
        <v>302</v>
      </c>
      <c r="V191" s="25" t="str">
        <f t="shared" ca="1" si="14"/>
        <v>AL DÍA</v>
      </c>
      <c r="W191" s="25" t="s">
        <v>24</v>
      </c>
      <c r="X191" s="25" t="s">
        <v>271</v>
      </c>
      <c r="Y191" s="25">
        <v>2</v>
      </c>
      <c r="Z191" s="1" t="s">
        <v>283</v>
      </c>
    </row>
    <row r="192" spans="1:26" ht="14.25" hidden="1" customHeight="1" x14ac:dyDescent="0.15">
      <c r="A192" s="24" t="s">
        <v>296</v>
      </c>
      <c r="B192" s="24" t="s">
        <v>156</v>
      </c>
      <c r="C192" s="26" t="s">
        <v>165</v>
      </c>
      <c r="D192" s="24" t="s">
        <v>16</v>
      </c>
      <c r="E192" s="24" t="s">
        <v>453</v>
      </c>
      <c r="F192" s="24" t="s">
        <v>164</v>
      </c>
      <c r="G192" s="21">
        <v>2026</v>
      </c>
      <c r="H192" s="21">
        <v>40</v>
      </c>
      <c r="I192" s="21">
        <f t="shared" ca="1" si="10"/>
        <v>0</v>
      </c>
      <c r="J192" s="21">
        <v>3</v>
      </c>
      <c r="K192" s="25" t="str">
        <f t="shared" ca="1" si="11"/>
        <v>Activo</v>
      </c>
      <c r="L192" s="25" t="s">
        <v>49</v>
      </c>
      <c r="M192" s="25" t="s">
        <v>49</v>
      </c>
      <c r="N192" s="25" t="s">
        <v>49</v>
      </c>
      <c r="O192" s="25" t="s">
        <v>204</v>
      </c>
      <c r="P192" s="25" t="s">
        <v>22</v>
      </c>
      <c r="Q192" s="32">
        <v>365</v>
      </c>
      <c r="R192" s="25" t="s">
        <v>64</v>
      </c>
      <c r="S192" s="28">
        <v>46198</v>
      </c>
      <c r="T192" s="28">
        <f t="shared" si="12"/>
        <v>46563</v>
      </c>
      <c r="U192" s="25">
        <f t="shared" ca="1" si="13"/>
        <v>302</v>
      </c>
      <c r="V192" s="25" t="str">
        <f t="shared" ca="1" si="14"/>
        <v>AL DÍA</v>
      </c>
      <c r="W192" s="25" t="s">
        <v>24</v>
      </c>
      <c r="X192" s="25" t="s">
        <v>271</v>
      </c>
      <c r="Y192" s="25">
        <v>2</v>
      </c>
      <c r="Z192" s="1" t="s">
        <v>283</v>
      </c>
    </row>
    <row r="193" spans="1:27" ht="14.25" hidden="1" customHeight="1" x14ac:dyDescent="0.15">
      <c r="A193" s="24" t="s">
        <v>296</v>
      </c>
      <c r="B193" s="24" t="s">
        <v>156</v>
      </c>
      <c r="C193" s="26" t="s">
        <v>166</v>
      </c>
      <c r="D193" s="24" t="s">
        <v>16</v>
      </c>
      <c r="E193" s="24" t="s">
        <v>451</v>
      </c>
      <c r="F193" s="24" t="s">
        <v>115</v>
      </c>
      <c r="G193" s="21">
        <v>2024</v>
      </c>
      <c r="H193" s="21">
        <v>25</v>
      </c>
      <c r="I193" s="21">
        <f t="shared" ca="1" si="10"/>
        <v>2</v>
      </c>
      <c r="J193" s="21">
        <v>3</v>
      </c>
      <c r="K193" s="25" t="str">
        <f t="shared" ca="1" si="11"/>
        <v>Activo</v>
      </c>
      <c r="O193" s="25" t="s">
        <v>167</v>
      </c>
      <c r="P193" s="25" t="s">
        <v>117</v>
      </c>
      <c r="Q193" s="32">
        <v>180</v>
      </c>
      <c r="R193" s="25" t="s">
        <v>23</v>
      </c>
      <c r="S193" s="28">
        <v>46198</v>
      </c>
      <c r="T193" s="28">
        <f t="shared" si="12"/>
        <v>46378</v>
      </c>
      <c r="U193" s="25">
        <f t="shared" ca="1" si="13"/>
        <v>117</v>
      </c>
      <c r="V193" s="25" t="str">
        <f t="shared" ca="1" si="14"/>
        <v>AL DÍA</v>
      </c>
      <c r="W193" s="25" t="s">
        <v>24</v>
      </c>
      <c r="X193" s="25" t="s">
        <v>271</v>
      </c>
      <c r="Y193" s="32">
        <v>2</v>
      </c>
      <c r="Z193" s="1" t="s">
        <v>272</v>
      </c>
    </row>
    <row r="194" spans="1:27" ht="14.25" hidden="1" customHeight="1" x14ac:dyDescent="0.15">
      <c r="A194" s="24" t="s">
        <v>296</v>
      </c>
      <c r="B194" s="24" t="s">
        <v>88</v>
      </c>
      <c r="C194" s="26" t="s">
        <v>146</v>
      </c>
      <c r="D194" s="24" t="s">
        <v>16</v>
      </c>
      <c r="E194" s="24" t="s">
        <v>451</v>
      </c>
      <c r="F194" s="24" t="s">
        <v>93</v>
      </c>
      <c r="G194" s="71"/>
      <c r="H194" s="21">
        <v>20</v>
      </c>
      <c r="I194" s="21">
        <f t="shared" ref="I194:I257" ca="1" si="15">YEAR(TODAY())-G194</f>
        <v>2026</v>
      </c>
      <c r="J194" s="21">
        <v>3</v>
      </c>
      <c r="K194" s="25" t="str">
        <f t="shared" ref="K194:K257" ca="1" si="16">IF(J194=1,"Cambiar",IF(J194=2,"Presupuestar",IF(H194=0,"Activo",IF(G194+H194&lt;YEAR(TODAY()),"Cambiar o Inspección externa",IF(G194+H194-1&lt;YEAR(TODAY()),"Presupuestar","Activo")))))</f>
        <v>Cambiar o Inspección externa</v>
      </c>
      <c r="L194" s="25" t="s">
        <v>142</v>
      </c>
      <c r="P194" s="25" t="s">
        <v>22</v>
      </c>
      <c r="Q194" s="32">
        <v>365</v>
      </c>
      <c r="R194" s="25" t="s">
        <v>69</v>
      </c>
      <c r="S194" s="28">
        <v>46198</v>
      </c>
      <c r="T194" s="28">
        <f t="shared" ref="T194:T257" si="17">+S194+Q194</f>
        <v>46563</v>
      </c>
      <c r="U194" s="25">
        <f t="shared" ref="U194:U257" ca="1" si="18">T194-TODAY()</f>
        <v>302</v>
      </c>
      <c r="V194" s="25" t="str">
        <f t="shared" ref="V194:V257" ca="1" si="19">IF(U194&lt;0, "VENCIDO", "AL DÍA")</f>
        <v>AL DÍA</v>
      </c>
      <c r="W194" s="25" t="s">
        <v>24</v>
      </c>
      <c r="X194" s="25" t="s">
        <v>262</v>
      </c>
      <c r="Y194" s="25">
        <v>1</v>
      </c>
      <c r="Z194" s="1" t="s">
        <v>265</v>
      </c>
    </row>
    <row r="195" spans="1:27" ht="14.25" hidden="1" customHeight="1" x14ac:dyDescent="0.15">
      <c r="A195" s="24" t="s">
        <v>296</v>
      </c>
      <c r="B195" s="24" t="s">
        <v>168</v>
      </c>
      <c r="C195" s="26" t="s">
        <v>169</v>
      </c>
      <c r="D195" s="24" t="s">
        <v>16</v>
      </c>
      <c r="E195" s="24" t="s">
        <v>453</v>
      </c>
      <c r="F195" s="24" t="s">
        <v>206</v>
      </c>
      <c r="G195" s="21">
        <v>1987</v>
      </c>
      <c r="H195" s="21">
        <v>40</v>
      </c>
      <c r="I195" s="21">
        <f t="shared" ca="1" si="15"/>
        <v>39</v>
      </c>
      <c r="J195" s="21">
        <v>3</v>
      </c>
      <c r="K195" s="25" t="str">
        <f t="shared" ca="1" si="16"/>
        <v>Activo</v>
      </c>
      <c r="L195" s="25" t="s">
        <v>49</v>
      </c>
      <c r="M195" s="25" t="s">
        <v>49</v>
      </c>
      <c r="N195" s="25" t="s">
        <v>49</v>
      </c>
      <c r="O195" s="25" t="s">
        <v>202</v>
      </c>
      <c r="P195" s="26" t="s">
        <v>22</v>
      </c>
      <c r="Q195" s="34">
        <v>365</v>
      </c>
      <c r="R195" s="25" t="s">
        <v>64</v>
      </c>
      <c r="S195" s="28">
        <v>46198</v>
      </c>
      <c r="T195" s="28">
        <f t="shared" si="17"/>
        <v>46563</v>
      </c>
      <c r="U195" s="25">
        <f t="shared" ca="1" si="18"/>
        <v>302</v>
      </c>
      <c r="V195" s="25" t="str">
        <f t="shared" ca="1" si="19"/>
        <v>AL DÍA</v>
      </c>
      <c r="W195" s="25" t="s">
        <v>24</v>
      </c>
      <c r="X195" s="25" t="s">
        <v>271</v>
      </c>
      <c r="Y195" s="25">
        <v>2</v>
      </c>
      <c r="Z195" s="1" t="s">
        <v>283</v>
      </c>
    </row>
    <row r="196" spans="1:27" ht="14.25" hidden="1" customHeight="1" x14ac:dyDescent="0.15">
      <c r="A196" s="24" t="s">
        <v>296</v>
      </c>
      <c r="B196" s="24" t="s">
        <v>168</v>
      </c>
      <c r="C196" s="26" t="s">
        <v>169</v>
      </c>
      <c r="D196" s="24" t="s">
        <v>16</v>
      </c>
      <c r="E196" s="24" t="s">
        <v>453</v>
      </c>
      <c r="F196" s="24" t="s">
        <v>205</v>
      </c>
      <c r="G196" s="21">
        <v>2016</v>
      </c>
      <c r="H196" s="21">
        <v>40</v>
      </c>
      <c r="I196" s="21">
        <f t="shared" ca="1" si="15"/>
        <v>10</v>
      </c>
      <c r="J196" s="21">
        <v>3</v>
      </c>
      <c r="K196" s="25" t="str">
        <f t="shared" ca="1" si="16"/>
        <v>Activo</v>
      </c>
      <c r="L196" s="25" t="s">
        <v>49</v>
      </c>
      <c r="M196" s="25" t="s">
        <v>49</v>
      </c>
      <c r="N196" s="25" t="s">
        <v>49</v>
      </c>
      <c r="O196" s="25" t="s">
        <v>207</v>
      </c>
      <c r="P196" s="25" t="s">
        <v>22</v>
      </c>
      <c r="Q196" s="34">
        <v>365</v>
      </c>
      <c r="R196" s="25" t="s">
        <v>64</v>
      </c>
      <c r="S196" s="28">
        <v>46198</v>
      </c>
      <c r="T196" s="28">
        <f t="shared" si="17"/>
        <v>46563</v>
      </c>
      <c r="U196" s="25">
        <f t="shared" ca="1" si="18"/>
        <v>302</v>
      </c>
      <c r="V196" s="25" t="str">
        <f t="shared" ca="1" si="19"/>
        <v>AL DÍA</v>
      </c>
      <c r="W196" s="25" t="s">
        <v>24</v>
      </c>
      <c r="X196" s="25" t="s">
        <v>271</v>
      </c>
      <c r="Y196" s="25">
        <v>2</v>
      </c>
      <c r="Z196" s="1" t="s">
        <v>283</v>
      </c>
    </row>
    <row r="197" spans="1:27" ht="14.25" hidden="1" customHeight="1" x14ac:dyDescent="0.15">
      <c r="A197" s="24" t="s">
        <v>296</v>
      </c>
      <c r="B197" s="24" t="s">
        <v>168</v>
      </c>
      <c r="C197" s="26" t="s">
        <v>170</v>
      </c>
      <c r="D197" s="24" t="s">
        <v>16</v>
      </c>
      <c r="E197" s="24" t="s">
        <v>453</v>
      </c>
      <c r="F197" s="24" t="s">
        <v>208</v>
      </c>
      <c r="G197" s="21">
        <v>2015</v>
      </c>
      <c r="H197" s="21">
        <v>40</v>
      </c>
      <c r="I197" s="21">
        <f t="shared" ca="1" si="15"/>
        <v>11</v>
      </c>
      <c r="J197" s="21">
        <v>3</v>
      </c>
      <c r="K197" s="25" t="str">
        <f t="shared" ca="1" si="16"/>
        <v>Activo</v>
      </c>
      <c r="L197" s="25" t="s">
        <v>49</v>
      </c>
      <c r="M197" s="25" t="s">
        <v>49</v>
      </c>
      <c r="N197" s="25" t="s">
        <v>49</v>
      </c>
      <c r="O197" s="25" t="s">
        <v>204</v>
      </c>
      <c r="P197" s="25" t="s">
        <v>22</v>
      </c>
      <c r="Q197" s="34">
        <v>365</v>
      </c>
      <c r="R197" s="25" t="s">
        <v>64</v>
      </c>
      <c r="S197" s="28">
        <v>46198</v>
      </c>
      <c r="T197" s="28">
        <f t="shared" si="17"/>
        <v>46563</v>
      </c>
      <c r="U197" s="25">
        <f t="shared" ca="1" si="18"/>
        <v>302</v>
      </c>
      <c r="V197" s="25" t="str">
        <f t="shared" ca="1" si="19"/>
        <v>AL DÍA</v>
      </c>
      <c r="W197" s="25" t="s">
        <v>24</v>
      </c>
      <c r="X197" s="25" t="s">
        <v>271</v>
      </c>
      <c r="Y197" s="25">
        <v>2</v>
      </c>
      <c r="Z197" s="1" t="s">
        <v>283</v>
      </c>
    </row>
    <row r="198" spans="1:27" ht="14.25" hidden="1" customHeight="1" x14ac:dyDescent="0.15">
      <c r="A198" s="24" t="s">
        <v>296</v>
      </c>
      <c r="B198" s="24" t="s">
        <v>168</v>
      </c>
      <c r="C198" s="26" t="s">
        <v>171</v>
      </c>
      <c r="D198" s="24" t="s">
        <v>16</v>
      </c>
      <c r="E198" s="24" t="s">
        <v>453</v>
      </c>
      <c r="F198" s="24" t="s">
        <v>209</v>
      </c>
      <c r="G198" s="21">
        <v>2015</v>
      </c>
      <c r="H198" s="21">
        <v>40</v>
      </c>
      <c r="I198" s="21">
        <f t="shared" ca="1" si="15"/>
        <v>11</v>
      </c>
      <c r="J198" s="21">
        <v>3</v>
      </c>
      <c r="K198" s="25" t="str">
        <f t="shared" ca="1" si="16"/>
        <v>Activo</v>
      </c>
      <c r="L198" s="25" t="s">
        <v>49</v>
      </c>
      <c r="M198" s="25" t="s">
        <v>49</v>
      </c>
      <c r="N198" s="25" t="s">
        <v>49</v>
      </c>
      <c r="O198" s="26" t="s">
        <v>207</v>
      </c>
      <c r="P198" s="26" t="s">
        <v>22</v>
      </c>
      <c r="Q198" s="34">
        <v>365</v>
      </c>
      <c r="R198" s="25" t="s">
        <v>64</v>
      </c>
      <c r="S198" s="28">
        <v>46198</v>
      </c>
      <c r="T198" s="28">
        <f t="shared" si="17"/>
        <v>46563</v>
      </c>
      <c r="U198" s="25">
        <f t="shared" ca="1" si="18"/>
        <v>302</v>
      </c>
      <c r="V198" s="25" t="str">
        <f t="shared" ca="1" si="19"/>
        <v>AL DÍA</v>
      </c>
      <c r="W198" s="25" t="s">
        <v>24</v>
      </c>
      <c r="X198" s="25" t="s">
        <v>271</v>
      </c>
      <c r="Y198" s="25">
        <v>2</v>
      </c>
      <c r="Z198" s="1" t="s">
        <v>283</v>
      </c>
    </row>
    <row r="199" spans="1:27" ht="14.25" hidden="1" customHeight="1" x14ac:dyDescent="0.15">
      <c r="A199" s="24" t="s">
        <v>296</v>
      </c>
      <c r="B199" s="24" t="s">
        <v>168</v>
      </c>
      <c r="C199" s="26" t="s">
        <v>173</v>
      </c>
      <c r="D199" s="24" t="s">
        <v>16</v>
      </c>
      <c r="E199" s="24" t="s">
        <v>453</v>
      </c>
      <c r="F199" s="24" t="s">
        <v>172</v>
      </c>
      <c r="G199" s="21">
        <v>2015</v>
      </c>
      <c r="H199" s="21">
        <v>40</v>
      </c>
      <c r="I199" s="21">
        <f t="shared" ca="1" si="15"/>
        <v>11</v>
      </c>
      <c r="J199" s="21">
        <v>3</v>
      </c>
      <c r="K199" s="25" t="str">
        <f t="shared" ca="1" si="16"/>
        <v>Activo</v>
      </c>
      <c r="L199" s="25" t="s">
        <v>49</v>
      </c>
      <c r="M199" s="25" t="s">
        <v>49</v>
      </c>
      <c r="N199" s="25" t="s">
        <v>49</v>
      </c>
      <c r="P199" s="25" t="s">
        <v>22</v>
      </c>
      <c r="Q199" s="34">
        <v>365</v>
      </c>
      <c r="R199" s="25" t="s">
        <v>64</v>
      </c>
      <c r="S199" s="28">
        <v>46198</v>
      </c>
      <c r="T199" s="28">
        <f t="shared" si="17"/>
        <v>46563</v>
      </c>
      <c r="U199" s="25">
        <f t="shared" ca="1" si="18"/>
        <v>302</v>
      </c>
      <c r="V199" s="25" t="str">
        <f t="shared" ca="1" si="19"/>
        <v>AL DÍA</v>
      </c>
      <c r="W199" s="25" t="s">
        <v>24</v>
      </c>
      <c r="X199" s="25" t="s">
        <v>271</v>
      </c>
      <c r="Y199" s="25">
        <v>2</v>
      </c>
      <c r="Z199" s="1" t="s">
        <v>283</v>
      </c>
    </row>
    <row r="200" spans="1:27" ht="14.25" hidden="1" customHeight="1" x14ac:dyDescent="0.15">
      <c r="A200" s="24" t="s">
        <v>296</v>
      </c>
      <c r="B200" s="24" t="s">
        <v>168</v>
      </c>
      <c r="C200" s="26" t="s">
        <v>174</v>
      </c>
      <c r="D200" s="24" t="s">
        <v>16</v>
      </c>
      <c r="E200" s="24" t="s">
        <v>451</v>
      </c>
      <c r="F200" s="24" t="s">
        <v>115</v>
      </c>
      <c r="G200" s="21">
        <v>2024</v>
      </c>
      <c r="H200" s="21">
        <v>25</v>
      </c>
      <c r="I200" s="21">
        <f t="shared" ca="1" si="15"/>
        <v>2</v>
      </c>
      <c r="J200" s="21">
        <v>3</v>
      </c>
      <c r="K200" s="25" t="str">
        <f t="shared" ca="1" si="16"/>
        <v>Activo</v>
      </c>
      <c r="O200" s="25" t="s">
        <v>295</v>
      </c>
      <c r="P200" s="25" t="s">
        <v>117</v>
      </c>
      <c r="Q200" s="32">
        <v>180</v>
      </c>
      <c r="R200" s="25" t="s">
        <v>23</v>
      </c>
      <c r="S200" s="28">
        <v>46198</v>
      </c>
      <c r="T200" s="28">
        <f t="shared" si="17"/>
        <v>46378</v>
      </c>
      <c r="U200" s="25">
        <f t="shared" ca="1" si="18"/>
        <v>117</v>
      </c>
      <c r="V200" s="25" t="str">
        <f t="shared" ca="1" si="19"/>
        <v>AL DÍA</v>
      </c>
      <c r="W200" s="25" t="s">
        <v>24</v>
      </c>
      <c r="X200" s="25" t="s">
        <v>271</v>
      </c>
      <c r="Y200" s="32">
        <v>2</v>
      </c>
      <c r="Z200" s="1" t="s">
        <v>272</v>
      </c>
    </row>
    <row r="201" spans="1:27" ht="14.25" hidden="1" customHeight="1" x14ac:dyDescent="0.15">
      <c r="A201" s="24" t="s">
        <v>296</v>
      </c>
      <c r="B201" s="24" t="s">
        <v>168</v>
      </c>
      <c r="C201" s="26" t="s">
        <v>175</v>
      </c>
      <c r="D201" s="24" t="s">
        <v>16</v>
      </c>
      <c r="E201" s="24" t="s">
        <v>451</v>
      </c>
      <c r="F201" s="24" t="s">
        <v>115</v>
      </c>
      <c r="G201" s="21">
        <v>2024</v>
      </c>
      <c r="H201" s="21">
        <v>25</v>
      </c>
      <c r="I201" s="21">
        <f t="shared" ca="1" si="15"/>
        <v>2</v>
      </c>
      <c r="J201" s="21">
        <v>3</v>
      </c>
      <c r="K201" s="25" t="str">
        <f t="shared" ca="1" si="16"/>
        <v>Activo</v>
      </c>
      <c r="O201" s="25" t="s">
        <v>294</v>
      </c>
      <c r="P201" s="25" t="s">
        <v>117</v>
      </c>
      <c r="Q201" s="32">
        <v>180</v>
      </c>
      <c r="R201" s="25" t="s">
        <v>23</v>
      </c>
      <c r="S201" s="28">
        <v>46198</v>
      </c>
      <c r="T201" s="28">
        <f t="shared" si="17"/>
        <v>46378</v>
      </c>
      <c r="U201" s="25">
        <f t="shared" ca="1" si="18"/>
        <v>117</v>
      </c>
      <c r="V201" s="25" t="str">
        <f t="shared" ca="1" si="19"/>
        <v>AL DÍA</v>
      </c>
      <c r="W201" s="25" t="s">
        <v>24</v>
      </c>
      <c r="X201" s="25" t="s">
        <v>271</v>
      </c>
      <c r="Y201" s="32">
        <v>2</v>
      </c>
      <c r="Z201" s="1" t="s">
        <v>272</v>
      </c>
    </row>
    <row r="202" spans="1:27" ht="14.25" hidden="1" customHeight="1" x14ac:dyDescent="0.15">
      <c r="A202" s="24" t="s">
        <v>296</v>
      </c>
      <c r="B202" s="24" t="s">
        <v>168</v>
      </c>
      <c r="C202" s="26" t="s">
        <v>176</v>
      </c>
      <c r="D202" s="24" t="s">
        <v>16</v>
      </c>
      <c r="E202" s="24" t="s">
        <v>451</v>
      </c>
      <c r="F202" s="24" t="s">
        <v>115</v>
      </c>
      <c r="G202" s="21">
        <v>2024</v>
      </c>
      <c r="H202" s="21">
        <v>25</v>
      </c>
      <c r="I202" s="21">
        <f t="shared" ca="1" si="15"/>
        <v>2</v>
      </c>
      <c r="J202" s="21">
        <v>3</v>
      </c>
      <c r="K202" s="25" t="str">
        <f t="shared" ca="1" si="16"/>
        <v>Activo</v>
      </c>
      <c r="O202" s="25" t="s">
        <v>294</v>
      </c>
      <c r="P202" s="26" t="s">
        <v>117</v>
      </c>
      <c r="Q202" s="34">
        <v>180</v>
      </c>
      <c r="R202" s="25" t="s">
        <v>23</v>
      </c>
      <c r="S202" s="28">
        <v>46198</v>
      </c>
      <c r="T202" s="28">
        <f t="shared" si="17"/>
        <v>46378</v>
      </c>
      <c r="U202" s="25">
        <f t="shared" ca="1" si="18"/>
        <v>117</v>
      </c>
      <c r="V202" s="25" t="str">
        <f t="shared" ca="1" si="19"/>
        <v>AL DÍA</v>
      </c>
      <c r="W202" s="25" t="s">
        <v>24</v>
      </c>
      <c r="X202" s="25" t="s">
        <v>271</v>
      </c>
      <c r="Y202" s="32">
        <v>2</v>
      </c>
      <c r="Z202" s="1" t="s">
        <v>272</v>
      </c>
    </row>
    <row r="203" spans="1:27" ht="14.25" hidden="1" customHeight="1" x14ac:dyDescent="0.15">
      <c r="A203" s="24" t="s">
        <v>296</v>
      </c>
      <c r="B203" s="24" t="s">
        <v>168</v>
      </c>
      <c r="C203" s="26" t="s">
        <v>177</v>
      </c>
      <c r="D203" s="24" t="s">
        <v>16</v>
      </c>
      <c r="E203" s="24" t="s">
        <v>451</v>
      </c>
      <c r="F203" s="24" t="s">
        <v>115</v>
      </c>
      <c r="G203" s="21">
        <v>2024</v>
      </c>
      <c r="H203" s="21">
        <v>25</v>
      </c>
      <c r="I203" s="21">
        <f t="shared" ca="1" si="15"/>
        <v>2</v>
      </c>
      <c r="J203" s="21">
        <v>3</v>
      </c>
      <c r="K203" s="25" t="str">
        <f t="shared" ca="1" si="16"/>
        <v>Activo</v>
      </c>
      <c r="O203" s="25" t="s">
        <v>294</v>
      </c>
      <c r="P203" s="25" t="s">
        <v>117</v>
      </c>
      <c r="Q203" s="32">
        <v>180</v>
      </c>
      <c r="R203" s="25" t="s">
        <v>23</v>
      </c>
      <c r="S203" s="28">
        <v>46198</v>
      </c>
      <c r="T203" s="28">
        <f t="shared" si="17"/>
        <v>46378</v>
      </c>
      <c r="U203" s="25">
        <f t="shared" ca="1" si="18"/>
        <v>117</v>
      </c>
      <c r="V203" s="25" t="str">
        <f t="shared" ca="1" si="19"/>
        <v>AL DÍA</v>
      </c>
      <c r="W203" s="25" t="s">
        <v>24</v>
      </c>
      <c r="X203" s="25" t="s">
        <v>271</v>
      </c>
      <c r="Y203" s="32">
        <v>2</v>
      </c>
      <c r="Z203" s="1" t="s">
        <v>272</v>
      </c>
    </row>
    <row r="204" spans="1:27" ht="14.25" hidden="1" customHeight="1" x14ac:dyDescent="0.15">
      <c r="A204" s="24" t="s">
        <v>296</v>
      </c>
      <c r="B204" s="24" t="s">
        <v>168</v>
      </c>
      <c r="C204" s="26" t="s">
        <v>178</v>
      </c>
      <c r="D204" s="24" t="s">
        <v>16</v>
      </c>
      <c r="E204" s="24" t="s">
        <v>451</v>
      </c>
      <c r="F204" s="24" t="s">
        <v>115</v>
      </c>
      <c r="G204" s="21">
        <v>2019</v>
      </c>
      <c r="H204" s="21">
        <v>25</v>
      </c>
      <c r="I204" s="21">
        <f t="shared" ca="1" si="15"/>
        <v>7</v>
      </c>
      <c r="J204" s="21">
        <v>3</v>
      </c>
      <c r="K204" s="25" t="str">
        <f t="shared" ca="1" si="16"/>
        <v>Activo</v>
      </c>
      <c r="O204" s="25" t="s">
        <v>295</v>
      </c>
      <c r="P204" s="25" t="s">
        <v>117</v>
      </c>
      <c r="Q204" s="32">
        <v>180</v>
      </c>
      <c r="R204" s="25" t="s">
        <v>23</v>
      </c>
      <c r="S204" s="28">
        <v>46198</v>
      </c>
      <c r="T204" s="28">
        <f t="shared" si="17"/>
        <v>46378</v>
      </c>
      <c r="U204" s="25">
        <f t="shared" ca="1" si="18"/>
        <v>117</v>
      </c>
      <c r="V204" s="25" t="str">
        <f t="shared" ca="1" si="19"/>
        <v>AL DÍA</v>
      </c>
      <c r="W204" s="25" t="s">
        <v>24</v>
      </c>
      <c r="X204" s="25" t="s">
        <v>271</v>
      </c>
      <c r="Y204" s="32">
        <v>2</v>
      </c>
      <c r="Z204" s="1" t="s">
        <v>272</v>
      </c>
      <c r="AA204" s="1" t="s">
        <v>111</v>
      </c>
    </row>
    <row r="205" spans="1:27" ht="14.25" hidden="1" customHeight="1" x14ac:dyDescent="0.15">
      <c r="A205" s="24" t="s">
        <v>296</v>
      </c>
      <c r="B205" s="24" t="s">
        <v>168</v>
      </c>
      <c r="C205" s="26" t="s">
        <v>180</v>
      </c>
      <c r="D205" s="24" t="s">
        <v>65</v>
      </c>
      <c r="E205" s="24" t="s">
        <v>449</v>
      </c>
      <c r="F205" s="24" t="s">
        <v>179</v>
      </c>
      <c r="G205" s="21">
        <v>2014</v>
      </c>
      <c r="H205" s="21">
        <v>0</v>
      </c>
      <c r="I205" s="21">
        <f t="shared" ca="1" si="15"/>
        <v>12</v>
      </c>
      <c r="J205" s="21">
        <v>3</v>
      </c>
      <c r="K205" s="25" t="str">
        <f t="shared" ca="1" si="16"/>
        <v>Activo</v>
      </c>
      <c r="L205" s="25" t="s">
        <v>49</v>
      </c>
      <c r="M205" s="25" t="s">
        <v>49</v>
      </c>
      <c r="N205" s="25" t="s">
        <v>49</v>
      </c>
      <c r="O205" s="26"/>
      <c r="P205" s="26" t="s">
        <v>138</v>
      </c>
      <c r="Q205" s="34">
        <v>30</v>
      </c>
      <c r="R205" s="25" t="s">
        <v>69</v>
      </c>
      <c r="S205" s="30">
        <v>46228</v>
      </c>
      <c r="T205" s="28">
        <f t="shared" si="17"/>
        <v>46258</v>
      </c>
      <c r="U205" s="25">
        <f t="shared" ca="1" si="18"/>
        <v>-3</v>
      </c>
      <c r="V205" s="25" t="str">
        <f t="shared" ca="1" si="19"/>
        <v>VENCIDO</v>
      </c>
      <c r="W205" s="25" t="s">
        <v>24</v>
      </c>
      <c r="X205" s="25" t="s">
        <v>267</v>
      </c>
      <c r="Y205" s="25">
        <v>1</v>
      </c>
    </row>
    <row r="206" spans="1:27" ht="14.25" hidden="1" customHeight="1" x14ac:dyDescent="0.15">
      <c r="A206" s="24" t="s">
        <v>296</v>
      </c>
      <c r="B206" s="24" t="s">
        <v>168</v>
      </c>
      <c r="C206" s="26" t="s">
        <v>180</v>
      </c>
      <c r="D206" s="24" t="s">
        <v>65</v>
      </c>
      <c r="E206" s="24" t="s">
        <v>449</v>
      </c>
      <c r="F206" s="24" t="s">
        <v>181</v>
      </c>
      <c r="G206" s="21">
        <v>2014</v>
      </c>
      <c r="H206" s="21">
        <v>0</v>
      </c>
      <c r="I206" s="21">
        <f t="shared" ca="1" si="15"/>
        <v>12</v>
      </c>
      <c r="J206" s="21">
        <v>3</v>
      </c>
      <c r="K206" s="25" t="str">
        <f t="shared" ca="1" si="16"/>
        <v>Activo</v>
      </c>
      <c r="L206" s="25" t="s">
        <v>49</v>
      </c>
      <c r="M206" s="25" t="s">
        <v>49</v>
      </c>
      <c r="N206" s="25" t="s">
        <v>49</v>
      </c>
      <c r="P206" s="25" t="s">
        <v>138</v>
      </c>
      <c r="Q206" s="32">
        <v>30</v>
      </c>
      <c r="R206" s="25" t="s">
        <v>69</v>
      </c>
      <c r="S206" s="30">
        <v>46228</v>
      </c>
      <c r="T206" s="28">
        <f t="shared" si="17"/>
        <v>46258</v>
      </c>
      <c r="U206" s="25">
        <f t="shared" ca="1" si="18"/>
        <v>-3</v>
      </c>
      <c r="V206" s="25" t="str">
        <f t="shared" ca="1" si="19"/>
        <v>VENCIDO</v>
      </c>
      <c r="W206" s="25" t="s">
        <v>24</v>
      </c>
      <c r="X206" s="25" t="s">
        <v>267</v>
      </c>
      <c r="Y206" s="25">
        <v>1</v>
      </c>
    </row>
    <row r="207" spans="1:27" ht="14.25" hidden="1" customHeight="1" x14ac:dyDescent="0.15">
      <c r="A207" s="24" t="s">
        <v>296</v>
      </c>
      <c r="B207" s="24" t="s">
        <v>168</v>
      </c>
      <c r="C207" s="26" t="s">
        <v>183</v>
      </c>
      <c r="D207" s="24" t="s">
        <v>65</v>
      </c>
      <c r="E207" s="24" t="s">
        <v>449</v>
      </c>
      <c r="F207" s="24" t="s">
        <v>182</v>
      </c>
      <c r="G207" s="21">
        <v>2014</v>
      </c>
      <c r="H207" s="21">
        <v>0</v>
      </c>
      <c r="I207" s="21">
        <f t="shared" ca="1" si="15"/>
        <v>12</v>
      </c>
      <c r="J207" s="21">
        <v>3</v>
      </c>
      <c r="K207" s="25" t="str">
        <f t="shared" ca="1" si="16"/>
        <v>Activo</v>
      </c>
      <c r="L207" s="25" t="s">
        <v>49</v>
      </c>
      <c r="M207" s="25" t="s">
        <v>49</v>
      </c>
      <c r="N207" s="25" t="s">
        <v>49</v>
      </c>
      <c r="P207" s="25" t="s">
        <v>138</v>
      </c>
      <c r="Q207" s="32">
        <v>30</v>
      </c>
      <c r="R207" s="25" t="s">
        <v>69</v>
      </c>
      <c r="S207" s="30">
        <v>46228</v>
      </c>
      <c r="T207" s="28">
        <f t="shared" si="17"/>
        <v>46258</v>
      </c>
      <c r="U207" s="25">
        <f t="shared" ca="1" si="18"/>
        <v>-3</v>
      </c>
      <c r="V207" s="25" t="str">
        <f t="shared" ca="1" si="19"/>
        <v>VENCIDO</v>
      </c>
      <c r="W207" s="25" t="s">
        <v>24</v>
      </c>
      <c r="X207" s="25" t="s">
        <v>267</v>
      </c>
      <c r="Y207" s="25">
        <v>1</v>
      </c>
    </row>
    <row r="208" spans="1:27" ht="14.25" hidden="1" customHeight="1" x14ac:dyDescent="0.15">
      <c r="A208" s="24" t="s">
        <v>296</v>
      </c>
      <c r="B208" s="24" t="s">
        <v>168</v>
      </c>
      <c r="C208" s="26" t="s">
        <v>183</v>
      </c>
      <c r="D208" s="24" t="s">
        <v>65</v>
      </c>
      <c r="E208" s="24" t="s">
        <v>449</v>
      </c>
      <c r="F208" s="24" t="s">
        <v>184</v>
      </c>
      <c r="G208" s="21">
        <v>2014</v>
      </c>
      <c r="H208" s="21">
        <v>0</v>
      </c>
      <c r="I208" s="21">
        <f t="shared" ca="1" si="15"/>
        <v>12</v>
      </c>
      <c r="J208" s="21">
        <v>3</v>
      </c>
      <c r="K208" s="25" t="str">
        <f t="shared" ca="1" si="16"/>
        <v>Activo</v>
      </c>
      <c r="L208" s="25" t="s">
        <v>49</v>
      </c>
      <c r="M208" s="25" t="s">
        <v>49</v>
      </c>
      <c r="N208" s="25" t="s">
        <v>49</v>
      </c>
      <c r="P208" s="25" t="s">
        <v>138</v>
      </c>
      <c r="Q208" s="32">
        <v>30</v>
      </c>
      <c r="R208" s="25" t="s">
        <v>69</v>
      </c>
      <c r="S208" s="30">
        <v>46228</v>
      </c>
      <c r="T208" s="28">
        <f t="shared" si="17"/>
        <v>46258</v>
      </c>
      <c r="U208" s="25">
        <f t="shared" ca="1" si="18"/>
        <v>-3</v>
      </c>
      <c r="V208" s="25" t="str">
        <f t="shared" ca="1" si="19"/>
        <v>VENCIDO</v>
      </c>
      <c r="W208" s="25" t="s">
        <v>24</v>
      </c>
      <c r="X208" s="25" t="s">
        <v>267</v>
      </c>
      <c r="Y208" s="25">
        <v>1</v>
      </c>
    </row>
    <row r="209" spans="1:26" ht="14.25" hidden="1" customHeight="1" x14ac:dyDescent="0.15">
      <c r="A209" s="24" t="s">
        <v>296</v>
      </c>
      <c r="B209" s="24" t="s">
        <v>168</v>
      </c>
      <c r="C209" s="26" t="s">
        <v>171</v>
      </c>
      <c r="D209" s="24" t="s">
        <v>16</v>
      </c>
      <c r="E209" s="24" t="s">
        <v>451</v>
      </c>
      <c r="F209" s="24" t="s">
        <v>93</v>
      </c>
      <c r="G209" s="71"/>
      <c r="H209" s="21">
        <v>20</v>
      </c>
      <c r="I209" s="21">
        <f t="shared" ca="1" si="15"/>
        <v>2026</v>
      </c>
      <c r="J209" s="21">
        <v>3</v>
      </c>
      <c r="K209" s="25" t="str">
        <f t="shared" ca="1" si="16"/>
        <v>Cambiar o Inspección externa</v>
      </c>
      <c r="L209" s="25" t="s">
        <v>142</v>
      </c>
      <c r="P209" s="26" t="s">
        <v>22</v>
      </c>
      <c r="Q209" s="34">
        <v>365</v>
      </c>
      <c r="R209" s="25" t="s">
        <v>69</v>
      </c>
      <c r="S209" s="28">
        <v>46198</v>
      </c>
      <c r="T209" s="28">
        <f t="shared" si="17"/>
        <v>46563</v>
      </c>
      <c r="U209" s="25">
        <f t="shared" ca="1" si="18"/>
        <v>302</v>
      </c>
      <c r="V209" s="25" t="str">
        <f t="shared" ca="1" si="19"/>
        <v>AL DÍA</v>
      </c>
      <c r="W209" s="25" t="s">
        <v>24</v>
      </c>
      <c r="X209" s="25" t="s">
        <v>262</v>
      </c>
      <c r="Y209" s="25">
        <v>1</v>
      </c>
      <c r="Z209" s="1" t="s">
        <v>265</v>
      </c>
    </row>
    <row r="210" spans="1:26" ht="14.25" hidden="1" customHeight="1" x14ac:dyDescent="0.15">
      <c r="A210" s="24" t="s">
        <v>296</v>
      </c>
      <c r="B210" s="24" t="s">
        <v>168</v>
      </c>
      <c r="C210" s="26" t="s">
        <v>359</v>
      </c>
      <c r="D210" s="24" t="s">
        <v>65</v>
      </c>
      <c r="F210" s="24" t="s">
        <v>218</v>
      </c>
      <c r="G210" s="21">
        <v>2016</v>
      </c>
      <c r="H210" s="21">
        <v>0</v>
      </c>
      <c r="I210" s="21">
        <f t="shared" ca="1" si="15"/>
        <v>10</v>
      </c>
      <c r="J210" s="21">
        <v>3</v>
      </c>
      <c r="K210" s="25" t="str">
        <f t="shared" ca="1" si="16"/>
        <v>Activo</v>
      </c>
      <c r="L210" s="25" t="s">
        <v>49</v>
      </c>
      <c r="O210" s="25" t="s">
        <v>227</v>
      </c>
      <c r="Q210" s="34">
        <v>365</v>
      </c>
      <c r="R210" s="25" t="s">
        <v>64</v>
      </c>
      <c r="S210" s="28">
        <v>46198</v>
      </c>
      <c r="T210" s="28">
        <f t="shared" si="17"/>
        <v>46563</v>
      </c>
      <c r="U210" s="25">
        <f t="shared" ca="1" si="18"/>
        <v>302</v>
      </c>
      <c r="V210" s="25" t="str">
        <f t="shared" ca="1" si="19"/>
        <v>AL DÍA</v>
      </c>
      <c r="W210" s="25" t="s">
        <v>24</v>
      </c>
      <c r="X210" s="25" t="s">
        <v>262</v>
      </c>
      <c r="Y210" s="25">
        <v>2</v>
      </c>
    </row>
    <row r="211" spans="1:26" ht="14.25" hidden="1" customHeight="1" x14ac:dyDescent="0.15">
      <c r="A211" s="24" t="s">
        <v>296</v>
      </c>
      <c r="B211" s="24" t="s">
        <v>168</v>
      </c>
      <c r="C211" s="26" t="s">
        <v>359</v>
      </c>
      <c r="D211" s="24" t="s">
        <v>65</v>
      </c>
      <c r="F211" s="24" t="s">
        <v>220</v>
      </c>
      <c r="G211" s="21">
        <v>2016</v>
      </c>
      <c r="H211" s="21">
        <v>0</v>
      </c>
      <c r="I211" s="21">
        <f t="shared" ca="1" si="15"/>
        <v>10</v>
      </c>
      <c r="J211" s="21">
        <v>3</v>
      </c>
      <c r="K211" s="25" t="str">
        <f t="shared" ca="1" si="16"/>
        <v>Activo</v>
      </c>
      <c r="L211" s="25" t="s">
        <v>49</v>
      </c>
      <c r="O211" s="25" t="s">
        <v>222</v>
      </c>
      <c r="Q211" s="34">
        <v>365</v>
      </c>
      <c r="R211" s="25" t="s">
        <v>64</v>
      </c>
      <c r="S211" s="28">
        <v>46198</v>
      </c>
      <c r="T211" s="28">
        <f t="shared" si="17"/>
        <v>46563</v>
      </c>
      <c r="U211" s="25">
        <f t="shared" ca="1" si="18"/>
        <v>302</v>
      </c>
      <c r="V211" s="25" t="str">
        <f t="shared" ca="1" si="19"/>
        <v>AL DÍA</v>
      </c>
      <c r="W211" s="25" t="s">
        <v>24</v>
      </c>
      <c r="X211" s="25" t="s">
        <v>262</v>
      </c>
      <c r="Y211" s="25">
        <v>2</v>
      </c>
    </row>
    <row r="212" spans="1:26" ht="14.25" hidden="1" customHeight="1" x14ac:dyDescent="0.15">
      <c r="A212" s="24" t="s">
        <v>296</v>
      </c>
      <c r="B212" s="24" t="s">
        <v>168</v>
      </c>
      <c r="C212" s="26" t="s">
        <v>359</v>
      </c>
      <c r="D212" s="24" t="s">
        <v>65</v>
      </c>
      <c r="F212" s="24" t="s">
        <v>215</v>
      </c>
      <c r="G212" s="21">
        <v>2016</v>
      </c>
      <c r="H212" s="21">
        <v>0</v>
      </c>
      <c r="I212" s="21">
        <f t="shared" ca="1" si="15"/>
        <v>10</v>
      </c>
      <c r="J212" s="21">
        <v>3</v>
      </c>
      <c r="K212" s="25" t="str">
        <f t="shared" ca="1" si="16"/>
        <v>Activo</v>
      </c>
      <c r="L212" s="25" t="s">
        <v>49</v>
      </c>
      <c r="M212" s="25" t="s">
        <v>49</v>
      </c>
      <c r="N212" s="25" t="s">
        <v>49</v>
      </c>
      <c r="O212" s="26"/>
      <c r="P212" s="26" t="s">
        <v>22</v>
      </c>
      <c r="Q212" s="34">
        <v>365</v>
      </c>
      <c r="R212" s="25" t="s">
        <v>64</v>
      </c>
      <c r="S212" s="28">
        <v>46198</v>
      </c>
      <c r="T212" s="28">
        <f t="shared" si="17"/>
        <v>46563</v>
      </c>
      <c r="U212" s="25">
        <f t="shared" ca="1" si="18"/>
        <v>302</v>
      </c>
      <c r="V212" s="25" t="str">
        <f t="shared" ca="1" si="19"/>
        <v>AL DÍA</v>
      </c>
      <c r="W212" s="25" t="s">
        <v>24</v>
      </c>
      <c r="X212" s="25" t="s">
        <v>271</v>
      </c>
      <c r="Y212" s="25">
        <v>2</v>
      </c>
    </row>
    <row r="213" spans="1:26" ht="14.25" hidden="1" customHeight="1" x14ac:dyDescent="0.15">
      <c r="A213" s="24" t="s">
        <v>296</v>
      </c>
      <c r="B213" s="24" t="s">
        <v>168</v>
      </c>
      <c r="C213" s="26" t="s">
        <v>359</v>
      </c>
      <c r="D213" s="24" t="s">
        <v>65</v>
      </c>
      <c r="F213" s="24" t="s">
        <v>216</v>
      </c>
      <c r="G213" s="21">
        <v>2016</v>
      </c>
      <c r="H213" s="21">
        <v>0</v>
      </c>
      <c r="I213" s="21">
        <f t="shared" ca="1" si="15"/>
        <v>10</v>
      </c>
      <c r="J213" s="21">
        <v>3</v>
      </c>
      <c r="K213" s="25" t="str">
        <f t="shared" ca="1" si="16"/>
        <v>Activo</v>
      </c>
      <c r="L213" s="25" t="s">
        <v>49</v>
      </c>
      <c r="P213" s="25" t="s">
        <v>22</v>
      </c>
      <c r="Q213" s="32">
        <v>365</v>
      </c>
      <c r="R213" s="25" t="s">
        <v>69</v>
      </c>
      <c r="S213" s="29">
        <v>46198</v>
      </c>
      <c r="T213" s="28">
        <f t="shared" si="17"/>
        <v>46563</v>
      </c>
      <c r="U213" s="25">
        <f t="shared" ca="1" si="18"/>
        <v>302</v>
      </c>
      <c r="V213" s="25" t="str">
        <f t="shared" ca="1" si="19"/>
        <v>AL DÍA</v>
      </c>
      <c r="W213" s="25" t="s">
        <v>24</v>
      </c>
      <c r="X213" s="25" t="s">
        <v>277</v>
      </c>
      <c r="Y213" s="25">
        <v>1</v>
      </c>
    </row>
    <row r="214" spans="1:26" ht="14.25" hidden="1" customHeight="1" x14ac:dyDescent="0.15">
      <c r="A214" s="24" t="s">
        <v>296</v>
      </c>
      <c r="B214" s="24" t="s">
        <v>168</v>
      </c>
      <c r="C214" s="26" t="s">
        <v>359</v>
      </c>
      <c r="D214" s="24" t="s">
        <v>65</v>
      </c>
      <c r="F214" s="24" t="s">
        <v>217</v>
      </c>
      <c r="G214" s="21">
        <v>2016</v>
      </c>
      <c r="H214" s="21">
        <v>0</v>
      </c>
      <c r="I214" s="21">
        <f t="shared" ca="1" si="15"/>
        <v>10</v>
      </c>
      <c r="J214" s="21">
        <v>3</v>
      </c>
      <c r="K214" s="25" t="str">
        <f t="shared" ca="1" si="16"/>
        <v>Activo</v>
      </c>
      <c r="L214" s="25" t="s">
        <v>49</v>
      </c>
      <c r="O214" s="25">
        <v>234.9</v>
      </c>
      <c r="Q214" s="34">
        <v>365</v>
      </c>
      <c r="R214" s="25" t="s">
        <v>64</v>
      </c>
      <c r="S214" s="28">
        <v>46198</v>
      </c>
      <c r="T214" s="28">
        <f t="shared" si="17"/>
        <v>46563</v>
      </c>
      <c r="U214" s="25">
        <f t="shared" ca="1" si="18"/>
        <v>302</v>
      </c>
      <c r="V214" s="25" t="str">
        <f t="shared" ca="1" si="19"/>
        <v>AL DÍA</v>
      </c>
      <c r="W214" s="25" t="s">
        <v>24</v>
      </c>
      <c r="X214" s="25" t="s">
        <v>262</v>
      </c>
      <c r="Y214" s="25">
        <v>2</v>
      </c>
    </row>
    <row r="215" spans="1:26" ht="14.25" hidden="1" customHeight="1" x14ac:dyDescent="0.15">
      <c r="A215" s="24" t="s">
        <v>296</v>
      </c>
      <c r="B215" s="24" t="s">
        <v>168</v>
      </c>
      <c r="C215" s="26" t="s">
        <v>360</v>
      </c>
      <c r="D215" s="24" t="s">
        <v>65</v>
      </c>
      <c r="F215" s="24" t="s">
        <v>215</v>
      </c>
      <c r="G215" s="21">
        <v>2016</v>
      </c>
      <c r="H215" s="21">
        <v>0</v>
      </c>
      <c r="I215" s="21">
        <f t="shared" ca="1" si="15"/>
        <v>10</v>
      </c>
      <c r="J215" s="21">
        <v>3</v>
      </c>
      <c r="K215" s="25" t="str">
        <f t="shared" ca="1" si="16"/>
        <v>Activo</v>
      </c>
      <c r="L215" s="25" t="s">
        <v>49</v>
      </c>
      <c r="M215" s="25" t="s">
        <v>49</v>
      </c>
      <c r="P215" s="25" t="s">
        <v>22</v>
      </c>
      <c r="Q215" s="34">
        <v>365</v>
      </c>
      <c r="R215" s="25" t="s">
        <v>64</v>
      </c>
      <c r="S215" s="28">
        <v>46198</v>
      </c>
      <c r="T215" s="28">
        <f t="shared" si="17"/>
        <v>46563</v>
      </c>
      <c r="U215" s="25">
        <f t="shared" ca="1" si="18"/>
        <v>302</v>
      </c>
      <c r="V215" s="25" t="str">
        <f t="shared" ca="1" si="19"/>
        <v>AL DÍA</v>
      </c>
      <c r="W215" s="25" t="s">
        <v>24</v>
      </c>
      <c r="X215" s="25" t="s">
        <v>271</v>
      </c>
      <c r="Y215" s="25">
        <v>2</v>
      </c>
    </row>
    <row r="216" spans="1:26" ht="14.25" hidden="1" customHeight="1" x14ac:dyDescent="0.15">
      <c r="A216" s="24" t="s">
        <v>296</v>
      </c>
      <c r="B216" s="24" t="s">
        <v>168</v>
      </c>
      <c r="C216" s="26" t="s">
        <v>360</v>
      </c>
      <c r="D216" s="24" t="s">
        <v>65</v>
      </c>
      <c r="F216" s="24" t="s">
        <v>216</v>
      </c>
      <c r="G216" s="21">
        <v>2016</v>
      </c>
      <c r="H216" s="21">
        <v>0</v>
      </c>
      <c r="I216" s="21">
        <f t="shared" ca="1" si="15"/>
        <v>10</v>
      </c>
      <c r="J216" s="21">
        <v>3</v>
      </c>
      <c r="K216" s="25" t="str">
        <f t="shared" ca="1" si="16"/>
        <v>Activo</v>
      </c>
      <c r="L216" s="25" t="s">
        <v>49</v>
      </c>
      <c r="P216" s="26" t="s">
        <v>22</v>
      </c>
      <c r="Q216" s="34">
        <v>365</v>
      </c>
      <c r="R216" s="25" t="s">
        <v>69</v>
      </c>
      <c r="S216" s="29">
        <v>46198</v>
      </c>
      <c r="T216" s="28">
        <f t="shared" si="17"/>
        <v>46563</v>
      </c>
      <c r="U216" s="25">
        <f t="shared" ca="1" si="18"/>
        <v>302</v>
      </c>
      <c r="V216" s="25" t="str">
        <f t="shared" ca="1" si="19"/>
        <v>AL DÍA</v>
      </c>
      <c r="W216" s="25" t="s">
        <v>24</v>
      </c>
      <c r="X216" s="25" t="s">
        <v>277</v>
      </c>
      <c r="Y216" s="25">
        <v>1</v>
      </c>
    </row>
    <row r="217" spans="1:26" ht="14.25" hidden="1" customHeight="1" x14ac:dyDescent="0.15">
      <c r="A217" s="24" t="s">
        <v>296</v>
      </c>
      <c r="B217" s="24" t="s">
        <v>168</v>
      </c>
      <c r="C217" s="26" t="s">
        <v>360</v>
      </c>
      <c r="D217" s="24" t="s">
        <v>65</v>
      </c>
      <c r="F217" s="24" t="s">
        <v>217</v>
      </c>
      <c r="G217" s="21">
        <v>2016</v>
      </c>
      <c r="H217" s="21">
        <v>0</v>
      </c>
      <c r="I217" s="21">
        <f t="shared" ca="1" si="15"/>
        <v>10</v>
      </c>
      <c r="J217" s="21">
        <v>3</v>
      </c>
      <c r="K217" s="25" t="str">
        <f t="shared" ca="1" si="16"/>
        <v>Activo</v>
      </c>
      <c r="L217" s="25" t="s">
        <v>49</v>
      </c>
      <c r="O217" s="25">
        <v>82.65</v>
      </c>
      <c r="Q217" s="34">
        <v>365</v>
      </c>
      <c r="R217" s="25" t="s">
        <v>64</v>
      </c>
      <c r="S217" s="28">
        <v>46198</v>
      </c>
      <c r="T217" s="28">
        <f t="shared" si="17"/>
        <v>46563</v>
      </c>
      <c r="U217" s="25">
        <f t="shared" ca="1" si="18"/>
        <v>302</v>
      </c>
      <c r="V217" s="25" t="str">
        <f t="shared" ca="1" si="19"/>
        <v>AL DÍA</v>
      </c>
      <c r="W217" s="25" t="s">
        <v>24</v>
      </c>
      <c r="X217" s="25" t="s">
        <v>262</v>
      </c>
      <c r="Y217" s="25">
        <v>2</v>
      </c>
    </row>
    <row r="218" spans="1:26" ht="14.25" hidden="1" customHeight="1" x14ac:dyDescent="0.15">
      <c r="A218" s="24" t="s">
        <v>296</v>
      </c>
      <c r="B218" s="24" t="s">
        <v>168</v>
      </c>
      <c r="C218" s="26" t="s">
        <v>360</v>
      </c>
      <c r="D218" s="24" t="s">
        <v>65</v>
      </c>
      <c r="F218" s="24" t="s">
        <v>218</v>
      </c>
      <c r="G218" s="21">
        <v>2016</v>
      </c>
      <c r="H218" s="21">
        <v>0</v>
      </c>
      <c r="I218" s="21">
        <f t="shared" ca="1" si="15"/>
        <v>10</v>
      </c>
      <c r="J218" s="21">
        <v>3</v>
      </c>
      <c r="K218" s="25" t="str">
        <f t="shared" ca="1" si="16"/>
        <v>Activo</v>
      </c>
      <c r="L218" s="25" t="s">
        <v>49</v>
      </c>
      <c r="O218" s="25" t="s">
        <v>227</v>
      </c>
      <c r="Q218" s="34">
        <v>365</v>
      </c>
      <c r="R218" s="25" t="s">
        <v>64</v>
      </c>
      <c r="S218" s="28">
        <v>46198</v>
      </c>
      <c r="T218" s="28">
        <f t="shared" si="17"/>
        <v>46563</v>
      </c>
      <c r="U218" s="25">
        <f t="shared" ca="1" si="18"/>
        <v>302</v>
      </c>
      <c r="V218" s="25" t="str">
        <f t="shared" ca="1" si="19"/>
        <v>AL DÍA</v>
      </c>
      <c r="W218" s="25" t="s">
        <v>24</v>
      </c>
      <c r="X218" s="25" t="s">
        <v>262</v>
      </c>
      <c r="Y218" s="25">
        <v>2</v>
      </c>
    </row>
    <row r="219" spans="1:26" ht="14.25" hidden="1" customHeight="1" x14ac:dyDescent="0.15">
      <c r="A219" s="24" t="s">
        <v>296</v>
      </c>
      <c r="B219" s="24" t="s">
        <v>168</v>
      </c>
      <c r="C219" s="26" t="s">
        <v>360</v>
      </c>
      <c r="D219" s="24" t="s">
        <v>16</v>
      </c>
      <c r="F219" s="24" t="s">
        <v>219</v>
      </c>
      <c r="G219" s="21">
        <v>2019</v>
      </c>
      <c r="H219" s="21">
        <v>15</v>
      </c>
      <c r="I219" s="21">
        <f t="shared" ca="1" si="15"/>
        <v>7</v>
      </c>
      <c r="J219" s="21">
        <v>3</v>
      </c>
      <c r="K219" s="25" t="str">
        <f t="shared" ca="1" si="16"/>
        <v>Activo</v>
      </c>
      <c r="L219" s="25" t="s">
        <v>302</v>
      </c>
      <c r="O219" s="26" t="s">
        <v>221</v>
      </c>
      <c r="P219" s="26" t="s">
        <v>49</v>
      </c>
      <c r="Q219" s="34">
        <v>365</v>
      </c>
      <c r="R219" s="25" t="s">
        <v>64</v>
      </c>
      <c r="S219" s="28">
        <v>46198</v>
      </c>
      <c r="T219" s="28">
        <f t="shared" si="17"/>
        <v>46563</v>
      </c>
      <c r="U219" s="25">
        <f t="shared" ca="1" si="18"/>
        <v>302</v>
      </c>
      <c r="V219" s="25" t="str">
        <f t="shared" ca="1" si="19"/>
        <v>AL DÍA</v>
      </c>
      <c r="W219" s="25" t="s">
        <v>24</v>
      </c>
      <c r="X219" s="25" t="s">
        <v>271</v>
      </c>
      <c r="Y219" s="25">
        <v>2</v>
      </c>
      <c r="Z219" s="1" t="s">
        <v>303</v>
      </c>
    </row>
    <row r="220" spans="1:26" ht="14.25" hidden="1" customHeight="1" x14ac:dyDescent="0.15">
      <c r="A220" s="24" t="s">
        <v>296</v>
      </c>
      <c r="B220" s="24" t="s">
        <v>168</v>
      </c>
      <c r="C220" s="26" t="s">
        <v>360</v>
      </c>
      <c r="D220" s="24" t="s">
        <v>65</v>
      </c>
      <c r="F220" s="24" t="s">
        <v>220</v>
      </c>
      <c r="G220" s="21">
        <v>2016</v>
      </c>
      <c r="H220" s="21">
        <v>0</v>
      </c>
      <c r="I220" s="21">
        <f t="shared" ca="1" si="15"/>
        <v>10</v>
      </c>
      <c r="J220" s="21">
        <v>3</v>
      </c>
      <c r="K220" s="25" t="str">
        <f t="shared" ca="1" si="16"/>
        <v>Activo</v>
      </c>
      <c r="L220" s="25" t="s">
        <v>49</v>
      </c>
      <c r="O220" s="25" t="s">
        <v>222</v>
      </c>
      <c r="Q220" s="34">
        <v>365</v>
      </c>
      <c r="R220" s="25" t="s">
        <v>64</v>
      </c>
      <c r="S220" s="28">
        <v>46198</v>
      </c>
      <c r="T220" s="28">
        <f t="shared" si="17"/>
        <v>46563</v>
      </c>
      <c r="U220" s="25">
        <f t="shared" ca="1" si="18"/>
        <v>302</v>
      </c>
      <c r="V220" s="25" t="str">
        <f t="shared" ca="1" si="19"/>
        <v>AL DÍA</v>
      </c>
      <c r="W220" s="25" t="s">
        <v>24</v>
      </c>
      <c r="X220" s="25" t="s">
        <v>262</v>
      </c>
      <c r="Y220" s="25">
        <v>2</v>
      </c>
    </row>
    <row r="221" spans="1:26" ht="14.25" hidden="1" customHeight="1" x14ac:dyDescent="0.15">
      <c r="A221" s="24" t="s">
        <v>296</v>
      </c>
      <c r="B221" s="24" t="s">
        <v>185</v>
      </c>
      <c r="C221" s="26" t="s">
        <v>186</v>
      </c>
      <c r="D221" s="24" t="s">
        <v>16</v>
      </c>
      <c r="E221" s="24" t="s">
        <v>453</v>
      </c>
      <c r="F221" s="24" t="s">
        <v>159</v>
      </c>
      <c r="G221" s="21">
        <v>1987</v>
      </c>
      <c r="H221" s="21">
        <v>40</v>
      </c>
      <c r="I221" s="21">
        <f t="shared" ca="1" si="15"/>
        <v>39</v>
      </c>
      <c r="J221" s="21">
        <v>3</v>
      </c>
      <c r="K221" s="25" t="str">
        <f t="shared" ca="1" si="16"/>
        <v>Activo</v>
      </c>
      <c r="L221" s="25" t="s">
        <v>49</v>
      </c>
      <c r="M221" s="25" t="s">
        <v>49</v>
      </c>
      <c r="N221" s="25" t="s">
        <v>49</v>
      </c>
      <c r="O221" s="25" t="s">
        <v>202</v>
      </c>
      <c r="P221" s="26" t="s">
        <v>22</v>
      </c>
      <c r="Q221" s="34">
        <v>365</v>
      </c>
      <c r="R221" s="25" t="s">
        <v>64</v>
      </c>
      <c r="S221" s="28">
        <v>46198</v>
      </c>
      <c r="T221" s="28">
        <f t="shared" si="17"/>
        <v>46563</v>
      </c>
      <c r="U221" s="25">
        <f t="shared" ca="1" si="18"/>
        <v>302</v>
      </c>
      <c r="V221" s="25" t="str">
        <f t="shared" ca="1" si="19"/>
        <v>AL DÍA</v>
      </c>
      <c r="W221" s="25" t="s">
        <v>24</v>
      </c>
      <c r="X221" s="25" t="s">
        <v>271</v>
      </c>
      <c r="Y221" s="25">
        <v>2</v>
      </c>
      <c r="Z221" s="1" t="s">
        <v>283</v>
      </c>
    </row>
    <row r="222" spans="1:26" ht="14.25" hidden="1" customHeight="1" x14ac:dyDescent="0.15">
      <c r="A222" s="24" t="s">
        <v>296</v>
      </c>
      <c r="B222" s="24" t="s">
        <v>185</v>
      </c>
      <c r="C222" s="26" t="s">
        <v>186</v>
      </c>
      <c r="D222" s="24" t="s">
        <v>16</v>
      </c>
      <c r="E222" s="24" t="s">
        <v>453</v>
      </c>
      <c r="F222" s="24" t="s">
        <v>161</v>
      </c>
      <c r="G222" s="21">
        <v>1987</v>
      </c>
      <c r="H222" s="21">
        <v>40</v>
      </c>
      <c r="I222" s="21">
        <f t="shared" ca="1" si="15"/>
        <v>39</v>
      </c>
      <c r="J222" s="21">
        <v>3</v>
      </c>
      <c r="K222" s="25" t="str">
        <f t="shared" ca="1" si="16"/>
        <v>Activo</v>
      </c>
      <c r="L222" s="25" t="s">
        <v>49</v>
      </c>
      <c r="M222" s="25" t="s">
        <v>49</v>
      </c>
      <c r="N222" s="25" t="s">
        <v>49</v>
      </c>
      <c r="O222" s="25" t="s">
        <v>204</v>
      </c>
      <c r="P222" s="25" t="s">
        <v>22</v>
      </c>
      <c r="Q222" s="34">
        <v>365</v>
      </c>
      <c r="R222" s="25" t="s">
        <v>64</v>
      </c>
      <c r="S222" s="28">
        <v>46198</v>
      </c>
      <c r="T222" s="28">
        <f t="shared" si="17"/>
        <v>46563</v>
      </c>
      <c r="U222" s="25">
        <f t="shared" ca="1" si="18"/>
        <v>302</v>
      </c>
      <c r="V222" s="25" t="str">
        <f t="shared" ca="1" si="19"/>
        <v>AL DÍA</v>
      </c>
      <c r="W222" s="25" t="s">
        <v>24</v>
      </c>
      <c r="X222" s="25" t="s">
        <v>271</v>
      </c>
      <c r="Y222" s="25">
        <v>2</v>
      </c>
      <c r="Z222" s="1" t="s">
        <v>283</v>
      </c>
    </row>
    <row r="223" spans="1:26" ht="14.25" hidden="1" customHeight="1" x14ac:dyDescent="0.15">
      <c r="A223" s="24" t="s">
        <v>296</v>
      </c>
      <c r="B223" s="24" t="s">
        <v>185</v>
      </c>
      <c r="C223" s="26" t="s">
        <v>186</v>
      </c>
      <c r="D223" s="24" t="s">
        <v>65</v>
      </c>
      <c r="E223" s="24" t="s">
        <v>449</v>
      </c>
      <c r="F223" s="24" t="s">
        <v>109</v>
      </c>
      <c r="G223" s="21">
        <v>2014</v>
      </c>
      <c r="H223" s="21">
        <v>0</v>
      </c>
      <c r="I223" s="21">
        <f t="shared" ca="1" si="15"/>
        <v>12</v>
      </c>
      <c r="J223" s="21">
        <v>3</v>
      </c>
      <c r="K223" s="25" t="str">
        <f t="shared" ca="1" si="16"/>
        <v>Activo</v>
      </c>
      <c r="L223" s="25" t="s">
        <v>49</v>
      </c>
      <c r="M223" s="25" t="s">
        <v>49</v>
      </c>
      <c r="N223" s="25" t="s">
        <v>49</v>
      </c>
      <c r="P223" s="25" t="s">
        <v>138</v>
      </c>
      <c r="Q223" s="32">
        <v>30</v>
      </c>
      <c r="R223" s="25" t="s">
        <v>69</v>
      </c>
      <c r="S223" s="30">
        <v>46228</v>
      </c>
      <c r="T223" s="28">
        <f t="shared" si="17"/>
        <v>46258</v>
      </c>
      <c r="U223" s="25">
        <f t="shared" ca="1" si="18"/>
        <v>-3</v>
      </c>
      <c r="V223" s="25" t="str">
        <f t="shared" ca="1" si="19"/>
        <v>VENCIDO</v>
      </c>
      <c r="W223" s="25" t="s">
        <v>24</v>
      </c>
      <c r="X223" s="25" t="s">
        <v>267</v>
      </c>
      <c r="Y223" s="25">
        <v>2</v>
      </c>
    </row>
    <row r="224" spans="1:26" ht="14.25" hidden="1" customHeight="1" x14ac:dyDescent="0.15">
      <c r="A224" s="24" t="s">
        <v>296</v>
      </c>
      <c r="B224" s="24" t="s">
        <v>185</v>
      </c>
      <c r="C224" s="26" t="s">
        <v>186</v>
      </c>
      <c r="D224" s="24" t="s">
        <v>65</v>
      </c>
      <c r="E224" s="24" t="s">
        <v>449</v>
      </c>
      <c r="F224" s="24" t="s">
        <v>110</v>
      </c>
      <c r="G224" s="21">
        <v>2014</v>
      </c>
      <c r="H224" s="21">
        <v>0</v>
      </c>
      <c r="I224" s="21">
        <f t="shared" ca="1" si="15"/>
        <v>12</v>
      </c>
      <c r="J224" s="21">
        <v>3</v>
      </c>
      <c r="K224" s="25" t="str">
        <f t="shared" ca="1" si="16"/>
        <v>Activo</v>
      </c>
      <c r="L224" s="25" t="s">
        <v>49</v>
      </c>
      <c r="M224" s="25" t="s">
        <v>49</v>
      </c>
      <c r="N224" s="25" t="s">
        <v>49</v>
      </c>
      <c r="P224" s="26" t="s">
        <v>138</v>
      </c>
      <c r="Q224" s="34">
        <v>30</v>
      </c>
      <c r="R224" s="25" t="s">
        <v>69</v>
      </c>
      <c r="S224" s="30">
        <v>46228</v>
      </c>
      <c r="T224" s="28">
        <f t="shared" si="17"/>
        <v>46258</v>
      </c>
      <c r="U224" s="25">
        <f t="shared" ca="1" si="18"/>
        <v>-3</v>
      </c>
      <c r="V224" s="25" t="str">
        <f t="shared" ca="1" si="19"/>
        <v>VENCIDO</v>
      </c>
      <c r="W224" s="25" t="s">
        <v>24</v>
      </c>
      <c r="X224" s="25" t="s">
        <v>267</v>
      </c>
      <c r="Y224" s="25">
        <v>2</v>
      </c>
    </row>
    <row r="225" spans="1:26" ht="14.25" hidden="1" customHeight="1" x14ac:dyDescent="0.15">
      <c r="A225" s="24" t="s">
        <v>296</v>
      </c>
      <c r="B225" s="24" t="s">
        <v>185</v>
      </c>
      <c r="C225" s="26">
        <v>501</v>
      </c>
      <c r="D225" s="24" t="s">
        <v>65</v>
      </c>
      <c r="F225" s="24" t="s">
        <v>215</v>
      </c>
      <c r="G225" s="21">
        <v>1987</v>
      </c>
      <c r="H225" s="21">
        <v>0</v>
      </c>
      <c r="I225" s="21">
        <f t="shared" ca="1" si="15"/>
        <v>39</v>
      </c>
      <c r="J225" s="21">
        <v>3</v>
      </c>
      <c r="K225" s="25" t="str">
        <f t="shared" ca="1" si="16"/>
        <v>Activo</v>
      </c>
      <c r="L225" s="25" t="s">
        <v>49</v>
      </c>
      <c r="M225" s="25" t="s">
        <v>49</v>
      </c>
      <c r="N225" s="25" t="s">
        <v>49</v>
      </c>
      <c r="P225" s="26" t="s">
        <v>22</v>
      </c>
      <c r="Q225" s="34">
        <v>365</v>
      </c>
      <c r="R225" s="25" t="s">
        <v>64</v>
      </c>
      <c r="S225" s="28">
        <v>46198</v>
      </c>
      <c r="T225" s="28">
        <f t="shared" si="17"/>
        <v>46563</v>
      </c>
      <c r="U225" s="25">
        <f t="shared" ca="1" si="18"/>
        <v>302</v>
      </c>
      <c r="V225" s="25" t="str">
        <f t="shared" ca="1" si="19"/>
        <v>AL DÍA</v>
      </c>
      <c r="W225" s="25" t="s">
        <v>24</v>
      </c>
      <c r="X225" s="25" t="s">
        <v>271</v>
      </c>
      <c r="Y225" s="25">
        <v>2</v>
      </c>
      <c r="Z225" s="1" t="s">
        <v>284</v>
      </c>
    </row>
    <row r="226" spans="1:26" ht="14.25" hidden="1" customHeight="1" x14ac:dyDescent="0.15">
      <c r="A226" s="24" t="s">
        <v>296</v>
      </c>
      <c r="B226" s="24" t="s">
        <v>185</v>
      </c>
      <c r="C226" s="26">
        <v>501</v>
      </c>
      <c r="D226" s="24" t="s">
        <v>65</v>
      </c>
      <c r="F226" s="24" t="s">
        <v>216</v>
      </c>
      <c r="G226" s="21">
        <v>1987</v>
      </c>
      <c r="H226" s="21">
        <v>0</v>
      </c>
      <c r="I226" s="21">
        <f t="shared" ca="1" si="15"/>
        <v>39</v>
      </c>
      <c r="J226" s="21">
        <v>3</v>
      </c>
      <c r="K226" s="25" t="str">
        <f t="shared" ca="1" si="16"/>
        <v>Activo</v>
      </c>
      <c r="L226" s="25" t="s">
        <v>49</v>
      </c>
      <c r="O226" s="26"/>
      <c r="P226" s="26" t="s">
        <v>22</v>
      </c>
      <c r="Q226" s="34">
        <v>365</v>
      </c>
      <c r="R226" s="25" t="s">
        <v>69</v>
      </c>
      <c r="S226" s="29">
        <v>46198</v>
      </c>
      <c r="T226" s="28">
        <f t="shared" si="17"/>
        <v>46563</v>
      </c>
      <c r="U226" s="25">
        <f t="shared" ca="1" si="18"/>
        <v>302</v>
      </c>
      <c r="V226" s="25" t="str">
        <f t="shared" ca="1" si="19"/>
        <v>AL DÍA</v>
      </c>
      <c r="W226" s="25" t="s">
        <v>24</v>
      </c>
      <c r="X226" s="25" t="s">
        <v>277</v>
      </c>
      <c r="Y226" s="25">
        <v>1</v>
      </c>
      <c r="Z226" s="1" t="s">
        <v>283</v>
      </c>
    </row>
    <row r="227" spans="1:26" ht="14.25" hidden="1" customHeight="1" x14ac:dyDescent="0.15">
      <c r="A227" s="24" t="s">
        <v>296</v>
      </c>
      <c r="B227" s="24" t="s">
        <v>185</v>
      </c>
      <c r="C227" s="26">
        <v>501</v>
      </c>
      <c r="D227" s="24" t="s">
        <v>65</v>
      </c>
      <c r="F227" s="24" t="s">
        <v>217</v>
      </c>
      <c r="G227" s="21">
        <v>1987</v>
      </c>
      <c r="H227" s="21">
        <v>0</v>
      </c>
      <c r="I227" s="21">
        <f t="shared" ca="1" si="15"/>
        <v>39</v>
      </c>
      <c r="J227" s="21">
        <v>3</v>
      </c>
      <c r="K227" s="25" t="str">
        <f t="shared" ca="1" si="16"/>
        <v>Activo</v>
      </c>
      <c r="L227" s="25" t="s">
        <v>49</v>
      </c>
      <c r="O227" s="25">
        <v>62.64</v>
      </c>
      <c r="P227" s="26"/>
      <c r="Q227" s="34">
        <v>365</v>
      </c>
      <c r="R227" s="25" t="s">
        <v>64</v>
      </c>
      <c r="S227" s="28">
        <v>46198</v>
      </c>
      <c r="T227" s="28">
        <f t="shared" si="17"/>
        <v>46563</v>
      </c>
      <c r="U227" s="25">
        <f t="shared" ca="1" si="18"/>
        <v>302</v>
      </c>
      <c r="V227" s="25" t="str">
        <f t="shared" ca="1" si="19"/>
        <v>AL DÍA</v>
      </c>
      <c r="W227" s="25" t="s">
        <v>24</v>
      </c>
      <c r="X227" s="25" t="s">
        <v>262</v>
      </c>
      <c r="Y227" s="25">
        <v>2</v>
      </c>
    </row>
    <row r="228" spans="1:26" ht="14.25" hidden="1" customHeight="1" x14ac:dyDescent="0.15">
      <c r="A228" s="24" t="s">
        <v>296</v>
      </c>
      <c r="B228" s="24" t="s">
        <v>185</v>
      </c>
      <c r="C228" s="26">
        <v>501</v>
      </c>
      <c r="D228" s="24" t="s">
        <v>65</v>
      </c>
      <c r="F228" s="24" t="s">
        <v>218</v>
      </c>
      <c r="G228" s="21">
        <v>1987</v>
      </c>
      <c r="H228" s="21">
        <v>0</v>
      </c>
      <c r="I228" s="21">
        <f t="shared" ca="1" si="15"/>
        <v>39</v>
      </c>
      <c r="J228" s="21">
        <v>3</v>
      </c>
      <c r="K228" s="25" t="str">
        <f t="shared" ca="1" si="16"/>
        <v>Activo</v>
      </c>
      <c r="L228" s="25" t="s">
        <v>49</v>
      </c>
      <c r="O228" s="25" t="s">
        <v>227</v>
      </c>
      <c r="Q228" s="34">
        <v>365</v>
      </c>
      <c r="R228" s="25" t="s">
        <v>64</v>
      </c>
      <c r="S228" s="28">
        <v>46198</v>
      </c>
      <c r="T228" s="28">
        <f t="shared" si="17"/>
        <v>46563</v>
      </c>
      <c r="U228" s="25">
        <f t="shared" ca="1" si="18"/>
        <v>302</v>
      </c>
      <c r="V228" s="25" t="str">
        <f t="shared" ca="1" si="19"/>
        <v>AL DÍA</v>
      </c>
      <c r="W228" s="25" t="s">
        <v>24</v>
      </c>
      <c r="X228" s="25" t="s">
        <v>262</v>
      </c>
      <c r="Y228" s="25">
        <v>2</v>
      </c>
    </row>
    <row r="229" spans="1:26" ht="14.25" hidden="1" customHeight="1" x14ac:dyDescent="0.15">
      <c r="A229" s="24" t="s">
        <v>296</v>
      </c>
      <c r="B229" s="24" t="s">
        <v>185</v>
      </c>
      <c r="C229" s="26">
        <v>501</v>
      </c>
      <c r="D229" s="24" t="s">
        <v>16</v>
      </c>
      <c r="F229" s="24" t="s">
        <v>219</v>
      </c>
      <c r="G229" s="21">
        <v>2019</v>
      </c>
      <c r="H229" s="21">
        <v>15</v>
      </c>
      <c r="I229" s="21">
        <f t="shared" ca="1" si="15"/>
        <v>7</v>
      </c>
      <c r="J229" s="21">
        <v>3</v>
      </c>
      <c r="K229" s="25" t="str">
        <f t="shared" ca="1" si="16"/>
        <v>Activo</v>
      </c>
      <c r="L229" s="25" t="s">
        <v>302</v>
      </c>
      <c r="O229" s="25" t="s">
        <v>221</v>
      </c>
      <c r="P229" s="25" t="s">
        <v>49</v>
      </c>
      <c r="Q229" s="34">
        <v>365</v>
      </c>
      <c r="R229" s="25" t="s">
        <v>64</v>
      </c>
      <c r="S229" s="28">
        <v>46198</v>
      </c>
      <c r="T229" s="28">
        <f t="shared" si="17"/>
        <v>46563</v>
      </c>
      <c r="U229" s="25">
        <f t="shared" ca="1" si="18"/>
        <v>302</v>
      </c>
      <c r="V229" s="25" t="str">
        <f t="shared" ca="1" si="19"/>
        <v>AL DÍA</v>
      </c>
      <c r="W229" s="25" t="s">
        <v>24</v>
      </c>
      <c r="X229" s="25" t="s">
        <v>271</v>
      </c>
      <c r="Y229" s="25">
        <v>2</v>
      </c>
      <c r="Z229" s="1" t="s">
        <v>303</v>
      </c>
    </row>
    <row r="230" spans="1:26" ht="14.25" hidden="1" customHeight="1" x14ac:dyDescent="0.15">
      <c r="A230" s="24" t="s">
        <v>296</v>
      </c>
      <c r="B230" s="24" t="s">
        <v>185</v>
      </c>
      <c r="C230" s="26">
        <v>501</v>
      </c>
      <c r="D230" s="24" t="s">
        <v>16</v>
      </c>
      <c r="F230" s="24" t="s">
        <v>224</v>
      </c>
      <c r="G230" s="71"/>
      <c r="H230" s="21">
        <v>0</v>
      </c>
      <c r="I230" s="21">
        <f t="shared" ca="1" si="15"/>
        <v>2026</v>
      </c>
      <c r="J230" s="21">
        <v>3</v>
      </c>
      <c r="K230" s="25" t="str">
        <f t="shared" ca="1" si="16"/>
        <v>Activo</v>
      </c>
      <c r="Q230" s="34">
        <v>365</v>
      </c>
      <c r="R230" s="25" t="s">
        <v>64</v>
      </c>
      <c r="S230" s="28">
        <v>46198</v>
      </c>
      <c r="T230" s="28">
        <f t="shared" si="17"/>
        <v>46563</v>
      </c>
      <c r="U230" s="25">
        <f t="shared" ca="1" si="18"/>
        <v>302</v>
      </c>
      <c r="V230" s="25" t="str">
        <f t="shared" ca="1" si="19"/>
        <v>AL DÍA</v>
      </c>
      <c r="W230" s="25" t="s">
        <v>24</v>
      </c>
      <c r="X230" s="25" t="s">
        <v>271</v>
      </c>
      <c r="Y230" s="25">
        <v>2</v>
      </c>
    </row>
    <row r="231" spans="1:26" ht="14.25" hidden="1" customHeight="1" x14ac:dyDescent="0.15">
      <c r="A231" s="24" t="s">
        <v>296</v>
      </c>
      <c r="B231" s="24" t="s">
        <v>185</v>
      </c>
      <c r="C231" s="26">
        <v>501</v>
      </c>
      <c r="D231" s="24" t="s">
        <v>65</v>
      </c>
      <c r="F231" s="24" t="s">
        <v>220</v>
      </c>
      <c r="G231" s="21">
        <v>1987</v>
      </c>
      <c r="H231" s="21">
        <v>0</v>
      </c>
      <c r="I231" s="21">
        <f t="shared" ca="1" si="15"/>
        <v>39</v>
      </c>
      <c r="J231" s="21">
        <v>3</v>
      </c>
      <c r="K231" s="25" t="str">
        <f t="shared" ca="1" si="16"/>
        <v>Activo</v>
      </c>
      <c r="L231" s="25" t="s">
        <v>49</v>
      </c>
      <c r="O231" s="25" t="s">
        <v>222</v>
      </c>
      <c r="Q231" s="34">
        <v>365</v>
      </c>
      <c r="R231" s="25" t="s">
        <v>64</v>
      </c>
      <c r="S231" s="28">
        <v>46198</v>
      </c>
      <c r="T231" s="28">
        <f t="shared" si="17"/>
        <v>46563</v>
      </c>
      <c r="U231" s="25">
        <f t="shared" ca="1" si="18"/>
        <v>302</v>
      </c>
      <c r="V231" s="25" t="str">
        <f t="shared" ca="1" si="19"/>
        <v>AL DÍA</v>
      </c>
      <c r="W231" s="25" t="s">
        <v>24</v>
      </c>
      <c r="X231" s="25" t="s">
        <v>262</v>
      </c>
      <c r="Y231" s="25">
        <v>2</v>
      </c>
    </row>
    <row r="232" spans="1:26" ht="14.25" hidden="1" customHeight="1" x14ac:dyDescent="0.15">
      <c r="A232" s="24" t="s">
        <v>296</v>
      </c>
      <c r="B232" s="24" t="s">
        <v>185</v>
      </c>
      <c r="C232" s="26">
        <v>502</v>
      </c>
      <c r="D232" s="24" t="s">
        <v>65</v>
      </c>
      <c r="F232" s="24" t="s">
        <v>215</v>
      </c>
      <c r="G232" s="21">
        <v>1987</v>
      </c>
      <c r="H232" s="21">
        <v>0</v>
      </c>
      <c r="I232" s="21">
        <f t="shared" ca="1" si="15"/>
        <v>39</v>
      </c>
      <c r="J232" s="21">
        <v>3</v>
      </c>
      <c r="K232" s="25" t="str">
        <f t="shared" ca="1" si="16"/>
        <v>Activo</v>
      </c>
      <c r="L232" s="25" t="s">
        <v>49</v>
      </c>
      <c r="M232" s="25" t="s">
        <v>49</v>
      </c>
      <c r="N232" s="25" t="s">
        <v>49</v>
      </c>
      <c r="P232" s="25" t="s">
        <v>22</v>
      </c>
      <c r="Q232" s="34">
        <v>365</v>
      </c>
      <c r="R232" s="25" t="s">
        <v>64</v>
      </c>
      <c r="S232" s="28">
        <v>46198</v>
      </c>
      <c r="T232" s="28">
        <f t="shared" si="17"/>
        <v>46563</v>
      </c>
      <c r="U232" s="25">
        <f t="shared" ca="1" si="18"/>
        <v>302</v>
      </c>
      <c r="V232" s="25" t="str">
        <f t="shared" ca="1" si="19"/>
        <v>AL DÍA</v>
      </c>
      <c r="W232" s="25" t="s">
        <v>24</v>
      </c>
      <c r="X232" s="25" t="s">
        <v>271</v>
      </c>
      <c r="Y232" s="25">
        <v>2</v>
      </c>
    </row>
    <row r="233" spans="1:26" ht="14.25" hidden="1" customHeight="1" x14ac:dyDescent="0.15">
      <c r="A233" s="24" t="s">
        <v>296</v>
      </c>
      <c r="B233" s="24" t="s">
        <v>185</v>
      </c>
      <c r="C233" s="26">
        <v>502</v>
      </c>
      <c r="D233" s="24" t="s">
        <v>65</v>
      </c>
      <c r="F233" s="24" t="s">
        <v>216</v>
      </c>
      <c r="G233" s="21">
        <v>1987</v>
      </c>
      <c r="H233" s="21">
        <v>0</v>
      </c>
      <c r="I233" s="21">
        <f t="shared" ca="1" si="15"/>
        <v>39</v>
      </c>
      <c r="J233" s="21">
        <v>3</v>
      </c>
      <c r="K233" s="25" t="str">
        <f t="shared" ca="1" si="16"/>
        <v>Activo</v>
      </c>
      <c r="L233" s="25" t="s">
        <v>49</v>
      </c>
      <c r="O233" s="26"/>
      <c r="P233" s="26" t="s">
        <v>22</v>
      </c>
      <c r="Q233" s="34">
        <v>365</v>
      </c>
      <c r="R233" s="25" t="s">
        <v>69</v>
      </c>
      <c r="S233" s="29">
        <v>46198</v>
      </c>
      <c r="T233" s="28">
        <f t="shared" si="17"/>
        <v>46563</v>
      </c>
      <c r="U233" s="25">
        <f t="shared" ca="1" si="18"/>
        <v>302</v>
      </c>
      <c r="V233" s="25" t="str">
        <f t="shared" ca="1" si="19"/>
        <v>AL DÍA</v>
      </c>
      <c r="W233" s="25" t="s">
        <v>24</v>
      </c>
      <c r="X233" s="25" t="s">
        <v>277</v>
      </c>
      <c r="Y233" s="25">
        <v>1</v>
      </c>
    </row>
    <row r="234" spans="1:26" ht="14.25" hidden="1" customHeight="1" x14ac:dyDescent="0.15">
      <c r="A234" s="24" t="s">
        <v>296</v>
      </c>
      <c r="B234" s="24" t="s">
        <v>185</v>
      </c>
      <c r="C234" s="26">
        <v>502</v>
      </c>
      <c r="D234" s="24" t="s">
        <v>65</v>
      </c>
      <c r="F234" s="24" t="s">
        <v>217</v>
      </c>
      <c r="G234" s="21">
        <v>1987</v>
      </c>
      <c r="H234" s="21">
        <v>0</v>
      </c>
      <c r="I234" s="21">
        <f t="shared" ca="1" si="15"/>
        <v>39</v>
      </c>
      <c r="J234" s="21">
        <v>3</v>
      </c>
      <c r="K234" s="25" t="str">
        <f t="shared" ca="1" si="16"/>
        <v>Activo</v>
      </c>
      <c r="L234" s="25" t="s">
        <v>49</v>
      </c>
      <c r="O234" s="25">
        <v>62.64</v>
      </c>
      <c r="Q234" s="34">
        <v>365</v>
      </c>
      <c r="R234" s="25" t="s">
        <v>64</v>
      </c>
      <c r="S234" s="28">
        <v>46198</v>
      </c>
      <c r="T234" s="28">
        <f t="shared" si="17"/>
        <v>46563</v>
      </c>
      <c r="U234" s="25">
        <f t="shared" ca="1" si="18"/>
        <v>302</v>
      </c>
      <c r="V234" s="25" t="str">
        <f t="shared" ca="1" si="19"/>
        <v>AL DÍA</v>
      </c>
      <c r="W234" s="25" t="s">
        <v>24</v>
      </c>
      <c r="X234" s="25" t="s">
        <v>262</v>
      </c>
      <c r="Y234" s="25">
        <v>2</v>
      </c>
    </row>
    <row r="235" spans="1:26" ht="14.25" hidden="1" customHeight="1" x14ac:dyDescent="0.15">
      <c r="A235" s="24" t="s">
        <v>296</v>
      </c>
      <c r="B235" s="24" t="s">
        <v>185</v>
      </c>
      <c r="C235" s="26">
        <v>502</v>
      </c>
      <c r="D235" s="24" t="s">
        <v>65</v>
      </c>
      <c r="F235" s="24" t="s">
        <v>218</v>
      </c>
      <c r="G235" s="21">
        <v>1987</v>
      </c>
      <c r="H235" s="21">
        <v>0</v>
      </c>
      <c r="I235" s="21">
        <f t="shared" ca="1" si="15"/>
        <v>39</v>
      </c>
      <c r="J235" s="21">
        <v>3</v>
      </c>
      <c r="K235" s="25" t="str">
        <f t="shared" ca="1" si="16"/>
        <v>Activo</v>
      </c>
      <c r="L235" s="25" t="s">
        <v>49</v>
      </c>
      <c r="O235" s="25" t="s">
        <v>227</v>
      </c>
      <c r="Q235" s="34">
        <v>365</v>
      </c>
      <c r="R235" s="25" t="s">
        <v>64</v>
      </c>
      <c r="S235" s="28">
        <v>46198</v>
      </c>
      <c r="T235" s="28">
        <f t="shared" si="17"/>
        <v>46563</v>
      </c>
      <c r="U235" s="25">
        <f t="shared" ca="1" si="18"/>
        <v>302</v>
      </c>
      <c r="V235" s="25" t="str">
        <f t="shared" ca="1" si="19"/>
        <v>AL DÍA</v>
      </c>
      <c r="W235" s="25" t="s">
        <v>24</v>
      </c>
      <c r="X235" s="25" t="s">
        <v>262</v>
      </c>
      <c r="Y235" s="25">
        <v>2</v>
      </c>
    </row>
    <row r="236" spans="1:26" ht="14.25" hidden="1" customHeight="1" x14ac:dyDescent="0.15">
      <c r="A236" s="24" t="s">
        <v>296</v>
      </c>
      <c r="B236" s="24" t="s">
        <v>185</v>
      </c>
      <c r="C236" s="26">
        <v>502</v>
      </c>
      <c r="D236" s="24" t="s">
        <v>16</v>
      </c>
      <c r="F236" s="24" t="s">
        <v>219</v>
      </c>
      <c r="G236" s="21">
        <v>2019</v>
      </c>
      <c r="H236" s="21">
        <v>15</v>
      </c>
      <c r="I236" s="21">
        <f t="shared" ca="1" si="15"/>
        <v>7</v>
      </c>
      <c r="J236" s="21">
        <v>3</v>
      </c>
      <c r="K236" s="25" t="str">
        <f t="shared" ca="1" si="16"/>
        <v>Activo</v>
      </c>
      <c r="L236" s="25" t="s">
        <v>302</v>
      </c>
      <c r="O236" s="25" t="s">
        <v>221</v>
      </c>
      <c r="P236" s="25" t="s">
        <v>49</v>
      </c>
      <c r="Q236" s="34">
        <v>365</v>
      </c>
      <c r="R236" s="25" t="s">
        <v>64</v>
      </c>
      <c r="S236" s="28">
        <v>46198</v>
      </c>
      <c r="T236" s="28">
        <f t="shared" si="17"/>
        <v>46563</v>
      </c>
      <c r="U236" s="25">
        <f t="shared" ca="1" si="18"/>
        <v>302</v>
      </c>
      <c r="V236" s="25" t="str">
        <f t="shared" ca="1" si="19"/>
        <v>AL DÍA</v>
      </c>
      <c r="W236" s="25" t="s">
        <v>24</v>
      </c>
      <c r="X236" s="25" t="s">
        <v>271</v>
      </c>
      <c r="Y236" s="25">
        <v>2</v>
      </c>
      <c r="Z236" s="1" t="s">
        <v>303</v>
      </c>
    </row>
    <row r="237" spans="1:26" ht="14.25" hidden="1" customHeight="1" x14ac:dyDescent="0.15">
      <c r="A237" s="24" t="s">
        <v>296</v>
      </c>
      <c r="B237" s="24" t="s">
        <v>185</v>
      </c>
      <c r="C237" s="26">
        <v>502</v>
      </c>
      <c r="D237" s="24" t="s">
        <v>16</v>
      </c>
      <c r="F237" s="24" t="s">
        <v>224</v>
      </c>
      <c r="G237" s="71"/>
      <c r="H237" s="21">
        <v>0</v>
      </c>
      <c r="I237" s="21">
        <f t="shared" ca="1" si="15"/>
        <v>2026</v>
      </c>
      <c r="J237" s="21">
        <v>3</v>
      </c>
      <c r="K237" s="25" t="str">
        <f t="shared" ca="1" si="16"/>
        <v>Activo</v>
      </c>
      <c r="Q237" s="34">
        <v>365</v>
      </c>
      <c r="R237" s="25" t="s">
        <v>64</v>
      </c>
      <c r="S237" s="28">
        <v>46198</v>
      </c>
      <c r="T237" s="28">
        <f t="shared" si="17"/>
        <v>46563</v>
      </c>
      <c r="U237" s="25">
        <f t="shared" ca="1" si="18"/>
        <v>302</v>
      </c>
      <c r="V237" s="25" t="str">
        <f t="shared" ca="1" si="19"/>
        <v>AL DÍA</v>
      </c>
      <c r="W237" s="25" t="s">
        <v>24</v>
      </c>
      <c r="X237" s="25" t="s">
        <v>271</v>
      </c>
      <c r="Y237" s="25">
        <v>2</v>
      </c>
    </row>
    <row r="238" spans="1:26" ht="14.25" hidden="1" customHeight="1" x14ac:dyDescent="0.15">
      <c r="A238" s="24" t="s">
        <v>296</v>
      </c>
      <c r="B238" s="24" t="s">
        <v>185</v>
      </c>
      <c r="C238" s="26">
        <v>502</v>
      </c>
      <c r="D238" s="24" t="s">
        <v>65</v>
      </c>
      <c r="F238" s="24" t="s">
        <v>220</v>
      </c>
      <c r="G238" s="21">
        <v>1987</v>
      </c>
      <c r="H238" s="21">
        <v>0</v>
      </c>
      <c r="I238" s="21">
        <f t="shared" ca="1" si="15"/>
        <v>39</v>
      </c>
      <c r="J238" s="21">
        <v>3</v>
      </c>
      <c r="K238" s="25" t="str">
        <f t="shared" ca="1" si="16"/>
        <v>Activo</v>
      </c>
      <c r="L238" s="25" t="s">
        <v>49</v>
      </c>
      <c r="O238" s="25" t="s">
        <v>222</v>
      </c>
      <c r="Q238" s="34">
        <v>365</v>
      </c>
      <c r="R238" s="25" t="s">
        <v>64</v>
      </c>
      <c r="S238" s="28">
        <v>46198</v>
      </c>
      <c r="T238" s="28">
        <f t="shared" si="17"/>
        <v>46563</v>
      </c>
      <c r="U238" s="25">
        <f t="shared" ca="1" si="18"/>
        <v>302</v>
      </c>
      <c r="V238" s="25" t="str">
        <f t="shared" ca="1" si="19"/>
        <v>AL DÍA</v>
      </c>
      <c r="W238" s="25" t="s">
        <v>24</v>
      </c>
      <c r="X238" s="25" t="s">
        <v>262</v>
      </c>
      <c r="Y238" s="25">
        <v>2</v>
      </c>
    </row>
    <row r="239" spans="1:26" ht="14.25" hidden="1" customHeight="1" x14ac:dyDescent="0.15">
      <c r="A239" s="24" t="s">
        <v>296</v>
      </c>
      <c r="B239" s="24" t="s">
        <v>185</v>
      </c>
      <c r="C239" s="26">
        <v>503</v>
      </c>
      <c r="D239" s="24" t="s">
        <v>65</v>
      </c>
      <c r="F239" s="24" t="s">
        <v>215</v>
      </c>
      <c r="G239" s="21">
        <v>1987</v>
      </c>
      <c r="H239" s="21">
        <v>0</v>
      </c>
      <c r="I239" s="21">
        <f t="shared" ca="1" si="15"/>
        <v>39</v>
      </c>
      <c r="J239" s="21">
        <v>3</v>
      </c>
      <c r="K239" s="25" t="str">
        <f t="shared" ca="1" si="16"/>
        <v>Activo</v>
      </c>
      <c r="L239" s="25" t="s">
        <v>49</v>
      </c>
      <c r="M239" s="25" t="s">
        <v>49</v>
      </c>
      <c r="P239" s="25" t="s">
        <v>22</v>
      </c>
      <c r="Q239" s="34">
        <v>365</v>
      </c>
      <c r="R239" s="25" t="s">
        <v>64</v>
      </c>
      <c r="S239" s="28">
        <v>46198</v>
      </c>
      <c r="T239" s="28">
        <f t="shared" si="17"/>
        <v>46563</v>
      </c>
      <c r="U239" s="25">
        <f t="shared" ca="1" si="18"/>
        <v>302</v>
      </c>
      <c r="V239" s="25" t="str">
        <f t="shared" ca="1" si="19"/>
        <v>AL DÍA</v>
      </c>
      <c r="W239" s="25" t="s">
        <v>24</v>
      </c>
      <c r="X239" s="25" t="s">
        <v>271</v>
      </c>
      <c r="Y239" s="25">
        <v>2</v>
      </c>
    </row>
    <row r="240" spans="1:26" ht="14.25" hidden="1" customHeight="1" x14ac:dyDescent="0.15">
      <c r="A240" s="24" t="s">
        <v>296</v>
      </c>
      <c r="B240" s="24" t="s">
        <v>185</v>
      </c>
      <c r="C240" s="26">
        <v>503</v>
      </c>
      <c r="D240" s="24" t="s">
        <v>65</v>
      </c>
      <c r="F240" s="24" t="s">
        <v>216</v>
      </c>
      <c r="G240" s="21">
        <v>1987</v>
      </c>
      <c r="H240" s="21">
        <v>0</v>
      </c>
      <c r="I240" s="21">
        <f t="shared" ca="1" si="15"/>
        <v>39</v>
      </c>
      <c r="J240" s="21">
        <v>3</v>
      </c>
      <c r="K240" s="25" t="str">
        <f t="shared" ca="1" si="16"/>
        <v>Activo</v>
      </c>
      <c r="L240" s="25" t="s">
        <v>49</v>
      </c>
      <c r="O240" s="26"/>
      <c r="P240" s="26" t="s">
        <v>22</v>
      </c>
      <c r="Q240" s="34">
        <v>365</v>
      </c>
      <c r="R240" s="25" t="s">
        <v>69</v>
      </c>
      <c r="S240" s="29">
        <v>46198</v>
      </c>
      <c r="T240" s="28">
        <f t="shared" si="17"/>
        <v>46563</v>
      </c>
      <c r="U240" s="25">
        <f t="shared" ca="1" si="18"/>
        <v>302</v>
      </c>
      <c r="V240" s="25" t="str">
        <f t="shared" ca="1" si="19"/>
        <v>AL DÍA</v>
      </c>
      <c r="W240" s="25" t="s">
        <v>24</v>
      </c>
      <c r="X240" s="25" t="s">
        <v>277</v>
      </c>
      <c r="Y240" s="25">
        <v>1</v>
      </c>
    </row>
    <row r="241" spans="1:26" ht="14.25" hidden="1" customHeight="1" x14ac:dyDescent="0.15">
      <c r="A241" s="24" t="s">
        <v>296</v>
      </c>
      <c r="B241" s="24" t="s">
        <v>185</v>
      </c>
      <c r="C241" s="26">
        <v>503</v>
      </c>
      <c r="D241" s="24" t="s">
        <v>65</v>
      </c>
      <c r="F241" s="24" t="s">
        <v>217</v>
      </c>
      <c r="G241" s="21">
        <v>1987</v>
      </c>
      <c r="H241" s="21">
        <v>0</v>
      </c>
      <c r="I241" s="21">
        <f t="shared" ca="1" si="15"/>
        <v>39</v>
      </c>
      <c r="J241" s="21">
        <v>3</v>
      </c>
      <c r="K241" s="25" t="str">
        <f t="shared" ca="1" si="16"/>
        <v>Activo</v>
      </c>
      <c r="L241" s="25" t="s">
        <v>49</v>
      </c>
      <c r="O241" s="25">
        <v>62.64</v>
      </c>
      <c r="Q241" s="34">
        <v>365</v>
      </c>
      <c r="R241" s="25" t="s">
        <v>64</v>
      </c>
      <c r="S241" s="28">
        <v>46198</v>
      </c>
      <c r="T241" s="28">
        <f t="shared" si="17"/>
        <v>46563</v>
      </c>
      <c r="U241" s="25">
        <f t="shared" ca="1" si="18"/>
        <v>302</v>
      </c>
      <c r="V241" s="25" t="str">
        <f t="shared" ca="1" si="19"/>
        <v>AL DÍA</v>
      </c>
      <c r="W241" s="25" t="s">
        <v>24</v>
      </c>
      <c r="X241" s="25" t="s">
        <v>262</v>
      </c>
      <c r="Y241" s="25">
        <v>2</v>
      </c>
    </row>
    <row r="242" spans="1:26" ht="14.25" hidden="1" customHeight="1" x14ac:dyDescent="0.15">
      <c r="A242" s="24" t="s">
        <v>296</v>
      </c>
      <c r="B242" s="24" t="s">
        <v>185</v>
      </c>
      <c r="C242" s="26">
        <v>503</v>
      </c>
      <c r="D242" s="24" t="s">
        <v>65</v>
      </c>
      <c r="F242" s="24" t="s">
        <v>218</v>
      </c>
      <c r="G242" s="21">
        <v>1987</v>
      </c>
      <c r="H242" s="21">
        <v>0</v>
      </c>
      <c r="I242" s="21">
        <f t="shared" ca="1" si="15"/>
        <v>39</v>
      </c>
      <c r="J242" s="21">
        <v>3</v>
      </c>
      <c r="K242" s="25" t="str">
        <f t="shared" ca="1" si="16"/>
        <v>Activo</v>
      </c>
      <c r="L242" s="25" t="s">
        <v>49</v>
      </c>
      <c r="O242" s="25" t="s">
        <v>227</v>
      </c>
      <c r="Q242" s="34">
        <v>365</v>
      </c>
      <c r="R242" s="25" t="s">
        <v>64</v>
      </c>
      <c r="S242" s="28">
        <v>46198</v>
      </c>
      <c r="T242" s="28">
        <f t="shared" si="17"/>
        <v>46563</v>
      </c>
      <c r="U242" s="25">
        <f t="shared" ca="1" si="18"/>
        <v>302</v>
      </c>
      <c r="V242" s="25" t="str">
        <f t="shared" ca="1" si="19"/>
        <v>AL DÍA</v>
      </c>
      <c r="W242" s="25" t="s">
        <v>24</v>
      </c>
      <c r="X242" s="25" t="s">
        <v>262</v>
      </c>
      <c r="Y242" s="25">
        <v>2</v>
      </c>
    </row>
    <row r="243" spans="1:26" ht="14.25" hidden="1" customHeight="1" x14ac:dyDescent="0.15">
      <c r="A243" s="24" t="s">
        <v>296</v>
      </c>
      <c r="B243" s="24" t="s">
        <v>185</v>
      </c>
      <c r="C243" s="26">
        <v>503</v>
      </c>
      <c r="D243" s="24" t="s">
        <v>16</v>
      </c>
      <c r="F243" s="24" t="s">
        <v>219</v>
      </c>
      <c r="G243" s="21">
        <v>2019</v>
      </c>
      <c r="H243" s="21">
        <v>15</v>
      </c>
      <c r="I243" s="21">
        <f t="shared" ca="1" si="15"/>
        <v>7</v>
      </c>
      <c r="J243" s="21">
        <v>3</v>
      </c>
      <c r="K243" s="25" t="str">
        <f t="shared" ca="1" si="16"/>
        <v>Activo</v>
      </c>
      <c r="L243" s="25" t="s">
        <v>302</v>
      </c>
      <c r="O243" s="25" t="s">
        <v>221</v>
      </c>
      <c r="P243" s="25" t="s">
        <v>49</v>
      </c>
      <c r="Q243" s="34">
        <v>365</v>
      </c>
      <c r="R243" s="25" t="s">
        <v>64</v>
      </c>
      <c r="S243" s="28">
        <v>46198</v>
      </c>
      <c r="T243" s="28">
        <f t="shared" si="17"/>
        <v>46563</v>
      </c>
      <c r="U243" s="25">
        <f t="shared" ca="1" si="18"/>
        <v>302</v>
      </c>
      <c r="V243" s="25" t="str">
        <f t="shared" ca="1" si="19"/>
        <v>AL DÍA</v>
      </c>
      <c r="W243" s="25" t="s">
        <v>24</v>
      </c>
      <c r="X243" s="25" t="s">
        <v>271</v>
      </c>
      <c r="Y243" s="25">
        <v>2</v>
      </c>
      <c r="Z243" s="1" t="s">
        <v>303</v>
      </c>
    </row>
    <row r="244" spans="1:26" ht="14.25" hidden="1" customHeight="1" x14ac:dyDescent="0.15">
      <c r="A244" s="24" t="s">
        <v>296</v>
      </c>
      <c r="B244" s="24" t="s">
        <v>185</v>
      </c>
      <c r="C244" s="26">
        <v>503</v>
      </c>
      <c r="D244" s="24" t="s">
        <v>16</v>
      </c>
      <c r="F244" s="24" t="s">
        <v>224</v>
      </c>
      <c r="G244" s="71"/>
      <c r="H244" s="21">
        <v>0</v>
      </c>
      <c r="I244" s="21">
        <f t="shared" ca="1" si="15"/>
        <v>2026</v>
      </c>
      <c r="J244" s="21">
        <v>3</v>
      </c>
      <c r="K244" s="25" t="str">
        <f t="shared" ca="1" si="16"/>
        <v>Activo</v>
      </c>
      <c r="Q244" s="34">
        <v>365</v>
      </c>
      <c r="R244" s="25" t="s">
        <v>64</v>
      </c>
      <c r="S244" s="28">
        <v>46198</v>
      </c>
      <c r="T244" s="28">
        <f t="shared" si="17"/>
        <v>46563</v>
      </c>
      <c r="U244" s="25">
        <f t="shared" ca="1" si="18"/>
        <v>302</v>
      </c>
      <c r="V244" s="25" t="str">
        <f t="shared" ca="1" si="19"/>
        <v>AL DÍA</v>
      </c>
      <c r="W244" s="25" t="s">
        <v>24</v>
      </c>
      <c r="X244" s="25" t="s">
        <v>271</v>
      </c>
      <c r="Y244" s="25">
        <v>2</v>
      </c>
    </row>
    <row r="245" spans="1:26" ht="14.25" hidden="1" customHeight="1" x14ac:dyDescent="0.15">
      <c r="A245" s="24" t="s">
        <v>296</v>
      </c>
      <c r="B245" s="24" t="s">
        <v>185</v>
      </c>
      <c r="C245" s="26">
        <v>503</v>
      </c>
      <c r="D245" s="24" t="s">
        <v>65</v>
      </c>
      <c r="F245" s="24" t="s">
        <v>220</v>
      </c>
      <c r="G245" s="21">
        <v>1987</v>
      </c>
      <c r="H245" s="21">
        <v>0</v>
      </c>
      <c r="I245" s="21">
        <f t="shared" ca="1" si="15"/>
        <v>39</v>
      </c>
      <c r="J245" s="21">
        <v>3</v>
      </c>
      <c r="K245" s="25" t="str">
        <f t="shared" ca="1" si="16"/>
        <v>Activo</v>
      </c>
      <c r="L245" s="25" t="s">
        <v>49</v>
      </c>
      <c r="O245" s="25" t="s">
        <v>222</v>
      </c>
      <c r="Q245" s="34">
        <v>365</v>
      </c>
      <c r="R245" s="25" t="s">
        <v>64</v>
      </c>
      <c r="S245" s="28">
        <v>46198</v>
      </c>
      <c r="T245" s="28">
        <f t="shared" si="17"/>
        <v>46563</v>
      </c>
      <c r="U245" s="25">
        <f t="shared" ca="1" si="18"/>
        <v>302</v>
      </c>
      <c r="V245" s="25" t="str">
        <f t="shared" ca="1" si="19"/>
        <v>AL DÍA</v>
      </c>
      <c r="W245" s="25" t="s">
        <v>24</v>
      </c>
      <c r="X245" s="25" t="s">
        <v>262</v>
      </c>
      <c r="Y245" s="25">
        <v>2</v>
      </c>
    </row>
    <row r="246" spans="1:26" ht="14.25" hidden="1" customHeight="1" x14ac:dyDescent="0.15">
      <c r="A246" s="24" t="s">
        <v>296</v>
      </c>
      <c r="B246" s="24" t="s">
        <v>185</v>
      </c>
      <c r="C246" s="26">
        <v>504</v>
      </c>
      <c r="D246" s="24" t="s">
        <v>65</v>
      </c>
      <c r="F246" s="24" t="s">
        <v>215</v>
      </c>
      <c r="G246" s="21">
        <v>1987</v>
      </c>
      <c r="H246" s="21">
        <v>0</v>
      </c>
      <c r="I246" s="21">
        <f t="shared" ca="1" si="15"/>
        <v>39</v>
      </c>
      <c r="J246" s="21">
        <v>3</v>
      </c>
      <c r="K246" s="25" t="str">
        <f t="shared" ca="1" si="16"/>
        <v>Activo</v>
      </c>
      <c r="L246" s="25" t="s">
        <v>49</v>
      </c>
      <c r="M246" s="25" t="s">
        <v>49</v>
      </c>
      <c r="P246" s="25" t="s">
        <v>22</v>
      </c>
      <c r="Q246" s="34">
        <v>365</v>
      </c>
      <c r="R246" s="25" t="s">
        <v>64</v>
      </c>
      <c r="S246" s="28">
        <v>46198</v>
      </c>
      <c r="T246" s="28">
        <f t="shared" si="17"/>
        <v>46563</v>
      </c>
      <c r="U246" s="25">
        <f t="shared" ca="1" si="18"/>
        <v>302</v>
      </c>
      <c r="V246" s="25" t="str">
        <f t="shared" ca="1" si="19"/>
        <v>AL DÍA</v>
      </c>
      <c r="W246" s="25" t="s">
        <v>24</v>
      </c>
      <c r="X246" s="25" t="s">
        <v>271</v>
      </c>
      <c r="Y246" s="25">
        <v>2</v>
      </c>
    </row>
    <row r="247" spans="1:26" ht="14.25" hidden="1" customHeight="1" x14ac:dyDescent="0.15">
      <c r="A247" s="24" t="s">
        <v>296</v>
      </c>
      <c r="B247" s="24" t="s">
        <v>185</v>
      </c>
      <c r="C247" s="26">
        <v>504</v>
      </c>
      <c r="D247" s="24" t="s">
        <v>65</v>
      </c>
      <c r="F247" s="24" t="s">
        <v>216</v>
      </c>
      <c r="G247" s="21">
        <v>1987</v>
      </c>
      <c r="H247" s="21">
        <v>0</v>
      </c>
      <c r="I247" s="21">
        <f t="shared" ca="1" si="15"/>
        <v>39</v>
      </c>
      <c r="J247" s="21">
        <v>3</v>
      </c>
      <c r="K247" s="25" t="str">
        <f t="shared" ca="1" si="16"/>
        <v>Activo</v>
      </c>
      <c r="L247" s="25" t="s">
        <v>49</v>
      </c>
      <c r="O247" s="26"/>
      <c r="P247" s="26" t="s">
        <v>22</v>
      </c>
      <c r="Q247" s="34">
        <v>365</v>
      </c>
      <c r="R247" s="25" t="s">
        <v>69</v>
      </c>
      <c r="S247" s="29">
        <v>46198</v>
      </c>
      <c r="T247" s="28">
        <f t="shared" si="17"/>
        <v>46563</v>
      </c>
      <c r="U247" s="25">
        <f t="shared" ca="1" si="18"/>
        <v>302</v>
      </c>
      <c r="V247" s="25" t="str">
        <f t="shared" ca="1" si="19"/>
        <v>AL DÍA</v>
      </c>
      <c r="W247" s="25" t="s">
        <v>24</v>
      </c>
      <c r="X247" s="25" t="s">
        <v>277</v>
      </c>
      <c r="Y247" s="25">
        <v>1</v>
      </c>
    </row>
    <row r="248" spans="1:26" ht="14.25" hidden="1" customHeight="1" x14ac:dyDescent="0.15">
      <c r="A248" s="24" t="s">
        <v>296</v>
      </c>
      <c r="B248" s="24" t="s">
        <v>185</v>
      </c>
      <c r="C248" s="26">
        <v>504</v>
      </c>
      <c r="D248" s="24" t="s">
        <v>65</v>
      </c>
      <c r="F248" s="24" t="s">
        <v>217</v>
      </c>
      <c r="G248" s="21">
        <v>1987</v>
      </c>
      <c r="H248" s="21">
        <v>0</v>
      </c>
      <c r="I248" s="21">
        <f t="shared" ca="1" si="15"/>
        <v>39</v>
      </c>
      <c r="J248" s="21">
        <v>3</v>
      </c>
      <c r="K248" s="25" t="str">
        <f t="shared" ca="1" si="16"/>
        <v>Activo</v>
      </c>
      <c r="L248" s="25" t="s">
        <v>49</v>
      </c>
      <c r="O248" s="25">
        <v>62.64</v>
      </c>
      <c r="Q248" s="34">
        <v>365</v>
      </c>
      <c r="R248" s="25" t="s">
        <v>64</v>
      </c>
      <c r="S248" s="28">
        <v>46198</v>
      </c>
      <c r="T248" s="28">
        <f t="shared" si="17"/>
        <v>46563</v>
      </c>
      <c r="U248" s="25">
        <f t="shared" ca="1" si="18"/>
        <v>302</v>
      </c>
      <c r="V248" s="25" t="str">
        <f t="shared" ca="1" si="19"/>
        <v>AL DÍA</v>
      </c>
      <c r="W248" s="25" t="s">
        <v>24</v>
      </c>
      <c r="X248" s="25" t="s">
        <v>262</v>
      </c>
      <c r="Y248" s="25">
        <v>2</v>
      </c>
    </row>
    <row r="249" spans="1:26" ht="14.25" hidden="1" customHeight="1" x14ac:dyDescent="0.15">
      <c r="A249" s="24" t="s">
        <v>296</v>
      </c>
      <c r="B249" s="24" t="s">
        <v>185</v>
      </c>
      <c r="C249" s="26">
        <v>504</v>
      </c>
      <c r="D249" s="24" t="s">
        <v>65</v>
      </c>
      <c r="F249" s="24" t="s">
        <v>218</v>
      </c>
      <c r="G249" s="21">
        <v>1987</v>
      </c>
      <c r="H249" s="21">
        <v>0</v>
      </c>
      <c r="I249" s="21">
        <f t="shared" ca="1" si="15"/>
        <v>39</v>
      </c>
      <c r="J249" s="21">
        <v>3</v>
      </c>
      <c r="K249" s="25" t="str">
        <f t="shared" ca="1" si="16"/>
        <v>Activo</v>
      </c>
      <c r="L249" s="25" t="s">
        <v>49</v>
      </c>
      <c r="O249" s="25" t="s">
        <v>227</v>
      </c>
      <c r="P249" s="26"/>
      <c r="Q249" s="34">
        <v>365</v>
      </c>
      <c r="R249" s="25" t="s">
        <v>64</v>
      </c>
      <c r="S249" s="28">
        <v>46198</v>
      </c>
      <c r="T249" s="28">
        <f t="shared" si="17"/>
        <v>46563</v>
      </c>
      <c r="U249" s="25">
        <f t="shared" ca="1" si="18"/>
        <v>302</v>
      </c>
      <c r="V249" s="25" t="str">
        <f t="shared" ca="1" si="19"/>
        <v>AL DÍA</v>
      </c>
      <c r="W249" s="25" t="s">
        <v>24</v>
      </c>
      <c r="X249" s="25" t="s">
        <v>262</v>
      </c>
      <c r="Y249" s="25">
        <v>2</v>
      </c>
    </row>
    <row r="250" spans="1:26" ht="14.25" hidden="1" customHeight="1" x14ac:dyDescent="0.15">
      <c r="A250" s="24" t="s">
        <v>296</v>
      </c>
      <c r="B250" s="24" t="s">
        <v>185</v>
      </c>
      <c r="C250" s="26">
        <v>504</v>
      </c>
      <c r="D250" s="24" t="s">
        <v>16</v>
      </c>
      <c r="F250" s="24" t="s">
        <v>219</v>
      </c>
      <c r="G250" s="21">
        <v>2019</v>
      </c>
      <c r="H250" s="21">
        <v>15</v>
      </c>
      <c r="I250" s="21">
        <f t="shared" ca="1" si="15"/>
        <v>7</v>
      </c>
      <c r="J250" s="21">
        <v>3</v>
      </c>
      <c r="K250" s="25" t="str">
        <f t="shared" ca="1" si="16"/>
        <v>Activo</v>
      </c>
      <c r="L250" s="25" t="s">
        <v>302</v>
      </c>
      <c r="O250" s="25" t="s">
        <v>221</v>
      </c>
      <c r="P250" s="26" t="s">
        <v>49</v>
      </c>
      <c r="Q250" s="34">
        <v>365</v>
      </c>
      <c r="R250" s="25" t="s">
        <v>64</v>
      </c>
      <c r="S250" s="28">
        <v>46198</v>
      </c>
      <c r="T250" s="28">
        <f t="shared" si="17"/>
        <v>46563</v>
      </c>
      <c r="U250" s="25">
        <f t="shared" ca="1" si="18"/>
        <v>302</v>
      </c>
      <c r="V250" s="25" t="str">
        <f t="shared" ca="1" si="19"/>
        <v>AL DÍA</v>
      </c>
      <c r="W250" s="25" t="s">
        <v>24</v>
      </c>
      <c r="X250" s="25" t="s">
        <v>271</v>
      </c>
      <c r="Y250" s="25">
        <v>2</v>
      </c>
      <c r="Z250" s="1" t="s">
        <v>303</v>
      </c>
    </row>
    <row r="251" spans="1:26" ht="14.25" hidden="1" customHeight="1" x14ac:dyDescent="0.15">
      <c r="A251" s="24" t="s">
        <v>296</v>
      </c>
      <c r="B251" s="24" t="s">
        <v>185</v>
      </c>
      <c r="C251" s="26">
        <v>504</v>
      </c>
      <c r="D251" s="24" t="s">
        <v>16</v>
      </c>
      <c r="F251" s="24" t="s">
        <v>224</v>
      </c>
      <c r="G251" s="71"/>
      <c r="H251" s="21">
        <v>0</v>
      </c>
      <c r="I251" s="21">
        <f t="shared" ca="1" si="15"/>
        <v>2026</v>
      </c>
      <c r="J251" s="21">
        <v>3</v>
      </c>
      <c r="K251" s="25" t="str">
        <f t="shared" ca="1" si="16"/>
        <v>Activo</v>
      </c>
      <c r="Q251" s="34">
        <v>365</v>
      </c>
      <c r="R251" s="25" t="s">
        <v>64</v>
      </c>
      <c r="S251" s="28">
        <v>46198</v>
      </c>
      <c r="T251" s="28">
        <f t="shared" si="17"/>
        <v>46563</v>
      </c>
      <c r="U251" s="25">
        <f t="shared" ca="1" si="18"/>
        <v>302</v>
      </c>
      <c r="V251" s="25" t="str">
        <f t="shared" ca="1" si="19"/>
        <v>AL DÍA</v>
      </c>
      <c r="W251" s="25" t="s">
        <v>24</v>
      </c>
      <c r="X251" s="25" t="s">
        <v>271</v>
      </c>
      <c r="Y251" s="25">
        <v>2</v>
      </c>
    </row>
    <row r="252" spans="1:26" ht="14.25" hidden="1" customHeight="1" x14ac:dyDescent="0.15">
      <c r="A252" s="24" t="s">
        <v>296</v>
      </c>
      <c r="B252" s="24" t="s">
        <v>185</v>
      </c>
      <c r="C252" s="26">
        <v>504</v>
      </c>
      <c r="D252" s="24" t="s">
        <v>65</v>
      </c>
      <c r="F252" s="24" t="s">
        <v>220</v>
      </c>
      <c r="G252" s="21">
        <v>1987</v>
      </c>
      <c r="H252" s="21">
        <v>0</v>
      </c>
      <c r="I252" s="21">
        <f t="shared" ca="1" si="15"/>
        <v>39</v>
      </c>
      <c r="J252" s="21">
        <v>3</v>
      </c>
      <c r="K252" s="25" t="str">
        <f t="shared" ca="1" si="16"/>
        <v>Activo</v>
      </c>
      <c r="L252" s="25" t="s">
        <v>49</v>
      </c>
      <c r="O252" s="25" t="s">
        <v>222</v>
      </c>
      <c r="P252" s="26"/>
      <c r="Q252" s="34">
        <v>365</v>
      </c>
      <c r="R252" s="25" t="s">
        <v>64</v>
      </c>
      <c r="S252" s="28">
        <v>46198</v>
      </c>
      <c r="T252" s="28">
        <f t="shared" si="17"/>
        <v>46563</v>
      </c>
      <c r="U252" s="25">
        <f t="shared" ca="1" si="18"/>
        <v>302</v>
      </c>
      <c r="V252" s="25" t="str">
        <f t="shared" ca="1" si="19"/>
        <v>AL DÍA</v>
      </c>
      <c r="W252" s="25" t="s">
        <v>24</v>
      </c>
      <c r="X252" s="25" t="s">
        <v>262</v>
      </c>
      <c r="Y252" s="25">
        <v>2</v>
      </c>
    </row>
    <row r="253" spans="1:26" ht="14.25" hidden="1" customHeight="1" x14ac:dyDescent="0.15">
      <c r="A253" s="24" t="s">
        <v>296</v>
      </c>
      <c r="B253" s="24" t="s">
        <v>185</v>
      </c>
      <c r="C253" s="26">
        <v>506</v>
      </c>
      <c r="D253" s="24" t="s">
        <v>65</v>
      </c>
      <c r="F253" s="24" t="s">
        <v>215</v>
      </c>
      <c r="G253" s="21">
        <v>1987</v>
      </c>
      <c r="H253" s="21">
        <v>0</v>
      </c>
      <c r="I253" s="21">
        <f t="shared" ca="1" si="15"/>
        <v>39</v>
      </c>
      <c r="J253" s="21">
        <v>3</v>
      </c>
      <c r="K253" s="25" t="str">
        <f t="shared" ca="1" si="16"/>
        <v>Activo</v>
      </c>
      <c r="L253" s="25" t="s">
        <v>49</v>
      </c>
      <c r="M253" s="25" t="s">
        <v>49</v>
      </c>
      <c r="P253" s="25" t="s">
        <v>22</v>
      </c>
      <c r="Q253" s="34">
        <v>365</v>
      </c>
      <c r="R253" s="25" t="s">
        <v>64</v>
      </c>
      <c r="S253" s="28">
        <v>46198</v>
      </c>
      <c r="T253" s="28">
        <f t="shared" si="17"/>
        <v>46563</v>
      </c>
      <c r="U253" s="25">
        <f t="shared" ca="1" si="18"/>
        <v>302</v>
      </c>
      <c r="V253" s="25" t="str">
        <f t="shared" ca="1" si="19"/>
        <v>AL DÍA</v>
      </c>
      <c r="W253" s="25" t="s">
        <v>24</v>
      </c>
      <c r="X253" s="25" t="s">
        <v>271</v>
      </c>
      <c r="Y253" s="25">
        <v>2</v>
      </c>
    </row>
    <row r="254" spans="1:26" ht="14.25" hidden="1" customHeight="1" x14ac:dyDescent="0.15">
      <c r="A254" s="24" t="s">
        <v>296</v>
      </c>
      <c r="B254" s="24" t="s">
        <v>185</v>
      </c>
      <c r="C254" s="26">
        <v>506</v>
      </c>
      <c r="D254" s="24" t="s">
        <v>65</v>
      </c>
      <c r="F254" s="24" t="s">
        <v>216</v>
      </c>
      <c r="G254" s="21">
        <v>1987</v>
      </c>
      <c r="H254" s="21">
        <v>0</v>
      </c>
      <c r="I254" s="21">
        <f t="shared" ca="1" si="15"/>
        <v>39</v>
      </c>
      <c r="J254" s="21">
        <v>3</v>
      </c>
      <c r="K254" s="25" t="str">
        <f t="shared" ca="1" si="16"/>
        <v>Activo</v>
      </c>
      <c r="L254" s="25" t="s">
        <v>49</v>
      </c>
      <c r="O254" s="26"/>
      <c r="P254" s="26" t="s">
        <v>22</v>
      </c>
      <c r="Q254" s="34">
        <v>365</v>
      </c>
      <c r="R254" s="25" t="s">
        <v>69</v>
      </c>
      <c r="S254" s="29">
        <v>46198</v>
      </c>
      <c r="T254" s="28">
        <f t="shared" si="17"/>
        <v>46563</v>
      </c>
      <c r="U254" s="25">
        <f t="shared" ca="1" si="18"/>
        <v>302</v>
      </c>
      <c r="V254" s="25" t="str">
        <f t="shared" ca="1" si="19"/>
        <v>AL DÍA</v>
      </c>
      <c r="W254" s="25" t="s">
        <v>24</v>
      </c>
      <c r="X254" s="25" t="s">
        <v>277</v>
      </c>
      <c r="Y254" s="25">
        <v>1</v>
      </c>
    </row>
    <row r="255" spans="1:26" ht="14.25" hidden="1" customHeight="1" x14ac:dyDescent="0.15">
      <c r="A255" s="24" t="s">
        <v>296</v>
      </c>
      <c r="B255" s="24" t="s">
        <v>185</v>
      </c>
      <c r="C255" s="26">
        <v>506</v>
      </c>
      <c r="D255" s="24" t="s">
        <v>65</v>
      </c>
      <c r="F255" s="24" t="s">
        <v>217</v>
      </c>
      <c r="G255" s="21">
        <v>1987</v>
      </c>
      <c r="H255" s="21">
        <v>0</v>
      </c>
      <c r="I255" s="21">
        <f t="shared" ca="1" si="15"/>
        <v>39</v>
      </c>
      <c r="J255" s="21">
        <v>3</v>
      </c>
      <c r="K255" s="25" t="str">
        <f t="shared" ca="1" si="16"/>
        <v>Activo</v>
      </c>
      <c r="L255" s="25" t="s">
        <v>49</v>
      </c>
      <c r="O255" s="25">
        <v>62.64</v>
      </c>
      <c r="Q255" s="34">
        <v>365</v>
      </c>
      <c r="R255" s="25" t="s">
        <v>64</v>
      </c>
      <c r="S255" s="28">
        <v>46198</v>
      </c>
      <c r="T255" s="28">
        <f t="shared" si="17"/>
        <v>46563</v>
      </c>
      <c r="U255" s="25">
        <f t="shared" ca="1" si="18"/>
        <v>302</v>
      </c>
      <c r="V255" s="25" t="str">
        <f t="shared" ca="1" si="19"/>
        <v>AL DÍA</v>
      </c>
      <c r="W255" s="25" t="s">
        <v>24</v>
      </c>
      <c r="X255" s="25" t="s">
        <v>262</v>
      </c>
      <c r="Y255" s="25">
        <v>2</v>
      </c>
    </row>
    <row r="256" spans="1:26" ht="14.25" hidden="1" customHeight="1" x14ac:dyDescent="0.15">
      <c r="A256" s="24" t="s">
        <v>296</v>
      </c>
      <c r="B256" s="24" t="s">
        <v>185</v>
      </c>
      <c r="C256" s="26">
        <v>506</v>
      </c>
      <c r="D256" s="24" t="s">
        <v>65</v>
      </c>
      <c r="F256" s="24" t="s">
        <v>218</v>
      </c>
      <c r="G256" s="21">
        <v>1987</v>
      </c>
      <c r="H256" s="21">
        <v>0</v>
      </c>
      <c r="I256" s="21">
        <f t="shared" ca="1" si="15"/>
        <v>39</v>
      </c>
      <c r="J256" s="21">
        <v>3</v>
      </c>
      <c r="K256" s="25" t="str">
        <f t="shared" ca="1" si="16"/>
        <v>Activo</v>
      </c>
      <c r="L256" s="25" t="s">
        <v>49</v>
      </c>
      <c r="O256" s="25" t="s">
        <v>227</v>
      </c>
      <c r="Q256" s="34">
        <v>365</v>
      </c>
      <c r="R256" s="25" t="s">
        <v>64</v>
      </c>
      <c r="S256" s="28">
        <v>46198</v>
      </c>
      <c r="T256" s="28">
        <f t="shared" si="17"/>
        <v>46563</v>
      </c>
      <c r="U256" s="25">
        <f t="shared" ca="1" si="18"/>
        <v>302</v>
      </c>
      <c r="V256" s="25" t="str">
        <f t="shared" ca="1" si="19"/>
        <v>AL DÍA</v>
      </c>
      <c r="W256" s="25" t="s">
        <v>24</v>
      </c>
      <c r="X256" s="25" t="s">
        <v>262</v>
      </c>
      <c r="Y256" s="25">
        <v>2</v>
      </c>
    </row>
    <row r="257" spans="1:26" ht="14.25" hidden="1" customHeight="1" x14ac:dyDescent="0.15">
      <c r="A257" s="24" t="s">
        <v>296</v>
      </c>
      <c r="B257" s="24" t="s">
        <v>185</v>
      </c>
      <c r="C257" s="26">
        <v>506</v>
      </c>
      <c r="D257" s="24" t="s">
        <v>16</v>
      </c>
      <c r="F257" s="24" t="s">
        <v>219</v>
      </c>
      <c r="G257" s="21">
        <v>2019</v>
      </c>
      <c r="H257" s="21">
        <v>15</v>
      </c>
      <c r="I257" s="21">
        <f t="shared" ca="1" si="15"/>
        <v>7</v>
      </c>
      <c r="J257" s="21">
        <v>3</v>
      </c>
      <c r="K257" s="25" t="str">
        <f t="shared" ca="1" si="16"/>
        <v>Activo</v>
      </c>
      <c r="L257" s="25" t="s">
        <v>302</v>
      </c>
      <c r="O257" s="25" t="s">
        <v>221</v>
      </c>
      <c r="P257" s="25" t="s">
        <v>49</v>
      </c>
      <c r="Q257" s="34">
        <v>365</v>
      </c>
      <c r="R257" s="25" t="s">
        <v>64</v>
      </c>
      <c r="S257" s="28">
        <v>46198</v>
      </c>
      <c r="T257" s="28">
        <f t="shared" si="17"/>
        <v>46563</v>
      </c>
      <c r="U257" s="25">
        <f t="shared" ca="1" si="18"/>
        <v>302</v>
      </c>
      <c r="V257" s="25" t="str">
        <f t="shared" ca="1" si="19"/>
        <v>AL DÍA</v>
      </c>
      <c r="W257" s="25" t="s">
        <v>24</v>
      </c>
      <c r="X257" s="25" t="s">
        <v>271</v>
      </c>
      <c r="Y257" s="25">
        <v>2</v>
      </c>
      <c r="Z257" s="1" t="s">
        <v>303</v>
      </c>
    </row>
    <row r="258" spans="1:26" ht="14.25" hidden="1" customHeight="1" x14ac:dyDescent="0.15">
      <c r="A258" s="24" t="s">
        <v>296</v>
      </c>
      <c r="B258" s="24" t="s">
        <v>185</v>
      </c>
      <c r="C258" s="26">
        <v>506</v>
      </c>
      <c r="D258" s="24" t="s">
        <v>16</v>
      </c>
      <c r="F258" s="24" t="s">
        <v>224</v>
      </c>
      <c r="G258" s="71"/>
      <c r="H258" s="21">
        <v>0</v>
      </c>
      <c r="I258" s="21">
        <f t="shared" ref="I258:I321" ca="1" si="20">YEAR(TODAY())-G258</f>
        <v>2026</v>
      </c>
      <c r="J258" s="21">
        <v>3</v>
      </c>
      <c r="K258" s="25" t="str">
        <f t="shared" ref="K258:K321" ca="1" si="21">IF(J258=1,"Cambiar",IF(J258=2,"Presupuestar",IF(H258=0,"Activo",IF(G258+H258&lt;YEAR(TODAY()),"Cambiar o Inspección externa",IF(G258+H258-1&lt;YEAR(TODAY()),"Presupuestar","Activo")))))</f>
        <v>Activo</v>
      </c>
      <c r="Q258" s="34">
        <v>365</v>
      </c>
      <c r="R258" s="25" t="s">
        <v>64</v>
      </c>
      <c r="S258" s="28">
        <v>46198</v>
      </c>
      <c r="T258" s="28">
        <f t="shared" ref="T258:T321" si="22">+S258+Q258</f>
        <v>46563</v>
      </c>
      <c r="U258" s="25">
        <f t="shared" ref="U258:U321" ca="1" si="23">T258-TODAY()</f>
        <v>302</v>
      </c>
      <c r="V258" s="25" t="str">
        <f t="shared" ref="V258:V321" ca="1" si="24">IF(U258&lt;0, "VENCIDO", "AL DÍA")</f>
        <v>AL DÍA</v>
      </c>
      <c r="W258" s="25" t="s">
        <v>24</v>
      </c>
      <c r="X258" s="25" t="s">
        <v>271</v>
      </c>
      <c r="Y258" s="25">
        <v>2</v>
      </c>
    </row>
    <row r="259" spans="1:26" ht="14.25" hidden="1" customHeight="1" x14ac:dyDescent="0.15">
      <c r="A259" s="24" t="s">
        <v>296</v>
      </c>
      <c r="B259" s="24" t="s">
        <v>185</v>
      </c>
      <c r="C259" s="26">
        <v>506</v>
      </c>
      <c r="D259" s="24" t="s">
        <v>65</v>
      </c>
      <c r="F259" s="24" t="s">
        <v>220</v>
      </c>
      <c r="G259" s="21">
        <v>1987</v>
      </c>
      <c r="H259" s="21">
        <v>0</v>
      </c>
      <c r="I259" s="21">
        <f t="shared" ca="1" si="20"/>
        <v>39</v>
      </c>
      <c r="J259" s="21">
        <v>3</v>
      </c>
      <c r="K259" s="25" t="str">
        <f t="shared" ca="1" si="21"/>
        <v>Activo</v>
      </c>
      <c r="L259" s="25" t="s">
        <v>49</v>
      </c>
      <c r="O259" s="25" t="s">
        <v>222</v>
      </c>
      <c r="P259" s="26"/>
      <c r="Q259" s="34">
        <v>365</v>
      </c>
      <c r="R259" s="25" t="s">
        <v>64</v>
      </c>
      <c r="S259" s="28">
        <v>46198</v>
      </c>
      <c r="T259" s="28">
        <f t="shared" si="22"/>
        <v>46563</v>
      </c>
      <c r="U259" s="25">
        <f t="shared" ca="1" si="23"/>
        <v>302</v>
      </c>
      <c r="V259" s="25" t="str">
        <f t="shared" ca="1" si="24"/>
        <v>AL DÍA</v>
      </c>
      <c r="W259" s="25" t="s">
        <v>24</v>
      </c>
      <c r="X259" s="25" t="s">
        <v>262</v>
      </c>
      <c r="Y259" s="25">
        <v>2</v>
      </c>
    </row>
    <row r="260" spans="1:26" ht="14.25" hidden="1" customHeight="1" x14ac:dyDescent="0.15">
      <c r="A260" s="24" t="s">
        <v>296</v>
      </c>
      <c r="B260" s="24" t="s">
        <v>185</v>
      </c>
      <c r="C260" s="26">
        <v>507</v>
      </c>
      <c r="D260" s="24" t="s">
        <v>65</v>
      </c>
      <c r="F260" s="24" t="s">
        <v>215</v>
      </c>
      <c r="G260" s="21">
        <v>1987</v>
      </c>
      <c r="H260" s="21">
        <v>0</v>
      </c>
      <c r="I260" s="21">
        <f t="shared" ca="1" si="20"/>
        <v>39</v>
      </c>
      <c r="J260" s="21">
        <v>3</v>
      </c>
      <c r="K260" s="25" t="str">
        <f t="shared" ca="1" si="21"/>
        <v>Activo</v>
      </c>
      <c r="L260" s="25" t="s">
        <v>49</v>
      </c>
      <c r="M260" s="25" t="s">
        <v>49</v>
      </c>
      <c r="P260" s="25" t="s">
        <v>22</v>
      </c>
      <c r="Q260" s="34">
        <v>365</v>
      </c>
      <c r="R260" s="25" t="s">
        <v>64</v>
      </c>
      <c r="S260" s="28">
        <v>46198</v>
      </c>
      <c r="T260" s="28">
        <f t="shared" si="22"/>
        <v>46563</v>
      </c>
      <c r="U260" s="25">
        <f t="shared" ca="1" si="23"/>
        <v>302</v>
      </c>
      <c r="V260" s="25" t="str">
        <f t="shared" ca="1" si="24"/>
        <v>AL DÍA</v>
      </c>
      <c r="W260" s="25" t="s">
        <v>24</v>
      </c>
      <c r="X260" s="25" t="s">
        <v>271</v>
      </c>
      <c r="Y260" s="25">
        <v>2</v>
      </c>
    </row>
    <row r="261" spans="1:26" ht="14.25" hidden="1" customHeight="1" x14ac:dyDescent="0.15">
      <c r="A261" s="24" t="s">
        <v>296</v>
      </c>
      <c r="B261" s="24" t="s">
        <v>185</v>
      </c>
      <c r="C261" s="26">
        <v>507</v>
      </c>
      <c r="D261" s="24" t="s">
        <v>65</v>
      </c>
      <c r="F261" s="24" t="s">
        <v>216</v>
      </c>
      <c r="G261" s="21">
        <v>1987</v>
      </c>
      <c r="H261" s="21">
        <v>0</v>
      </c>
      <c r="I261" s="21">
        <f t="shared" ca="1" si="20"/>
        <v>39</v>
      </c>
      <c r="J261" s="21">
        <v>3</v>
      </c>
      <c r="K261" s="25" t="str">
        <f t="shared" ca="1" si="21"/>
        <v>Activo</v>
      </c>
      <c r="L261" s="25" t="s">
        <v>49</v>
      </c>
      <c r="O261" s="26"/>
      <c r="P261" s="26" t="s">
        <v>22</v>
      </c>
      <c r="Q261" s="34">
        <v>365</v>
      </c>
      <c r="R261" s="25" t="s">
        <v>69</v>
      </c>
      <c r="S261" s="29">
        <v>46198</v>
      </c>
      <c r="T261" s="28">
        <f t="shared" si="22"/>
        <v>46563</v>
      </c>
      <c r="U261" s="25">
        <f t="shared" ca="1" si="23"/>
        <v>302</v>
      </c>
      <c r="V261" s="25" t="str">
        <f t="shared" ca="1" si="24"/>
        <v>AL DÍA</v>
      </c>
      <c r="W261" s="25" t="s">
        <v>24</v>
      </c>
      <c r="X261" s="25" t="s">
        <v>277</v>
      </c>
      <c r="Y261" s="25">
        <v>1</v>
      </c>
    </row>
    <row r="262" spans="1:26" ht="14.25" hidden="1" customHeight="1" x14ac:dyDescent="0.15">
      <c r="A262" s="24" t="s">
        <v>296</v>
      </c>
      <c r="B262" s="24" t="s">
        <v>185</v>
      </c>
      <c r="C262" s="26">
        <v>507</v>
      </c>
      <c r="D262" s="24" t="s">
        <v>65</v>
      </c>
      <c r="F262" s="24" t="s">
        <v>217</v>
      </c>
      <c r="G262" s="21">
        <v>1987</v>
      </c>
      <c r="H262" s="21">
        <v>0</v>
      </c>
      <c r="I262" s="21">
        <f t="shared" ca="1" si="20"/>
        <v>39</v>
      </c>
      <c r="J262" s="21">
        <v>3</v>
      </c>
      <c r="K262" s="25" t="str">
        <f t="shared" ca="1" si="21"/>
        <v>Activo</v>
      </c>
      <c r="L262" s="25" t="s">
        <v>49</v>
      </c>
      <c r="O262" s="25">
        <v>62.64</v>
      </c>
      <c r="Q262" s="34">
        <v>365</v>
      </c>
      <c r="R262" s="25" t="s">
        <v>64</v>
      </c>
      <c r="S262" s="28">
        <v>46198</v>
      </c>
      <c r="T262" s="28">
        <f t="shared" si="22"/>
        <v>46563</v>
      </c>
      <c r="U262" s="25">
        <f t="shared" ca="1" si="23"/>
        <v>302</v>
      </c>
      <c r="V262" s="25" t="str">
        <f t="shared" ca="1" si="24"/>
        <v>AL DÍA</v>
      </c>
      <c r="W262" s="25" t="s">
        <v>24</v>
      </c>
      <c r="X262" s="25" t="s">
        <v>262</v>
      </c>
      <c r="Y262" s="25">
        <v>2</v>
      </c>
    </row>
    <row r="263" spans="1:26" ht="14.25" hidden="1" customHeight="1" x14ac:dyDescent="0.15">
      <c r="A263" s="24" t="s">
        <v>296</v>
      </c>
      <c r="B263" s="24" t="s">
        <v>185</v>
      </c>
      <c r="C263" s="26">
        <v>507</v>
      </c>
      <c r="D263" s="24" t="s">
        <v>65</v>
      </c>
      <c r="F263" s="24" t="s">
        <v>218</v>
      </c>
      <c r="G263" s="21">
        <v>1987</v>
      </c>
      <c r="H263" s="21">
        <v>0</v>
      </c>
      <c r="I263" s="21">
        <f t="shared" ca="1" si="20"/>
        <v>39</v>
      </c>
      <c r="J263" s="21">
        <v>3</v>
      </c>
      <c r="K263" s="25" t="str">
        <f t="shared" ca="1" si="21"/>
        <v>Activo</v>
      </c>
      <c r="L263" s="25" t="s">
        <v>49</v>
      </c>
      <c r="O263" s="25" t="s">
        <v>227</v>
      </c>
      <c r="Q263" s="34">
        <v>365</v>
      </c>
      <c r="R263" s="25" t="s">
        <v>64</v>
      </c>
      <c r="S263" s="28">
        <v>46198</v>
      </c>
      <c r="T263" s="28">
        <f t="shared" si="22"/>
        <v>46563</v>
      </c>
      <c r="U263" s="25">
        <f t="shared" ca="1" si="23"/>
        <v>302</v>
      </c>
      <c r="V263" s="25" t="str">
        <f t="shared" ca="1" si="24"/>
        <v>AL DÍA</v>
      </c>
      <c r="W263" s="25" t="s">
        <v>24</v>
      </c>
      <c r="X263" s="25" t="s">
        <v>262</v>
      </c>
      <c r="Y263" s="25">
        <v>2</v>
      </c>
    </row>
    <row r="264" spans="1:26" ht="14.25" hidden="1" customHeight="1" x14ac:dyDescent="0.15">
      <c r="A264" s="24" t="s">
        <v>296</v>
      </c>
      <c r="B264" s="24" t="s">
        <v>185</v>
      </c>
      <c r="C264" s="26">
        <v>507</v>
      </c>
      <c r="D264" s="24" t="s">
        <v>16</v>
      </c>
      <c r="F264" s="24" t="s">
        <v>219</v>
      </c>
      <c r="G264" s="21">
        <v>2019</v>
      </c>
      <c r="H264" s="21">
        <v>15</v>
      </c>
      <c r="I264" s="21">
        <f t="shared" ca="1" si="20"/>
        <v>7</v>
      </c>
      <c r="J264" s="21">
        <v>3</v>
      </c>
      <c r="K264" s="25" t="str">
        <f t="shared" ca="1" si="21"/>
        <v>Activo</v>
      </c>
      <c r="L264" s="25" t="s">
        <v>302</v>
      </c>
      <c r="O264" s="25" t="s">
        <v>221</v>
      </c>
      <c r="P264" s="25" t="s">
        <v>49</v>
      </c>
      <c r="Q264" s="34">
        <v>365</v>
      </c>
      <c r="R264" s="25" t="s">
        <v>64</v>
      </c>
      <c r="S264" s="28">
        <v>46198</v>
      </c>
      <c r="T264" s="28">
        <f t="shared" si="22"/>
        <v>46563</v>
      </c>
      <c r="U264" s="25">
        <f t="shared" ca="1" si="23"/>
        <v>302</v>
      </c>
      <c r="V264" s="25" t="str">
        <f t="shared" ca="1" si="24"/>
        <v>AL DÍA</v>
      </c>
      <c r="W264" s="25" t="s">
        <v>24</v>
      </c>
      <c r="X264" s="25" t="s">
        <v>271</v>
      </c>
      <c r="Y264" s="25">
        <v>2</v>
      </c>
      <c r="Z264" s="1" t="s">
        <v>303</v>
      </c>
    </row>
    <row r="265" spans="1:26" ht="14.25" hidden="1" customHeight="1" x14ac:dyDescent="0.15">
      <c r="A265" s="24" t="s">
        <v>296</v>
      </c>
      <c r="B265" s="24" t="s">
        <v>185</v>
      </c>
      <c r="C265" s="26">
        <v>507</v>
      </c>
      <c r="D265" s="24" t="s">
        <v>16</v>
      </c>
      <c r="F265" s="24" t="s">
        <v>224</v>
      </c>
      <c r="G265" s="71"/>
      <c r="H265" s="21">
        <v>0</v>
      </c>
      <c r="I265" s="21">
        <f t="shared" ca="1" si="20"/>
        <v>2026</v>
      </c>
      <c r="J265" s="21">
        <v>3</v>
      </c>
      <c r="K265" s="25" t="str">
        <f t="shared" ca="1" si="21"/>
        <v>Activo</v>
      </c>
      <c r="Q265" s="34">
        <v>365</v>
      </c>
      <c r="R265" s="25" t="s">
        <v>64</v>
      </c>
      <c r="S265" s="28">
        <v>46198</v>
      </c>
      <c r="T265" s="28">
        <f t="shared" si="22"/>
        <v>46563</v>
      </c>
      <c r="U265" s="25">
        <f t="shared" ca="1" si="23"/>
        <v>302</v>
      </c>
      <c r="V265" s="25" t="str">
        <f t="shared" ca="1" si="24"/>
        <v>AL DÍA</v>
      </c>
      <c r="W265" s="25" t="s">
        <v>24</v>
      </c>
      <c r="X265" s="25" t="s">
        <v>271</v>
      </c>
      <c r="Y265" s="25">
        <v>2</v>
      </c>
    </row>
    <row r="266" spans="1:26" ht="14.25" hidden="1" customHeight="1" x14ac:dyDescent="0.15">
      <c r="A266" s="24" t="s">
        <v>296</v>
      </c>
      <c r="B266" s="24" t="s">
        <v>185</v>
      </c>
      <c r="C266" s="26">
        <v>507</v>
      </c>
      <c r="D266" s="24" t="s">
        <v>65</v>
      </c>
      <c r="F266" s="24" t="s">
        <v>220</v>
      </c>
      <c r="G266" s="21">
        <v>1987</v>
      </c>
      <c r="H266" s="21">
        <v>0</v>
      </c>
      <c r="I266" s="21">
        <f t="shared" ca="1" si="20"/>
        <v>39</v>
      </c>
      <c r="J266" s="21">
        <v>3</v>
      </c>
      <c r="K266" s="25" t="str">
        <f t="shared" ca="1" si="21"/>
        <v>Activo</v>
      </c>
      <c r="L266" s="25" t="s">
        <v>49</v>
      </c>
      <c r="O266" s="25" t="s">
        <v>222</v>
      </c>
      <c r="P266" s="26"/>
      <c r="Q266" s="34">
        <v>365</v>
      </c>
      <c r="R266" s="25" t="s">
        <v>64</v>
      </c>
      <c r="S266" s="28">
        <v>46198</v>
      </c>
      <c r="T266" s="28">
        <f t="shared" si="22"/>
        <v>46563</v>
      </c>
      <c r="U266" s="25">
        <f t="shared" ca="1" si="23"/>
        <v>302</v>
      </c>
      <c r="V266" s="25" t="str">
        <f t="shared" ca="1" si="24"/>
        <v>AL DÍA</v>
      </c>
      <c r="W266" s="25" t="s">
        <v>24</v>
      </c>
      <c r="X266" s="25" t="s">
        <v>262</v>
      </c>
      <c r="Y266" s="25">
        <v>2</v>
      </c>
    </row>
    <row r="267" spans="1:26" ht="14.25" hidden="1" customHeight="1" x14ac:dyDescent="0.15">
      <c r="A267" s="24" t="s">
        <v>296</v>
      </c>
      <c r="B267" s="24" t="s">
        <v>185</v>
      </c>
      <c r="C267" s="26">
        <v>508</v>
      </c>
      <c r="D267" s="24" t="s">
        <v>65</v>
      </c>
      <c r="F267" s="24" t="s">
        <v>215</v>
      </c>
      <c r="G267" s="21">
        <v>1987</v>
      </c>
      <c r="H267" s="21">
        <v>0</v>
      </c>
      <c r="I267" s="21">
        <f t="shared" ca="1" si="20"/>
        <v>39</v>
      </c>
      <c r="J267" s="21">
        <v>3</v>
      </c>
      <c r="K267" s="25" t="str">
        <f t="shared" ca="1" si="21"/>
        <v>Activo</v>
      </c>
      <c r="L267" s="25" t="s">
        <v>49</v>
      </c>
      <c r="M267" s="25" t="s">
        <v>49</v>
      </c>
      <c r="P267" s="25" t="s">
        <v>22</v>
      </c>
      <c r="Q267" s="34">
        <v>365</v>
      </c>
      <c r="R267" s="25" t="s">
        <v>64</v>
      </c>
      <c r="S267" s="28">
        <v>46198</v>
      </c>
      <c r="T267" s="28">
        <f t="shared" si="22"/>
        <v>46563</v>
      </c>
      <c r="U267" s="25">
        <f t="shared" ca="1" si="23"/>
        <v>302</v>
      </c>
      <c r="V267" s="25" t="str">
        <f t="shared" ca="1" si="24"/>
        <v>AL DÍA</v>
      </c>
      <c r="W267" s="25" t="s">
        <v>24</v>
      </c>
      <c r="X267" s="25" t="s">
        <v>271</v>
      </c>
      <c r="Y267" s="25">
        <v>2</v>
      </c>
    </row>
    <row r="268" spans="1:26" ht="14.25" hidden="1" customHeight="1" x14ac:dyDescent="0.15">
      <c r="A268" s="24" t="s">
        <v>296</v>
      </c>
      <c r="B268" s="24" t="s">
        <v>185</v>
      </c>
      <c r="C268" s="26">
        <v>508</v>
      </c>
      <c r="D268" s="24" t="s">
        <v>65</v>
      </c>
      <c r="F268" s="24" t="s">
        <v>216</v>
      </c>
      <c r="G268" s="21">
        <v>1987</v>
      </c>
      <c r="H268" s="21">
        <v>0</v>
      </c>
      <c r="I268" s="21">
        <f t="shared" ca="1" si="20"/>
        <v>39</v>
      </c>
      <c r="J268" s="21">
        <v>3</v>
      </c>
      <c r="K268" s="25" t="str">
        <f t="shared" ca="1" si="21"/>
        <v>Activo</v>
      </c>
      <c r="L268" s="25" t="s">
        <v>49</v>
      </c>
      <c r="O268" s="26"/>
      <c r="P268" s="26" t="s">
        <v>22</v>
      </c>
      <c r="Q268" s="34">
        <v>365</v>
      </c>
      <c r="R268" s="25" t="s">
        <v>69</v>
      </c>
      <c r="S268" s="29">
        <v>46198</v>
      </c>
      <c r="T268" s="28">
        <f t="shared" si="22"/>
        <v>46563</v>
      </c>
      <c r="U268" s="25">
        <f t="shared" ca="1" si="23"/>
        <v>302</v>
      </c>
      <c r="V268" s="25" t="str">
        <f t="shared" ca="1" si="24"/>
        <v>AL DÍA</v>
      </c>
      <c r="W268" s="25" t="s">
        <v>24</v>
      </c>
      <c r="X268" s="25" t="s">
        <v>277</v>
      </c>
      <c r="Y268" s="25">
        <v>1</v>
      </c>
    </row>
    <row r="269" spans="1:26" ht="14.25" hidden="1" customHeight="1" x14ac:dyDescent="0.15">
      <c r="A269" s="24" t="s">
        <v>296</v>
      </c>
      <c r="B269" s="24" t="s">
        <v>185</v>
      </c>
      <c r="C269" s="26">
        <v>508</v>
      </c>
      <c r="D269" s="24" t="s">
        <v>65</v>
      </c>
      <c r="F269" s="24" t="s">
        <v>217</v>
      </c>
      <c r="G269" s="21">
        <v>1987</v>
      </c>
      <c r="H269" s="21">
        <v>0</v>
      </c>
      <c r="I269" s="21">
        <f t="shared" ca="1" si="20"/>
        <v>39</v>
      </c>
      <c r="J269" s="21">
        <v>3</v>
      </c>
      <c r="K269" s="25" t="str">
        <f t="shared" ca="1" si="21"/>
        <v>Activo</v>
      </c>
      <c r="L269" s="25" t="s">
        <v>49</v>
      </c>
      <c r="O269" s="25">
        <v>62.64</v>
      </c>
      <c r="Q269" s="34">
        <v>365</v>
      </c>
      <c r="R269" s="25" t="s">
        <v>64</v>
      </c>
      <c r="S269" s="28">
        <v>46198</v>
      </c>
      <c r="T269" s="28">
        <f t="shared" si="22"/>
        <v>46563</v>
      </c>
      <c r="U269" s="25">
        <f t="shared" ca="1" si="23"/>
        <v>302</v>
      </c>
      <c r="V269" s="25" t="str">
        <f t="shared" ca="1" si="24"/>
        <v>AL DÍA</v>
      </c>
      <c r="W269" s="25" t="s">
        <v>24</v>
      </c>
      <c r="X269" s="25" t="s">
        <v>262</v>
      </c>
      <c r="Y269" s="25">
        <v>2</v>
      </c>
    </row>
    <row r="270" spans="1:26" ht="14.25" hidden="1" customHeight="1" x14ac:dyDescent="0.15">
      <c r="A270" s="24" t="s">
        <v>296</v>
      </c>
      <c r="B270" s="24" t="s">
        <v>185</v>
      </c>
      <c r="C270" s="26">
        <v>508</v>
      </c>
      <c r="D270" s="24" t="s">
        <v>65</v>
      </c>
      <c r="F270" s="24" t="s">
        <v>218</v>
      </c>
      <c r="G270" s="21">
        <v>1987</v>
      </c>
      <c r="H270" s="21">
        <v>0</v>
      </c>
      <c r="I270" s="21">
        <f t="shared" ca="1" si="20"/>
        <v>39</v>
      </c>
      <c r="J270" s="21">
        <v>3</v>
      </c>
      <c r="K270" s="25" t="str">
        <f t="shared" ca="1" si="21"/>
        <v>Activo</v>
      </c>
      <c r="L270" s="25" t="s">
        <v>49</v>
      </c>
      <c r="O270" s="25" t="s">
        <v>227</v>
      </c>
      <c r="Q270" s="34">
        <v>365</v>
      </c>
      <c r="R270" s="25" t="s">
        <v>64</v>
      </c>
      <c r="S270" s="28">
        <v>46198</v>
      </c>
      <c r="T270" s="28">
        <f t="shared" si="22"/>
        <v>46563</v>
      </c>
      <c r="U270" s="25">
        <f t="shared" ca="1" si="23"/>
        <v>302</v>
      </c>
      <c r="V270" s="25" t="str">
        <f t="shared" ca="1" si="24"/>
        <v>AL DÍA</v>
      </c>
      <c r="W270" s="25" t="s">
        <v>24</v>
      </c>
      <c r="X270" s="25" t="s">
        <v>262</v>
      </c>
      <c r="Y270" s="25">
        <v>2</v>
      </c>
    </row>
    <row r="271" spans="1:26" ht="14.25" hidden="1" customHeight="1" x14ac:dyDescent="0.15">
      <c r="A271" s="24" t="s">
        <v>296</v>
      </c>
      <c r="B271" s="24" t="s">
        <v>185</v>
      </c>
      <c r="C271" s="26">
        <v>508</v>
      </c>
      <c r="D271" s="24" t="s">
        <v>16</v>
      </c>
      <c r="F271" s="24" t="s">
        <v>219</v>
      </c>
      <c r="G271" s="21">
        <v>2019</v>
      </c>
      <c r="H271" s="21">
        <v>15</v>
      </c>
      <c r="I271" s="21">
        <f t="shared" ca="1" si="20"/>
        <v>7</v>
      </c>
      <c r="J271" s="21">
        <v>3</v>
      </c>
      <c r="K271" s="25" t="str">
        <f t="shared" ca="1" si="21"/>
        <v>Activo</v>
      </c>
      <c r="L271" s="25" t="s">
        <v>302</v>
      </c>
      <c r="O271" s="25" t="s">
        <v>221</v>
      </c>
      <c r="P271" s="25" t="s">
        <v>49</v>
      </c>
      <c r="Q271" s="34">
        <v>365</v>
      </c>
      <c r="R271" s="25" t="s">
        <v>64</v>
      </c>
      <c r="S271" s="28">
        <v>46198</v>
      </c>
      <c r="T271" s="28">
        <f t="shared" si="22"/>
        <v>46563</v>
      </c>
      <c r="U271" s="25">
        <f t="shared" ca="1" si="23"/>
        <v>302</v>
      </c>
      <c r="V271" s="25" t="str">
        <f t="shared" ca="1" si="24"/>
        <v>AL DÍA</v>
      </c>
      <c r="W271" s="25" t="s">
        <v>24</v>
      </c>
      <c r="X271" s="25" t="s">
        <v>271</v>
      </c>
      <c r="Y271" s="25">
        <v>2</v>
      </c>
      <c r="Z271" s="1" t="s">
        <v>303</v>
      </c>
    </row>
    <row r="272" spans="1:26" ht="14.25" hidden="1" customHeight="1" x14ac:dyDescent="0.15">
      <c r="A272" s="24" t="s">
        <v>296</v>
      </c>
      <c r="B272" s="24" t="s">
        <v>185</v>
      </c>
      <c r="C272" s="26">
        <v>508</v>
      </c>
      <c r="D272" s="24" t="s">
        <v>16</v>
      </c>
      <c r="F272" s="24" t="s">
        <v>224</v>
      </c>
      <c r="G272" s="71"/>
      <c r="H272" s="21">
        <v>0</v>
      </c>
      <c r="I272" s="21">
        <f t="shared" ca="1" si="20"/>
        <v>2026</v>
      </c>
      <c r="J272" s="21">
        <v>3</v>
      </c>
      <c r="K272" s="25" t="str">
        <f t="shared" ca="1" si="21"/>
        <v>Activo</v>
      </c>
      <c r="Q272" s="34">
        <v>365</v>
      </c>
      <c r="R272" s="25" t="s">
        <v>64</v>
      </c>
      <c r="S272" s="28">
        <v>46198</v>
      </c>
      <c r="T272" s="28">
        <f t="shared" si="22"/>
        <v>46563</v>
      </c>
      <c r="U272" s="25">
        <f t="shared" ca="1" si="23"/>
        <v>302</v>
      </c>
      <c r="V272" s="25" t="str">
        <f t="shared" ca="1" si="24"/>
        <v>AL DÍA</v>
      </c>
      <c r="W272" s="25" t="s">
        <v>24</v>
      </c>
      <c r="X272" s="25" t="s">
        <v>271</v>
      </c>
      <c r="Y272" s="25">
        <v>2</v>
      </c>
    </row>
    <row r="273" spans="1:26" ht="14.25" hidden="1" customHeight="1" x14ac:dyDescent="0.15">
      <c r="A273" s="24" t="s">
        <v>296</v>
      </c>
      <c r="B273" s="24" t="s">
        <v>185</v>
      </c>
      <c r="C273" s="26">
        <v>508</v>
      </c>
      <c r="D273" s="24" t="s">
        <v>65</v>
      </c>
      <c r="F273" s="24" t="s">
        <v>220</v>
      </c>
      <c r="G273" s="21">
        <v>1987</v>
      </c>
      <c r="H273" s="21">
        <v>0</v>
      </c>
      <c r="I273" s="21">
        <f t="shared" ca="1" si="20"/>
        <v>39</v>
      </c>
      <c r="J273" s="21">
        <v>3</v>
      </c>
      <c r="K273" s="25" t="str">
        <f t="shared" ca="1" si="21"/>
        <v>Activo</v>
      </c>
      <c r="L273" s="25" t="s">
        <v>49</v>
      </c>
      <c r="O273" s="25" t="s">
        <v>222</v>
      </c>
      <c r="P273" s="26"/>
      <c r="Q273" s="34">
        <v>365</v>
      </c>
      <c r="R273" s="25" t="s">
        <v>64</v>
      </c>
      <c r="S273" s="28">
        <v>46198</v>
      </c>
      <c r="T273" s="28">
        <f t="shared" si="22"/>
        <v>46563</v>
      </c>
      <c r="U273" s="25">
        <f t="shared" ca="1" si="23"/>
        <v>302</v>
      </c>
      <c r="V273" s="25" t="str">
        <f t="shared" ca="1" si="24"/>
        <v>AL DÍA</v>
      </c>
      <c r="W273" s="25" t="s">
        <v>24</v>
      </c>
      <c r="X273" s="25" t="s">
        <v>262</v>
      </c>
      <c r="Y273" s="25">
        <v>2</v>
      </c>
    </row>
    <row r="274" spans="1:26" ht="14.25" hidden="1" customHeight="1" x14ac:dyDescent="0.15">
      <c r="A274" s="24" t="s">
        <v>296</v>
      </c>
      <c r="B274" s="24" t="s">
        <v>185</v>
      </c>
      <c r="C274" s="25">
        <v>509</v>
      </c>
      <c r="D274" s="24" t="s">
        <v>65</v>
      </c>
      <c r="F274" s="24" t="s">
        <v>215</v>
      </c>
      <c r="G274" s="21">
        <v>1987</v>
      </c>
      <c r="H274" s="21">
        <v>0</v>
      </c>
      <c r="I274" s="21">
        <f t="shared" ca="1" si="20"/>
        <v>39</v>
      </c>
      <c r="J274" s="21">
        <v>3</v>
      </c>
      <c r="K274" s="25" t="str">
        <f t="shared" ca="1" si="21"/>
        <v>Activo</v>
      </c>
      <c r="L274" s="25" t="s">
        <v>49</v>
      </c>
      <c r="M274" s="25" t="s">
        <v>49</v>
      </c>
      <c r="P274" s="25" t="s">
        <v>22</v>
      </c>
      <c r="Q274" s="34">
        <v>365</v>
      </c>
      <c r="R274" s="25" t="s">
        <v>64</v>
      </c>
      <c r="S274" s="28">
        <v>46198</v>
      </c>
      <c r="T274" s="28">
        <f t="shared" si="22"/>
        <v>46563</v>
      </c>
      <c r="U274" s="25">
        <f t="shared" ca="1" si="23"/>
        <v>302</v>
      </c>
      <c r="V274" s="25" t="str">
        <f t="shared" ca="1" si="24"/>
        <v>AL DÍA</v>
      </c>
      <c r="W274" s="25" t="s">
        <v>24</v>
      </c>
      <c r="X274" s="25" t="s">
        <v>271</v>
      </c>
      <c r="Y274" s="25">
        <v>2</v>
      </c>
    </row>
    <row r="275" spans="1:26" ht="14.25" hidden="1" customHeight="1" x14ac:dyDescent="0.15">
      <c r="A275" s="24" t="s">
        <v>296</v>
      </c>
      <c r="B275" s="24" t="s">
        <v>185</v>
      </c>
      <c r="C275" s="25">
        <v>509</v>
      </c>
      <c r="D275" s="24" t="s">
        <v>65</v>
      </c>
      <c r="F275" s="24" t="s">
        <v>216</v>
      </c>
      <c r="G275" s="21">
        <v>1987</v>
      </c>
      <c r="H275" s="21">
        <v>0</v>
      </c>
      <c r="I275" s="21">
        <f t="shared" ca="1" si="20"/>
        <v>39</v>
      </c>
      <c r="J275" s="21">
        <v>3</v>
      </c>
      <c r="K275" s="25" t="str">
        <f t="shared" ca="1" si="21"/>
        <v>Activo</v>
      </c>
      <c r="L275" s="25" t="s">
        <v>49</v>
      </c>
      <c r="O275" s="26"/>
      <c r="P275" s="26" t="s">
        <v>22</v>
      </c>
      <c r="Q275" s="34">
        <v>365</v>
      </c>
      <c r="R275" s="25" t="s">
        <v>69</v>
      </c>
      <c r="S275" s="29">
        <v>46198</v>
      </c>
      <c r="T275" s="28">
        <f t="shared" si="22"/>
        <v>46563</v>
      </c>
      <c r="U275" s="25">
        <f t="shared" ca="1" si="23"/>
        <v>302</v>
      </c>
      <c r="V275" s="25" t="str">
        <f t="shared" ca="1" si="24"/>
        <v>AL DÍA</v>
      </c>
      <c r="W275" s="25" t="s">
        <v>24</v>
      </c>
      <c r="X275" s="25" t="s">
        <v>277</v>
      </c>
      <c r="Y275" s="25">
        <v>1</v>
      </c>
    </row>
    <row r="276" spans="1:26" ht="14.25" hidden="1" customHeight="1" x14ac:dyDescent="0.15">
      <c r="A276" s="24" t="s">
        <v>296</v>
      </c>
      <c r="B276" s="24" t="s">
        <v>185</v>
      </c>
      <c r="C276" s="25">
        <v>509</v>
      </c>
      <c r="D276" s="24" t="s">
        <v>65</v>
      </c>
      <c r="F276" s="24" t="s">
        <v>217</v>
      </c>
      <c r="G276" s="21">
        <v>1987</v>
      </c>
      <c r="H276" s="21">
        <v>0</v>
      </c>
      <c r="I276" s="21">
        <f t="shared" ca="1" si="20"/>
        <v>39</v>
      </c>
      <c r="J276" s="21">
        <v>3</v>
      </c>
      <c r="K276" s="25" t="str">
        <f t="shared" ca="1" si="21"/>
        <v>Activo</v>
      </c>
      <c r="L276" s="25" t="s">
        <v>49</v>
      </c>
      <c r="O276" s="25">
        <v>62.64</v>
      </c>
      <c r="Q276" s="34">
        <v>365</v>
      </c>
      <c r="R276" s="25" t="s">
        <v>64</v>
      </c>
      <c r="S276" s="28">
        <v>46198</v>
      </c>
      <c r="T276" s="28">
        <f t="shared" si="22"/>
        <v>46563</v>
      </c>
      <c r="U276" s="25">
        <f t="shared" ca="1" si="23"/>
        <v>302</v>
      </c>
      <c r="V276" s="25" t="str">
        <f t="shared" ca="1" si="24"/>
        <v>AL DÍA</v>
      </c>
      <c r="W276" s="25" t="s">
        <v>24</v>
      </c>
      <c r="X276" s="25" t="s">
        <v>262</v>
      </c>
      <c r="Y276" s="25">
        <v>2</v>
      </c>
    </row>
    <row r="277" spans="1:26" ht="14.25" hidden="1" customHeight="1" x14ac:dyDescent="0.15">
      <c r="A277" s="24" t="s">
        <v>296</v>
      </c>
      <c r="B277" s="24" t="s">
        <v>185</v>
      </c>
      <c r="C277" s="25">
        <v>509</v>
      </c>
      <c r="D277" s="24" t="s">
        <v>65</v>
      </c>
      <c r="F277" s="24" t="s">
        <v>218</v>
      </c>
      <c r="G277" s="21">
        <v>1987</v>
      </c>
      <c r="H277" s="21">
        <v>0</v>
      </c>
      <c r="I277" s="21">
        <f t="shared" ca="1" si="20"/>
        <v>39</v>
      </c>
      <c r="J277" s="21">
        <v>3</v>
      </c>
      <c r="K277" s="25" t="str">
        <f t="shared" ca="1" si="21"/>
        <v>Activo</v>
      </c>
      <c r="L277" s="25" t="s">
        <v>49</v>
      </c>
      <c r="O277" s="25" t="s">
        <v>227</v>
      </c>
      <c r="Q277" s="34">
        <v>365</v>
      </c>
      <c r="R277" s="25" t="s">
        <v>64</v>
      </c>
      <c r="S277" s="28">
        <v>46198</v>
      </c>
      <c r="T277" s="28">
        <f t="shared" si="22"/>
        <v>46563</v>
      </c>
      <c r="U277" s="25">
        <f t="shared" ca="1" si="23"/>
        <v>302</v>
      </c>
      <c r="V277" s="25" t="str">
        <f t="shared" ca="1" si="24"/>
        <v>AL DÍA</v>
      </c>
      <c r="W277" s="25" t="s">
        <v>24</v>
      </c>
      <c r="X277" s="25" t="s">
        <v>262</v>
      </c>
      <c r="Y277" s="25">
        <v>2</v>
      </c>
    </row>
    <row r="278" spans="1:26" ht="14.25" hidden="1" customHeight="1" x14ac:dyDescent="0.15">
      <c r="A278" s="24" t="s">
        <v>296</v>
      </c>
      <c r="B278" s="24" t="s">
        <v>185</v>
      </c>
      <c r="C278" s="25">
        <v>509</v>
      </c>
      <c r="D278" s="24" t="s">
        <v>16</v>
      </c>
      <c r="F278" s="24" t="s">
        <v>219</v>
      </c>
      <c r="G278" s="21">
        <v>2019</v>
      </c>
      <c r="H278" s="21">
        <v>15</v>
      </c>
      <c r="I278" s="21">
        <f t="shared" ca="1" si="20"/>
        <v>7</v>
      </c>
      <c r="J278" s="21">
        <v>3</v>
      </c>
      <c r="K278" s="25" t="str">
        <f t="shared" ca="1" si="21"/>
        <v>Activo</v>
      </c>
      <c r="L278" s="25" t="s">
        <v>302</v>
      </c>
      <c r="O278" s="25" t="s">
        <v>221</v>
      </c>
      <c r="P278" s="25" t="s">
        <v>49</v>
      </c>
      <c r="Q278" s="34">
        <v>365</v>
      </c>
      <c r="R278" s="25" t="s">
        <v>64</v>
      </c>
      <c r="S278" s="28">
        <v>46198</v>
      </c>
      <c r="T278" s="28">
        <f t="shared" si="22"/>
        <v>46563</v>
      </c>
      <c r="U278" s="25">
        <f t="shared" ca="1" si="23"/>
        <v>302</v>
      </c>
      <c r="V278" s="25" t="str">
        <f t="shared" ca="1" si="24"/>
        <v>AL DÍA</v>
      </c>
      <c r="W278" s="25" t="s">
        <v>24</v>
      </c>
      <c r="X278" s="25" t="s">
        <v>271</v>
      </c>
      <c r="Y278" s="25">
        <v>2</v>
      </c>
      <c r="Z278" s="1" t="s">
        <v>303</v>
      </c>
    </row>
    <row r="279" spans="1:26" ht="14.25" hidden="1" customHeight="1" x14ac:dyDescent="0.15">
      <c r="A279" s="24" t="s">
        <v>296</v>
      </c>
      <c r="B279" s="24" t="s">
        <v>185</v>
      </c>
      <c r="C279" s="25">
        <v>509</v>
      </c>
      <c r="D279" s="24" t="s">
        <v>16</v>
      </c>
      <c r="F279" s="24" t="s">
        <v>224</v>
      </c>
      <c r="G279" s="71"/>
      <c r="H279" s="21">
        <v>0</v>
      </c>
      <c r="I279" s="21">
        <f t="shared" ca="1" si="20"/>
        <v>2026</v>
      </c>
      <c r="J279" s="21">
        <v>3</v>
      </c>
      <c r="K279" s="25" t="str">
        <f t="shared" ca="1" si="21"/>
        <v>Activo</v>
      </c>
      <c r="Q279" s="34">
        <v>365</v>
      </c>
      <c r="R279" s="25" t="s">
        <v>64</v>
      </c>
      <c r="S279" s="28">
        <v>46198</v>
      </c>
      <c r="T279" s="28">
        <f t="shared" si="22"/>
        <v>46563</v>
      </c>
      <c r="U279" s="25">
        <f t="shared" ca="1" si="23"/>
        <v>302</v>
      </c>
      <c r="V279" s="25" t="str">
        <f t="shared" ca="1" si="24"/>
        <v>AL DÍA</v>
      </c>
      <c r="W279" s="25" t="s">
        <v>24</v>
      </c>
      <c r="X279" s="25" t="s">
        <v>271</v>
      </c>
      <c r="Y279" s="25">
        <v>2</v>
      </c>
    </row>
    <row r="280" spans="1:26" ht="14.25" hidden="1" customHeight="1" x14ac:dyDescent="0.15">
      <c r="A280" s="24" t="s">
        <v>296</v>
      </c>
      <c r="B280" s="24" t="s">
        <v>185</v>
      </c>
      <c r="C280" s="25">
        <v>509</v>
      </c>
      <c r="D280" s="24" t="s">
        <v>65</v>
      </c>
      <c r="F280" s="24" t="s">
        <v>220</v>
      </c>
      <c r="G280" s="21">
        <v>1987</v>
      </c>
      <c r="H280" s="21">
        <v>0</v>
      </c>
      <c r="I280" s="21">
        <f t="shared" ca="1" si="20"/>
        <v>39</v>
      </c>
      <c r="J280" s="21">
        <v>3</v>
      </c>
      <c r="K280" s="25" t="str">
        <f t="shared" ca="1" si="21"/>
        <v>Activo</v>
      </c>
      <c r="L280" s="25" t="s">
        <v>49</v>
      </c>
      <c r="O280" s="26" t="s">
        <v>222</v>
      </c>
      <c r="P280" s="26"/>
      <c r="Q280" s="34">
        <v>365</v>
      </c>
      <c r="R280" s="25" t="s">
        <v>64</v>
      </c>
      <c r="S280" s="28">
        <v>46198</v>
      </c>
      <c r="T280" s="28">
        <f t="shared" si="22"/>
        <v>46563</v>
      </c>
      <c r="U280" s="25">
        <f t="shared" ca="1" si="23"/>
        <v>302</v>
      </c>
      <c r="V280" s="25" t="str">
        <f t="shared" ca="1" si="24"/>
        <v>AL DÍA</v>
      </c>
      <c r="W280" s="25" t="s">
        <v>24</v>
      </c>
      <c r="X280" s="25" t="s">
        <v>262</v>
      </c>
      <c r="Y280" s="25">
        <v>2</v>
      </c>
    </row>
    <row r="281" spans="1:26" ht="14.25" hidden="1" customHeight="1" x14ac:dyDescent="0.15">
      <c r="A281" s="24" t="s">
        <v>296</v>
      </c>
      <c r="B281" s="24" t="s">
        <v>185</v>
      </c>
      <c r="C281" s="25">
        <v>510</v>
      </c>
      <c r="D281" s="24" t="s">
        <v>65</v>
      </c>
      <c r="F281" s="24" t="s">
        <v>215</v>
      </c>
      <c r="G281" s="21">
        <v>1987</v>
      </c>
      <c r="H281" s="21">
        <v>0</v>
      </c>
      <c r="I281" s="21">
        <f t="shared" ca="1" si="20"/>
        <v>39</v>
      </c>
      <c r="J281" s="21">
        <v>3</v>
      </c>
      <c r="K281" s="25" t="str">
        <f t="shared" ca="1" si="21"/>
        <v>Activo</v>
      </c>
      <c r="L281" s="25" t="s">
        <v>49</v>
      </c>
      <c r="M281" s="25" t="s">
        <v>49</v>
      </c>
      <c r="P281" s="25" t="s">
        <v>22</v>
      </c>
      <c r="Q281" s="34">
        <v>365</v>
      </c>
      <c r="R281" s="25" t="s">
        <v>64</v>
      </c>
      <c r="S281" s="28">
        <v>46198</v>
      </c>
      <c r="T281" s="28">
        <f t="shared" si="22"/>
        <v>46563</v>
      </c>
      <c r="U281" s="25">
        <f t="shared" ca="1" si="23"/>
        <v>302</v>
      </c>
      <c r="V281" s="25" t="str">
        <f t="shared" ca="1" si="24"/>
        <v>AL DÍA</v>
      </c>
      <c r="W281" s="25" t="s">
        <v>24</v>
      </c>
      <c r="X281" s="25" t="s">
        <v>271</v>
      </c>
      <c r="Y281" s="25">
        <v>2</v>
      </c>
    </row>
    <row r="282" spans="1:26" ht="14.25" hidden="1" customHeight="1" x14ac:dyDescent="0.15">
      <c r="A282" s="24" t="s">
        <v>296</v>
      </c>
      <c r="B282" s="24" t="s">
        <v>185</v>
      </c>
      <c r="C282" s="26">
        <v>510</v>
      </c>
      <c r="D282" s="24" t="s">
        <v>65</v>
      </c>
      <c r="F282" s="24" t="s">
        <v>216</v>
      </c>
      <c r="G282" s="21">
        <v>1987</v>
      </c>
      <c r="H282" s="21">
        <v>0</v>
      </c>
      <c r="I282" s="21">
        <f t="shared" ca="1" si="20"/>
        <v>39</v>
      </c>
      <c r="J282" s="21">
        <v>3</v>
      </c>
      <c r="K282" s="25" t="str">
        <f t="shared" ca="1" si="21"/>
        <v>Activo</v>
      </c>
      <c r="L282" s="25" t="s">
        <v>49</v>
      </c>
      <c r="O282" s="26"/>
      <c r="P282" s="25" t="s">
        <v>22</v>
      </c>
      <c r="Q282" s="32">
        <v>365</v>
      </c>
      <c r="R282" s="25" t="s">
        <v>69</v>
      </c>
      <c r="S282" s="29">
        <v>46198</v>
      </c>
      <c r="T282" s="28">
        <f t="shared" si="22"/>
        <v>46563</v>
      </c>
      <c r="U282" s="25">
        <f t="shared" ca="1" si="23"/>
        <v>302</v>
      </c>
      <c r="V282" s="25" t="str">
        <f t="shared" ca="1" si="24"/>
        <v>AL DÍA</v>
      </c>
      <c r="W282" s="25" t="s">
        <v>24</v>
      </c>
      <c r="X282" s="25" t="s">
        <v>277</v>
      </c>
      <c r="Y282" s="25">
        <v>1</v>
      </c>
    </row>
    <row r="283" spans="1:26" ht="14.25" hidden="1" customHeight="1" x14ac:dyDescent="0.15">
      <c r="A283" s="24" t="s">
        <v>296</v>
      </c>
      <c r="B283" s="24" t="s">
        <v>185</v>
      </c>
      <c r="C283" s="26">
        <v>510</v>
      </c>
      <c r="D283" s="24" t="s">
        <v>65</v>
      </c>
      <c r="F283" s="24" t="s">
        <v>217</v>
      </c>
      <c r="G283" s="21">
        <v>1987</v>
      </c>
      <c r="H283" s="21">
        <v>0</v>
      </c>
      <c r="I283" s="21">
        <f t="shared" ca="1" si="20"/>
        <v>39</v>
      </c>
      <c r="J283" s="21">
        <v>3</v>
      </c>
      <c r="K283" s="25" t="str">
        <f t="shared" ca="1" si="21"/>
        <v>Activo</v>
      </c>
      <c r="L283" s="25" t="s">
        <v>49</v>
      </c>
      <c r="O283" s="26">
        <v>41.8</v>
      </c>
      <c r="Q283" s="34">
        <v>365</v>
      </c>
      <c r="R283" s="25" t="s">
        <v>64</v>
      </c>
      <c r="S283" s="28">
        <v>46198</v>
      </c>
      <c r="T283" s="28">
        <f t="shared" si="22"/>
        <v>46563</v>
      </c>
      <c r="U283" s="25">
        <f t="shared" ca="1" si="23"/>
        <v>302</v>
      </c>
      <c r="V283" s="25" t="str">
        <f t="shared" ca="1" si="24"/>
        <v>AL DÍA</v>
      </c>
      <c r="W283" s="25" t="s">
        <v>24</v>
      </c>
      <c r="X283" s="25" t="s">
        <v>262</v>
      </c>
      <c r="Y283" s="25">
        <v>2</v>
      </c>
    </row>
    <row r="284" spans="1:26" ht="14.25" hidden="1" customHeight="1" x14ac:dyDescent="0.15">
      <c r="A284" s="24" t="s">
        <v>296</v>
      </c>
      <c r="B284" s="24" t="s">
        <v>185</v>
      </c>
      <c r="C284" s="26">
        <v>510</v>
      </c>
      <c r="D284" s="24" t="s">
        <v>65</v>
      </c>
      <c r="F284" s="24" t="s">
        <v>218</v>
      </c>
      <c r="G284" s="21">
        <v>1987</v>
      </c>
      <c r="H284" s="21">
        <v>0</v>
      </c>
      <c r="I284" s="21">
        <f t="shared" ca="1" si="20"/>
        <v>39</v>
      </c>
      <c r="J284" s="21">
        <v>3</v>
      </c>
      <c r="K284" s="25" t="str">
        <f t="shared" ca="1" si="21"/>
        <v>Activo</v>
      </c>
      <c r="L284" s="25" t="s">
        <v>49</v>
      </c>
      <c r="O284" s="26" t="s">
        <v>227</v>
      </c>
      <c r="Q284" s="34">
        <v>365</v>
      </c>
      <c r="R284" s="25" t="s">
        <v>64</v>
      </c>
      <c r="S284" s="28">
        <v>46198</v>
      </c>
      <c r="T284" s="28">
        <f t="shared" si="22"/>
        <v>46563</v>
      </c>
      <c r="U284" s="25">
        <f t="shared" ca="1" si="23"/>
        <v>302</v>
      </c>
      <c r="V284" s="25" t="str">
        <f t="shared" ca="1" si="24"/>
        <v>AL DÍA</v>
      </c>
      <c r="W284" s="25" t="s">
        <v>24</v>
      </c>
      <c r="X284" s="25" t="s">
        <v>262</v>
      </c>
      <c r="Y284" s="25">
        <v>2</v>
      </c>
    </row>
    <row r="285" spans="1:26" ht="14.25" hidden="1" customHeight="1" x14ac:dyDescent="0.15">
      <c r="A285" s="24" t="s">
        <v>296</v>
      </c>
      <c r="B285" s="24" t="s">
        <v>185</v>
      </c>
      <c r="C285" s="26">
        <v>510</v>
      </c>
      <c r="D285" s="24" t="s">
        <v>16</v>
      </c>
      <c r="F285" s="24" t="s">
        <v>219</v>
      </c>
      <c r="G285" s="21">
        <v>2019</v>
      </c>
      <c r="H285" s="21">
        <v>15</v>
      </c>
      <c r="I285" s="21">
        <f t="shared" ca="1" si="20"/>
        <v>7</v>
      </c>
      <c r="J285" s="21">
        <v>3</v>
      </c>
      <c r="K285" s="25" t="str">
        <f t="shared" ca="1" si="21"/>
        <v>Activo</v>
      </c>
      <c r="L285" s="25" t="s">
        <v>302</v>
      </c>
      <c r="O285" s="26" t="s">
        <v>221</v>
      </c>
      <c r="P285" s="26" t="s">
        <v>49</v>
      </c>
      <c r="Q285" s="34">
        <v>365</v>
      </c>
      <c r="R285" s="25" t="s">
        <v>64</v>
      </c>
      <c r="S285" s="28">
        <v>46198</v>
      </c>
      <c r="T285" s="28">
        <f t="shared" si="22"/>
        <v>46563</v>
      </c>
      <c r="U285" s="25">
        <f t="shared" ca="1" si="23"/>
        <v>302</v>
      </c>
      <c r="V285" s="25" t="str">
        <f t="shared" ca="1" si="24"/>
        <v>AL DÍA</v>
      </c>
      <c r="W285" s="25" t="s">
        <v>24</v>
      </c>
      <c r="X285" s="25" t="s">
        <v>271</v>
      </c>
      <c r="Y285" s="25">
        <v>2</v>
      </c>
      <c r="Z285" s="1" t="s">
        <v>303</v>
      </c>
    </row>
    <row r="286" spans="1:26" ht="14.25" hidden="1" customHeight="1" x14ac:dyDescent="0.15">
      <c r="A286" s="24" t="s">
        <v>296</v>
      </c>
      <c r="B286" s="24" t="s">
        <v>185</v>
      </c>
      <c r="C286" s="26">
        <v>510</v>
      </c>
      <c r="D286" s="24" t="s">
        <v>16</v>
      </c>
      <c r="F286" s="24" t="s">
        <v>224</v>
      </c>
      <c r="G286" s="71"/>
      <c r="H286" s="21">
        <v>0</v>
      </c>
      <c r="I286" s="21">
        <f t="shared" ca="1" si="20"/>
        <v>2026</v>
      </c>
      <c r="J286" s="21">
        <v>3</v>
      </c>
      <c r="K286" s="25" t="str">
        <f t="shared" ca="1" si="21"/>
        <v>Activo</v>
      </c>
      <c r="O286" s="26"/>
      <c r="P286" s="26"/>
      <c r="Q286" s="34">
        <v>365</v>
      </c>
      <c r="R286" s="25" t="s">
        <v>64</v>
      </c>
      <c r="S286" s="28">
        <v>46198</v>
      </c>
      <c r="T286" s="28">
        <f t="shared" si="22"/>
        <v>46563</v>
      </c>
      <c r="U286" s="25">
        <f t="shared" ca="1" si="23"/>
        <v>302</v>
      </c>
      <c r="V286" s="25" t="str">
        <f t="shared" ca="1" si="24"/>
        <v>AL DÍA</v>
      </c>
      <c r="W286" s="25" t="s">
        <v>24</v>
      </c>
      <c r="X286" s="25" t="s">
        <v>271</v>
      </c>
      <c r="Y286" s="25">
        <v>2</v>
      </c>
    </row>
    <row r="287" spans="1:26" ht="14.25" hidden="1" customHeight="1" x14ac:dyDescent="0.15">
      <c r="A287" s="24" t="s">
        <v>296</v>
      </c>
      <c r="B287" s="24" t="s">
        <v>185</v>
      </c>
      <c r="C287" s="26">
        <v>510</v>
      </c>
      <c r="D287" s="24" t="s">
        <v>65</v>
      </c>
      <c r="F287" s="24" t="s">
        <v>220</v>
      </c>
      <c r="G287" s="21">
        <v>1987</v>
      </c>
      <c r="H287" s="21">
        <v>0</v>
      </c>
      <c r="I287" s="21">
        <f t="shared" ca="1" si="20"/>
        <v>39</v>
      </c>
      <c r="J287" s="21">
        <v>3</v>
      </c>
      <c r="K287" s="25" t="str">
        <f t="shared" ca="1" si="21"/>
        <v>Activo</v>
      </c>
      <c r="L287" s="25" t="s">
        <v>49</v>
      </c>
      <c r="O287" s="26" t="s">
        <v>222</v>
      </c>
      <c r="P287" s="26"/>
      <c r="Q287" s="34">
        <v>365</v>
      </c>
      <c r="R287" s="25" t="s">
        <v>64</v>
      </c>
      <c r="S287" s="28">
        <v>46198</v>
      </c>
      <c r="T287" s="28">
        <f t="shared" si="22"/>
        <v>46563</v>
      </c>
      <c r="U287" s="25">
        <f t="shared" ca="1" si="23"/>
        <v>302</v>
      </c>
      <c r="V287" s="25" t="str">
        <f t="shared" ca="1" si="24"/>
        <v>AL DÍA</v>
      </c>
      <c r="W287" s="25" t="s">
        <v>24</v>
      </c>
      <c r="X287" s="25" t="s">
        <v>262</v>
      </c>
      <c r="Y287" s="25">
        <v>2</v>
      </c>
    </row>
    <row r="288" spans="1:26" ht="14.25" hidden="1" customHeight="1" x14ac:dyDescent="0.15">
      <c r="A288" s="24" t="s">
        <v>296</v>
      </c>
      <c r="B288" s="24" t="s">
        <v>185</v>
      </c>
      <c r="C288" s="26">
        <v>511</v>
      </c>
      <c r="D288" s="24" t="s">
        <v>65</v>
      </c>
      <c r="F288" s="24" t="s">
        <v>215</v>
      </c>
      <c r="G288" s="21">
        <v>1987</v>
      </c>
      <c r="H288" s="21">
        <v>0</v>
      </c>
      <c r="I288" s="21">
        <f t="shared" ca="1" si="20"/>
        <v>39</v>
      </c>
      <c r="J288" s="21">
        <v>3</v>
      </c>
      <c r="K288" s="25" t="str">
        <f t="shared" ca="1" si="21"/>
        <v>Activo</v>
      </c>
      <c r="L288" s="25" t="s">
        <v>49</v>
      </c>
      <c r="M288" s="25" t="s">
        <v>49</v>
      </c>
      <c r="O288" s="26"/>
      <c r="P288" s="26" t="s">
        <v>22</v>
      </c>
      <c r="Q288" s="34">
        <v>365</v>
      </c>
      <c r="R288" s="25" t="s">
        <v>64</v>
      </c>
      <c r="S288" s="28">
        <v>46198</v>
      </c>
      <c r="T288" s="28">
        <f t="shared" si="22"/>
        <v>46563</v>
      </c>
      <c r="U288" s="25">
        <f t="shared" ca="1" si="23"/>
        <v>302</v>
      </c>
      <c r="V288" s="25" t="str">
        <f t="shared" ca="1" si="24"/>
        <v>AL DÍA</v>
      </c>
      <c r="W288" s="25" t="s">
        <v>24</v>
      </c>
      <c r="X288" s="25" t="s">
        <v>271</v>
      </c>
      <c r="Y288" s="25">
        <v>2</v>
      </c>
    </row>
    <row r="289" spans="1:26" ht="14.25" hidden="1" customHeight="1" x14ac:dyDescent="0.15">
      <c r="A289" s="24" t="s">
        <v>296</v>
      </c>
      <c r="B289" s="24" t="s">
        <v>185</v>
      </c>
      <c r="C289" s="26">
        <v>511</v>
      </c>
      <c r="D289" s="24" t="s">
        <v>65</v>
      </c>
      <c r="F289" s="24" t="s">
        <v>216</v>
      </c>
      <c r="G289" s="21">
        <v>1987</v>
      </c>
      <c r="H289" s="21">
        <v>0</v>
      </c>
      <c r="I289" s="21">
        <f t="shared" ca="1" si="20"/>
        <v>39</v>
      </c>
      <c r="J289" s="21">
        <v>3</v>
      </c>
      <c r="K289" s="25" t="str">
        <f t="shared" ca="1" si="21"/>
        <v>Activo</v>
      </c>
      <c r="L289" s="25" t="s">
        <v>49</v>
      </c>
      <c r="O289" s="26"/>
      <c r="P289" s="26" t="s">
        <v>22</v>
      </c>
      <c r="Q289" s="34">
        <v>365</v>
      </c>
      <c r="R289" s="25" t="s">
        <v>69</v>
      </c>
      <c r="S289" s="29">
        <v>46198</v>
      </c>
      <c r="T289" s="28">
        <f t="shared" si="22"/>
        <v>46563</v>
      </c>
      <c r="U289" s="25">
        <f t="shared" ca="1" si="23"/>
        <v>302</v>
      </c>
      <c r="V289" s="25" t="str">
        <f t="shared" ca="1" si="24"/>
        <v>AL DÍA</v>
      </c>
      <c r="W289" s="25" t="s">
        <v>24</v>
      </c>
      <c r="X289" s="25" t="s">
        <v>277</v>
      </c>
      <c r="Y289" s="25">
        <v>1</v>
      </c>
    </row>
    <row r="290" spans="1:26" ht="14.25" hidden="1" customHeight="1" x14ac:dyDescent="0.15">
      <c r="A290" s="24" t="s">
        <v>296</v>
      </c>
      <c r="B290" s="24" t="s">
        <v>185</v>
      </c>
      <c r="C290" s="26">
        <v>511</v>
      </c>
      <c r="D290" s="24" t="s">
        <v>65</v>
      </c>
      <c r="F290" s="24" t="s">
        <v>217</v>
      </c>
      <c r="G290" s="21">
        <v>1987</v>
      </c>
      <c r="H290" s="21">
        <v>0</v>
      </c>
      <c r="I290" s="21">
        <f t="shared" ca="1" si="20"/>
        <v>39</v>
      </c>
      <c r="J290" s="21">
        <v>2</v>
      </c>
      <c r="K290" s="25" t="str">
        <f t="shared" ca="1" si="21"/>
        <v>Presupuestar</v>
      </c>
      <c r="L290" s="25" t="s">
        <v>49</v>
      </c>
      <c r="O290" s="26">
        <v>62.64</v>
      </c>
      <c r="P290" s="26"/>
      <c r="Q290" s="34">
        <v>365</v>
      </c>
      <c r="R290" s="25" t="s">
        <v>64</v>
      </c>
      <c r="S290" s="28">
        <v>46198</v>
      </c>
      <c r="T290" s="28">
        <f t="shared" si="22"/>
        <v>46563</v>
      </c>
      <c r="U290" s="25">
        <f t="shared" ca="1" si="23"/>
        <v>302</v>
      </c>
      <c r="V290" s="25" t="str">
        <f t="shared" ca="1" si="24"/>
        <v>AL DÍA</v>
      </c>
      <c r="W290" s="25" t="s">
        <v>24</v>
      </c>
      <c r="X290" s="25" t="s">
        <v>262</v>
      </c>
      <c r="Y290" s="25">
        <v>2</v>
      </c>
    </row>
    <row r="291" spans="1:26" ht="14.25" hidden="1" customHeight="1" x14ac:dyDescent="0.15">
      <c r="A291" s="24" t="s">
        <v>296</v>
      </c>
      <c r="B291" s="24" t="s">
        <v>185</v>
      </c>
      <c r="C291" s="26">
        <v>511</v>
      </c>
      <c r="D291" s="24" t="s">
        <v>65</v>
      </c>
      <c r="F291" s="24" t="s">
        <v>218</v>
      </c>
      <c r="G291" s="21">
        <v>2026</v>
      </c>
      <c r="H291" s="21">
        <v>0</v>
      </c>
      <c r="I291" s="21">
        <f t="shared" ca="1" si="20"/>
        <v>0</v>
      </c>
      <c r="J291" s="21">
        <v>3</v>
      </c>
      <c r="K291" s="25" t="str">
        <f t="shared" ca="1" si="21"/>
        <v>Activo</v>
      </c>
      <c r="L291" s="25" t="s">
        <v>49</v>
      </c>
      <c r="O291" s="25" t="s">
        <v>358</v>
      </c>
      <c r="Q291" s="34">
        <v>365</v>
      </c>
      <c r="R291" s="25" t="s">
        <v>64</v>
      </c>
      <c r="S291" s="28">
        <v>46198</v>
      </c>
      <c r="T291" s="28">
        <f t="shared" si="22"/>
        <v>46563</v>
      </c>
      <c r="U291" s="25">
        <f t="shared" ca="1" si="23"/>
        <v>302</v>
      </c>
      <c r="V291" s="25" t="str">
        <f t="shared" ca="1" si="24"/>
        <v>AL DÍA</v>
      </c>
      <c r="W291" s="25" t="s">
        <v>24</v>
      </c>
      <c r="X291" s="25" t="s">
        <v>262</v>
      </c>
      <c r="Y291" s="25">
        <v>2</v>
      </c>
    </row>
    <row r="292" spans="1:26" ht="14.25" hidden="1" customHeight="1" x14ac:dyDescent="0.15">
      <c r="A292" s="24" t="s">
        <v>296</v>
      </c>
      <c r="B292" s="24" t="s">
        <v>185</v>
      </c>
      <c r="C292" s="26">
        <v>511</v>
      </c>
      <c r="D292" s="24" t="s">
        <v>16</v>
      </c>
      <c r="F292" s="24" t="s">
        <v>219</v>
      </c>
      <c r="G292" s="21">
        <v>2019</v>
      </c>
      <c r="H292" s="21">
        <v>15</v>
      </c>
      <c r="I292" s="21">
        <f t="shared" ca="1" si="20"/>
        <v>7</v>
      </c>
      <c r="J292" s="21">
        <v>3</v>
      </c>
      <c r="K292" s="25" t="str">
        <f t="shared" ca="1" si="21"/>
        <v>Activo</v>
      </c>
      <c r="L292" s="25" t="s">
        <v>302</v>
      </c>
      <c r="O292" s="25" t="s">
        <v>221</v>
      </c>
      <c r="P292" s="25" t="s">
        <v>49</v>
      </c>
      <c r="Q292" s="34">
        <v>365</v>
      </c>
      <c r="R292" s="25" t="s">
        <v>64</v>
      </c>
      <c r="S292" s="28">
        <v>46198</v>
      </c>
      <c r="T292" s="28">
        <f t="shared" si="22"/>
        <v>46563</v>
      </c>
      <c r="U292" s="25">
        <f t="shared" ca="1" si="23"/>
        <v>302</v>
      </c>
      <c r="V292" s="25" t="str">
        <f t="shared" ca="1" si="24"/>
        <v>AL DÍA</v>
      </c>
      <c r="W292" s="25" t="s">
        <v>24</v>
      </c>
      <c r="X292" s="25" t="s">
        <v>271</v>
      </c>
      <c r="Y292" s="25">
        <v>2</v>
      </c>
      <c r="Z292" s="1" t="s">
        <v>303</v>
      </c>
    </row>
    <row r="293" spans="1:26" ht="14.25" hidden="1" customHeight="1" x14ac:dyDescent="0.15">
      <c r="A293" s="24" t="s">
        <v>296</v>
      </c>
      <c r="B293" s="24" t="s">
        <v>185</v>
      </c>
      <c r="C293" s="26">
        <v>511</v>
      </c>
      <c r="D293" s="24" t="s">
        <v>16</v>
      </c>
      <c r="F293" s="24" t="s">
        <v>224</v>
      </c>
      <c r="G293" s="71"/>
      <c r="H293" s="21">
        <v>0</v>
      </c>
      <c r="I293" s="21">
        <f t="shared" ca="1" si="20"/>
        <v>2026</v>
      </c>
      <c r="J293" s="21">
        <v>3</v>
      </c>
      <c r="K293" s="25" t="str">
        <f t="shared" ca="1" si="21"/>
        <v>Activo</v>
      </c>
      <c r="Q293" s="34">
        <v>365</v>
      </c>
      <c r="R293" s="25" t="s">
        <v>64</v>
      </c>
      <c r="S293" s="28">
        <v>46198</v>
      </c>
      <c r="T293" s="28">
        <f t="shared" si="22"/>
        <v>46563</v>
      </c>
      <c r="U293" s="25">
        <f t="shared" ca="1" si="23"/>
        <v>302</v>
      </c>
      <c r="V293" s="25" t="str">
        <f t="shared" ca="1" si="24"/>
        <v>AL DÍA</v>
      </c>
      <c r="W293" s="25" t="s">
        <v>24</v>
      </c>
      <c r="X293" s="25" t="s">
        <v>271</v>
      </c>
      <c r="Y293" s="25">
        <v>2</v>
      </c>
    </row>
    <row r="294" spans="1:26" ht="14.25" hidden="1" customHeight="1" x14ac:dyDescent="0.15">
      <c r="A294" s="24" t="s">
        <v>296</v>
      </c>
      <c r="B294" s="24" t="s">
        <v>185</v>
      </c>
      <c r="C294" s="26">
        <v>511</v>
      </c>
      <c r="D294" s="24" t="s">
        <v>65</v>
      </c>
      <c r="F294" s="24" t="s">
        <v>220</v>
      </c>
      <c r="G294" s="21">
        <v>1987</v>
      </c>
      <c r="H294" s="21">
        <v>0</v>
      </c>
      <c r="I294" s="21">
        <f t="shared" ca="1" si="20"/>
        <v>39</v>
      </c>
      <c r="J294" s="21">
        <v>3</v>
      </c>
      <c r="K294" s="25" t="str">
        <f t="shared" ca="1" si="21"/>
        <v>Activo</v>
      </c>
      <c r="L294" s="25" t="s">
        <v>49</v>
      </c>
      <c r="O294" s="25" t="s">
        <v>222</v>
      </c>
      <c r="P294" s="26"/>
      <c r="Q294" s="34">
        <v>365</v>
      </c>
      <c r="R294" s="25" t="s">
        <v>64</v>
      </c>
      <c r="S294" s="28">
        <v>46198</v>
      </c>
      <c r="T294" s="28">
        <f t="shared" si="22"/>
        <v>46563</v>
      </c>
      <c r="U294" s="25">
        <f t="shared" ca="1" si="23"/>
        <v>302</v>
      </c>
      <c r="V294" s="25" t="str">
        <f t="shared" ca="1" si="24"/>
        <v>AL DÍA</v>
      </c>
      <c r="W294" s="25" t="s">
        <v>24</v>
      </c>
      <c r="X294" s="25" t="s">
        <v>262</v>
      </c>
      <c r="Y294" s="25">
        <v>2</v>
      </c>
    </row>
    <row r="295" spans="1:26" ht="14.25" hidden="1" customHeight="1" x14ac:dyDescent="0.15">
      <c r="A295" s="24" t="s">
        <v>296</v>
      </c>
      <c r="B295" s="24" t="s">
        <v>185</v>
      </c>
      <c r="C295" s="26">
        <v>512</v>
      </c>
      <c r="D295" s="24" t="s">
        <v>65</v>
      </c>
      <c r="F295" s="24" t="s">
        <v>215</v>
      </c>
      <c r="G295" s="21">
        <v>1987</v>
      </c>
      <c r="H295" s="21">
        <v>0</v>
      </c>
      <c r="I295" s="21">
        <f t="shared" ca="1" si="20"/>
        <v>39</v>
      </c>
      <c r="J295" s="21">
        <v>3</v>
      </c>
      <c r="K295" s="25" t="str">
        <f t="shared" ca="1" si="21"/>
        <v>Activo</v>
      </c>
      <c r="L295" s="25" t="s">
        <v>49</v>
      </c>
      <c r="M295" s="25" t="s">
        <v>49</v>
      </c>
      <c r="P295" s="25" t="s">
        <v>22</v>
      </c>
      <c r="Q295" s="34">
        <v>365</v>
      </c>
      <c r="R295" s="25" t="s">
        <v>64</v>
      </c>
      <c r="S295" s="28">
        <v>46198</v>
      </c>
      <c r="T295" s="28">
        <f t="shared" si="22"/>
        <v>46563</v>
      </c>
      <c r="U295" s="25">
        <f t="shared" ca="1" si="23"/>
        <v>302</v>
      </c>
      <c r="V295" s="25" t="str">
        <f t="shared" ca="1" si="24"/>
        <v>AL DÍA</v>
      </c>
      <c r="W295" s="25" t="s">
        <v>24</v>
      </c>
      <c r="X295" s="25" t="s">
        <v>271</v>
      </c>
      <c r="Y295" s="25">
        <v>2</v>
      </c>
    </row>
    <row r="296" spans="1:26" ht="14.25" hidden="1" customHeight="1" x14ac:dyDescent="0.15">
      <c r="A296" s="24" t="s">
        <v>296</v>
      </c>
      <c r="B296" s="24" t="s">
        <v>185</v>
      </c>
      <c r="C296" s="26">
        <v>512</v>
      </c>
      <c r="D296" s="24" t="s">
        <v>65</v>
      </c>
      <c r="F296" s="24" t="s">
        <v>216</v>
      </c>
      <c r="G296" s="21">
        <v>1987</v>
      </c>
      <c r="H296" s="21">
        <v>0</v>
      </c>
      <c r="I296" s="21">
        <f t="shared" ca="1" si="20"/>
        <v>39</v>
      </c>
      <c r="J296" s="21">
        <v>3</v>
      </c>
      <c r="K296" s="25" t="str">
        <f t="shared" ca="1" si="21"/>
        <v>Activo</v>
      </c>
      <c r="L296" s="25" t="s">
        <v>49</v>
      </c>
      <c r="P296" s="25" t="s">
        <v>22</v>
      </c>
      <c r="Q296" s="32">
        <v>365</v>
      </c>
      <c r="R296" s="25" t="s">
        <v>69</v>
      </c>
      <c r="S296" s="29">
        <v>46198</v>
      </c>
      <c r="T296" s="28">
        <f t="shared" si="22"/>
        <v>46563</v>
      </c>
      <c r="U296" s="25">
        <f t="shared" ca="1" si="23"/>
        <v>302</v>
      </c>
      <c r="V296" s="25" t="str">
        <f t="shared" ca="1" si="24"/>
        <v>AL DÍA</v>
      </c>
      <c r="W296" s="25" t="s">
        <v>24</v>
      </c>
      <c r="X296" s="25" t="s">
        <v>277</v>
      </c>
      <c r="Y296" s="25">
        <v>1</v>
      </c>
    </row>
    <row r="297" spans="1:26" ht="14.25" hidden="1" customHeight="1" x14ac:dyDescent="0.15">
      <c r="A297" s="24" t="s">
        <v>296</v>
      </c>
      <c r="B297" s="24" t="s">
        <v>185</v>
      </c>
      <c r="C297" s="26">
        <v>512</v>
      </c>
      <c r="D297" s="24" t="s">
        <v>65</v>
      </c>
      <c r="F297" s="24" t="s">
        <v>217</v>
      </c>
      <c r="G297" s="21">
        <v>1987</v>
      </c>
      <c r="H297" s="21">
        <v>0</v>
      </c>
      <c r="I297" s="21">
        <f t="shared" ca="1" si="20"/>
        <v>39</v>
      </c>
      <c r="J297" s="21">
        <v>2</v>
      </c>
      <c r="K297" s="25" t="str">
        <f t="shared" ca="1" si="21"/>
        <v>Presupuestar</v>
      </c>
      <c r="L297" s="25" t="s">
        <v>49</v>
      </c>
      <c r="O297" s="26">
        <v>62.64</v>
      </c>
      <c r="P297" s="26"/>
      <c r="Q297" s="34">
        <v>365</v>
      </c>
      <c r="R297" s="25" t="s">
        <v>64</v>
      </c>
      <c r="S297" s="28">
        <v>46198</v>
      </c>
      <c r="T297" s="28">
        <f t="shared" si="22"/>
        <v>46563</v>
      </c>
      <c r="U297" s="25">
        <f t="shared" ca="1" si="23"/>
        <v>302</v>
      </c>
      <c r="V297" s="25" t="str">
        <f t="shared" ca="1" si="24"/>
        <v>AL DÍA</v>
      </c>
      <c r="W297" s="25" t="s">
        <v>24</v>
      </c>
      <c r="X297" s="25" t="s">
        <v>262</v>
      </c>
      <c r="Y297" s="25">
        <v>2</v>
      </c>
    </row>
    <row r="298" spans="1:26" ht="14.25" hidden="1" customHeight="1" x14ac:dyDescent="0.15">
      <c r="A298" s="24" t="s">
        <v>296</v>
      </c>
      <c r="B298" s="24" t="s">
        <v>185</v>
      </c>
      <c r="C298" s="26">
        <v>512</v>
      </c>
      <c r="D298" s="24" t="s">
        <v>65</v>
      </c>
      <c r="F298" s="24" t="s">
        <v>218</v>
      </c>
      <c r="G298" s="21">
        <v>1987</v>
      </c>
      <c r="H298" s="21">
        <v>0</v>
      </c>
      <c r="I298" s="21">
        <f t="shared" ca="1" si="20"/>
        <v>39</v>
      </c>
      <c r="J298" s="21">
        <v>3</v>
      </c>
      <c r="K298" s="25" t="str">
        <f t="shared" ca="1" si="21"/>
        <v>Activo</v>
      </c>
      <c r="L298" s="25" t="s">
        <v>49</v>
      </c>
      <c r="O298" s="25" t="s">
        <v>227</v>
      </c>
      <c r="Q298" s="34">
        <v>365</v>
      </c>
      <c r="R298" s="25" t="s">
        <v>64</v>
      </c>
      <c r="S298" s="28">
        <v>46198</v>
      </c>
      <c r="T298" s="28">
        <f t="shared" si="22"/>
        <v>46563</v>
      </c>
      <c r="U298" s="25">
        <f t="shared" ca="1" si="23"/>
        <v>302</v>
      </c>
      <c r="V298" s="25" t="str">
        <f t="shared" ca="1" si="24"/>
        <v>AL DÍA</v>
      </c>
      <c r="W298" s="25" t="s">
        <v>24</v>
      </c>
      <c r="X298" s="25" t="s">
        <v>262</v>
      </c>
      <c r="Y298" s="25">
        <v>2</v>
      </c>
    </row>
    <row r="299" spans="1:26" ht="14.25" hidden="1" customHeight="1" x14ac:dyDescent="0.15">
      <c r="A299" s="24" t="s">
        <v>296</v>
      </c>
      <c r="B299" s="24" t="s">
        <v>185</v>
      </c>
      <c r="C299" s="26">
        <v>512</v>
      </c>
      <c r="D299" s="24" t="s">
        <v>16</v>
      </c>
      <c r="F299" s="24" t="s">
        <v>219</v>
      </c>
      <c r="G299" s="21">
        <v>2019</v>
      </c>
      <c r="H299" s="21">
        <v>15</v>
      </c>
      <c r="I299" s="21">
        <f t="shared" ca="1" si="20"/>
        <v>7</v>
      </c>
      <c r="J299" s="21">
        <v>3</v>
      </c>
      <c r="K299" s="25" t="str">
        <f t="shared" ca="1" si="21"/>
        <v>Activo</v>
      </c>
      <c r="L299" s="25" t="s">
        <v>302</v>
      </c>
      <c r="O299" s="25" t="s">
        <v>221</v>
      </c>
      <c r="P299" s="25" t="s">
        <v>49</v>
      </c>
      <c r="Q299" s="34">
        <v>365</v>
      </c>
      <c r="R299" s="25" t="s">
        <v>64</v>
      </c>
      <c r="S299" s="28">
        <v>46198</v>
      </c>
      <c r="T299" s="28">
        <f t="shared" si="22"/>
        <v>46563</v>
      </c>
      <c r="U299" s="25">
        <f t="shared" ca="1" si="23"/>
        <v>302</v>
      </c>
      <c r="V299" s="25" t="str">
        <f t="shared" ca="1" si="24"/>
        <v>AL DÍA</v>
      </c>
      <c r="W299" s="25" t="s">
        <v>24</v>
      </c>
      <c r="X299" s="25" t="s">
        <v>271</v>
      </c>
      <c r="Y299" s="25">
        <v>2</v>
      </c>
      <c r="Z299" s="1" t="s">
        <v>303</v>
      </c>
    </row>
    <row r="300" spans="1:26" ht="14.25" hidden="1" customHeight="1" x14ac:dyDescent="0.15">
      <c r="A300" s="24" t="s">
        <v>296</v>
      </c>
      <c r="B300" s="24" t="s">
        <v>185</v>
      </c>
      <c r="C300" s="26">
        <v>512</v>
      </c>
      <c r="D300" s="24" t="s">
        <v>16</v>
      </c>
      <c r="F300" s="24" t="s">
        <v>224</v>
      </c>
      <c r="G300" s="71"/>
      <c r="H300" s="21">
        <v>0</v>
      </c>
      <c r="I300" s="21">
        <f t="shared" ca="1" si="20"/>
        <v>2026</v>
      </c>
      <c r="J300" s="21">
        <v>3</v>
      </c>
      <c r="K300" s="25" t="str">
        <f t="shared" ca="1" si="21"/>
        <v>Activo</v>
      </c>
      <c r="Q300" s="34">
        <v>365</v>
      </c>
      <c r="R300" s="25" t="s">
        <v>64</v>
      </c>
      <c r="S300" s="28">
        <v>46198</v>
      </c>
      <c r="T300" s="28">
        <f t="shared" si="22"/>
        <v>46563</v>
      </c>
      <c r="U300" s="25">
        <f t="shared" ca="1" si="23"/>
        <v>302</v>
      </c>
      <c r="V300" s="25" t="str">
        <f t="shared" ca="1" si="24"/>
        <v>AL DÍA</v>
      </c>
      <c r="W300" s="25" t="s">
        <v>24</v>
      </c>
      <c r="X300" s="25" t="s">
        <v>271</v>
      </c>
      <c r="Y300" s="25">
        <v>2</v>
      </c>
    </row>
    <row r="301" spans="1:26" ht="14.25" hidden="1" customHeight="1" x14ac:dyDescent="0.15">
      <c r="A301" s="24" t="s">
        <v>296</v>
      </c>
      <c r="B301" s="24" t="s">
        <v>185</v>
      </c>
      <c r="C301" s="26">
        <v>512</v>
      </c>
      <c r="D301" s="24" t="s">
        <v>65</v>
      </c>
      <c r="F301" s="24" t="s">
        <v>220</v>
      </c>
      <c r="G301" s="21">
        <v>1987</v>
      </c>
      <c r="H301" s="21">
        <v>0</v>
      </c>
      <c r="I301" s="21">
        <f t="shared" ca="1" si="20"/>
        <v>39</v>
      </c>
      <c r="J301" s="21">
        <v>3</v>
      </c>
      <c r="K301" s="25" t="str">
        <f t="shared" ca="1" si="21"/>
        <v>Activo</v>
      </c>
      <c r="L301" s="25" t="s">
        <v>49</v>
      </c>
      <c r="O301" s="25" t="s">
        <v>222</v>
      </c>
      <c r="P301" s="26"/>
      <c r="Q301" s="34">
        <v>365</v>
      </c>
      <c r="R301" s="25" t="s">
        <v>64</v>
      </c>
      <c r="S301" s="28">
        <v>46198</v>
      </c>
      <c r="T301" s="28">
        <f t="shared" si="22"/>
        <v>46563</v>
      </c>
      <c r="U301" s="25">
        <f t="shared" ca="1" si="23"/>
        <v>302</v>
      </c>
      <c r="V301" s="25" t="str">
        <f t="shared" ca="1" si="24"/>
        <v>AL DÍA</v>
      </c>
      <c r="W301" s="25" t="s">
        <v>24</v>
      </c>
      <c r="X301" s="25" t="s">
        <v>262</v>
      </c>
      <c r="Y301" s="25">
        <v>2</v>
      </c>
    </row>
    <row r="302" spans="1:26" ht="14.25" hidden="1" customHeight="1" x14ac:dyDescent="0.15">
      <c r="A302" s="24" t="s">
        <v>296</v>
      </c>
      <c r="B302" s="24" t="s">
        <v>185</v>
      </c>
      <c r="C302" s="26">
        <v>513</v>
      </c>
      <c r="D302" s="24" t="s">
        <v>65</v>
      </c>
      <c r="F302" s="24" t="s">
        <v>215</v>
      </c>
      <c r="G302" s="21">
        <v>1987</v>
      </c>
      <c r="H302" s="21">
        <v>0</v>
      </c>
      <c r="I302" s="21">
        <f t="shared" ca="1" si="20"/>
        <v>39</v>
      </c>
      <c r="J302" s="21">
        <v>3</v>
      </c>
      <c r="K302" s="25" t="str">
        <f t="shared" ca="1" si="21"/>
        <v>Activo</v>
      </c>
      <c r="L302" s="25" t="s">
        <v>49</v>
      </c>
      <c r="M302" s="25" t="s">
        <v>49</v>
      </c>
      <c r="P302" s="25" t="s">
        <v>22</v>
      </c>
      <c r="Q302" s="34">
        <v>365</v>
      </c>
      <c r="R302" s="25" t="s">
        <v>64</v>
      </c>
      <c r="S302" s="28">
        <v>46198</v>
      </c>
      <c r="T302" s="28">
        <f t="shared" si="22"/>
        <v>46563</v>
      </c>
      <c r="U302" s="25">
        <f t="shared" ca="1" si="23"/>
        <v>302</v>
      </c>
      <c r="V302" s="25" t="str">
        <f t="shared" ca="1" si="24"/>
        <v>AL DÍA</v>
      </c>
      <c r="W302" s="25" t="s">
        <v>24</v>
      </c>
      <c r="X302" s="25" t="s">
        <v>271</v>
      </c>
      <c r="Y302" s="25">
        <v>2</v>
      </c>
    </row>
    <row r="303" spans="1:26" ht="14.25" hidden="1" customHeight="1" x14ac:dyDescent="0.15">
      <c r="A303" s="24" t="s">
        <v>296</v>
      </c>
      <c r="B303" s="24" t="s">
        <v>185</v>
      </c>
      <c r="C303" s="26">
        <v>513</v>
      </c>
      <c r="D303" s="24" t="s">
        <v>65</v>
      </c>
      <c r="F303" s="24" t="s">
        <v>216</v>
      </c>
      <c r="G303" s="21">
        <v>1987</v>
      </c>
      <c r="H303" s="21">
        <v>0</v>
      </c>
      <c r="I303" s="21">
        <f t="shared" ca="1" si="20"/>
        <v>39</v>
      </c>
      <c r="J303" s="21">
        <v>3</v>
      </c>
      <c r="K303" s="25" t="str">
        <f t="shared" ca="1" si="21"/>
        <v>Activo</v>
      </c>
      <c r="L303" s="25" t="s">
        <v>49</v>
      </c>
      <c r="P303" s="25" t="s">
        <v>22</v>
      </c>
      <c r="Q303" s="32">
        <v>365</v>
      </c>
      <c r="R303" s="25" t="s">
        <v>69</v>
      </c>
      <c r="S303" s="29">
        <v>46198</v>
      </c>
      <c r="T303" s="28">
        <f t="shared" si="22"/>
        <v>46563</v>
      </c>
      <c r="U303" s="25">
        <f t="shared" ca="1" si="23"/>
        <v>302</v>
      </c>
      <c r="V303" s="25" t="str">
        <f t="shared" ca="1" si="24"/>
        <v>AL DÍA</v>
      </c>
      <c r="W303" s="25" t="s">
        <v>24</v>
      </c>
      <c r="X303" s="25" t="s">
        <v>277</v>
      </c>
      <c r="Y303" s="25">
        <v>1</v>
      </c>
    </row>
    <row r="304" spans="1:26" ht="14.25" hidden="1" customHeight="1" x14ac:dyDescent="0.15">
      <c r="A304" s="24" t="s">
        <v>296</v>
      </c>
      <c r="B304" s="24" t="s">
        <v>185</v>
      </c>
      <c r="C304" s="26">
        <v>513</v>
      </c>
      <c r="D304" s="24" t="s">
        <v>65</v>
      </c>
      <c r="F304" s="24" t="s">
        <v>217</v>
      </c>
      <c r="G304" s="21">
        <v>1987</v>
      </c>
      <c r="H304" s="21">
        <v>0</v>
      </c>
      <c r="I304" s="21">
        <f t="shared" ca="1" si="20"/>
        <v>39</v>
      </c>
      <c r="J304" s="21">
        <v>3</v>
      </c>
      <c r="K304" s="25" t="str">
        <f t="shared" ca="1" si="21"/>
        <v>Activo</v>
      </c>
      <c r="L304" s="25" t="s">
        <v>49</v>
      </c>
      <c r="O304" s="26">
        <v>62.64</v>
      </c>
      <c r="P304" s="26"/>
      <c r="Q304" s="34">
        <v>365</v>
      </c>
      <c r="R304" s="25" t="s">
        <v>64</v>
      </c>
      <c r="S304" s="28">
        <v>46198</v>
      </c>
      <c r="T304" s="28">
        <f t="shared" si="22"/>
        <v>46563</v>
      </c>
      <c r="U304" s="25">
        <f t="shared" ca="1" si="23"/>
        <v>302</v>
      </c>
      <c r="V304" s="25" t="str">
        <f t="shared" ca="1" si="24"/>
        <v>AL DÍA</v>
      </c>
      <c r="W304" s="25" t="s">
        <v>24</v>
      </c>
      <c r="X304" s="25" t="s">
        <v>262</v>
      </c>
      <c r="Y304" s="25">
        <v>2</v>
      </c>
    </row>
    <row r="305" spans="1:26" ht="14.25" hidden="1" customHeight="1" x14ac:dyDescent="0.15">
      <c r="A305" s="24" t="s">
        <v>296</v>
      </c>
      <c r="B305" s="24" t="s">
        <v>185</v>
      </c>
      <c r="C305" s="26">
        <v>513</v>
      </c>
      <c r="D305" s="24" t="s">
        <v>65</v>
      </c>
      <c r="F305" s="24" t="s">
        <v>218</v>
      </c>
      <c r="G305" s="21">
        <v>1987</v>
      </c>
      <c r="H305" s="21">
        <v>0</v>
      </c>
      <c r="I305" s="21">
        <f t="shared" ca="1" si="20"/>
        <v>39</v>
      </c>
      <c r="J305" s="21">
        <v>3</v>
      </c>
      <c r="K305" s="25" t="str">
        <f t="shared" ca="1" si="21"/>
        <v>Activo</v>
      </c>
      <c r="L305" s="25" t="s">
        <v>49</v>
      </c>
      <c r="O305" s="25" t="s">
        <v>227</v>
      </c>
      <c r="Q305" s="34">
        <v>365</v>
      </c>
      <c r="R305" s="25" t="s">
        <v>64</v>
      </c>
      <c r="S305" s="28">
        <v>46198</v>
      </c>
      <c r="T305" s="28">
        <f t="shared" si="22"/>
        <v>46563</v>
      </c>
      <c r="U305" s="25">
        <f t="shared" ca="1" si="23"/>
        <v>302</v>
      </c>
      <c r="V305" s="25" t="str">
        <f t="shared" ca="1" si="24"/>
        <v>AL DÍA</v>
      </c>
      <c r="W305" s="25" t="s">
        <v>24</v>
      </c>
      <c r="X305" s="25" t="s">
        <v>262</v>
      </c>
      <c r="Y305" s="25">
        <v>2</v>
      </c>
    </row>
    <row r="306" spans="1:26" ht="14.25" hidden="1" customHeight="1" x14ac:dyDescent="0.15">
      <c r="A306" s="24" t="s">
        <v>296</v>
      </c>
      <c r="B306" s="24" t="s">
        <v>185</v>
      </c>
      <c r="C306" s="26">
        <v>513</v>
      </c>
      <c r="D306" s="24" t="s">
        <v>16</v>
      </c>
      <c r="F306" s="24" t="s">
        <v>219</v>
      </c>
      <c r="G306" s="21">
        <v>2019</v>
      </c>
      <c r="H306" s="21">
        <v>15</v>
      </c>
      <c r="I306" s="21">
        <f t="shared" ca="1" si="20"/>
        <v>7</v>
      </c>
      <c r="J306" s="21">
        <v>3</v>
      </c>
      <c r="K306" s="25" t="str">
        <f t="shared" ca="1" si="21"/>
        <v>Activo</v>
      </c>
      <c r="L306" s="25" t="s">
        <v>302</v>
      </c>
      <c r="O306" s="25" t="s">
        <v>221</v>
      </c>
      <c r="P306" s="25" t="s">
        <v>49</v>
      </c>
      <c r="Q306" s="34">
        <v>365</v>
      </c>
      <c r="R306" s="25" t="s">
        <v>64</v>
      </c>
      <c r="S306" s="28">
        <v>46198</v>
      </c>
      <c r="T306" s="28">
        <f t="shared" si="22"/>
        <v>46563</v>
      </c>
      <c r="U306" s="25">
        <f t="shared" ca="1" si="23"/>
        <v>302</v>
      </c>
      <c r="V306" s="25" t="str">
        <f t="shared" ca="1" si="24"/>
        <v>AL DÍA</v>
      </c>
      <c r="W306" s="25" t="s">
        <v>24</v>
      </c>
      <c r="X306" s="25" t="s">
        <v>271</v>
      </c>
      <c r="Y306" s="25">
        <v>2</v>
      </c>
      <c r="Z306" s="1" t="s">
        <v>303</v>
      </c>
    </row>
    <row r="307" spans="1:26" ht="14.25" hidden="1" customHeight="1" x14ac:dyDescent="0.15">
      <c r="A307" s="24" t="s">
        <v>296</v>
      </c>
      <c r="B307" s="24" t="s">
        <v>185</v>
      </c>
      <c r="C307" s="26">
        <v>513</v>
      </c>
      <c r="D307" s="24" t="s">
        <v>16</v>
      </c>
      <c r="F307" s="24" t="s">
        <v>224</v>
      </c>
      <c r="G307" s="71"/>
      <c r="H307" s="21">
        <v>0</v>
      </c>
      <c r="I307" s="21">
        <f t="shared" ca="1" si="20"/>
        <v>2026</v>
      </c>
      <c r="J307" s="21">
        <v>3</v>
      </c>
      <c r="K307" s="25" t="str">
        <f t="shared" ca="1" si="21"/>
        <v>Activo</v>
      </c>
      <c r="Q307" s="34">
        <v>365</v>
      </c>
      <c r="R307" s="25" t="s">
        <v>64</v>
      </c>
      <c r="S307" s="28">
        <v>46198</v>
      </c>
      <c r="T307" s="28">
        <f t="shared" si="22"/>
        <v>46563</v>
      </c>
      <c r="U307" s="25">
        <f t="shared" ca="1" si="23"/>
        <v>302</v>
      </c>
      <c r="V307" s="25" t="str">
        <f t="shared" ca="1" si="24"/>
        <v>AL DÍA</v>
      </c>
      <c r="W307" s="25" t="s">
        <v>24</v>
      </c>
      <c r="X307" s="25" t="s">
        <v>271</v>
      </c>
      <c r="Y307" s="25">
        <v>2</v>
      </c>
    </row>
    <row r="308" spans="1:26" ht="14.25" hidden="1" customHeight="1" x14ac:dyDescent="0.15">
      <c r="A308" s="24" t="s">
        <v>296</v>
      </c>
      <c r="B308" s="24" t="s">
        <v>185</v>
      </c>
      <c r="C308" s="26">
        <v>513</v>
      </c>
      <c r="D308" s="24" t="s">
        <v>65</v>
      </c>
      <c r="F308" s="24" t="s">
        <v>220</v>
      </c>
      <c r="G308" s="21">
        <v>1987</v>
      </c>
      <c r="H308" s="21">
        <v>0</v>
      </c>
      <c r="I308" s="21">
        <f t="shared" ca="1" si="20"/>
        <v>39</v>
      </c>
      <c r="J308" s="21">
        <v>3</v>
      </c>
      <c r="K308" s="25" t="str">
        <f t="shared" ca="1" si="21"/>
        <v>Activo</v>
      </c>
      <c r="L308" s="25" t="s">
        <v>49</v>
      </c>
      <c r="O308" s="25" t="s">
        <v>222</v>
      </c>
      <c r="P308" s="26"/>
      <c r="Q308" s="34">
        <v>365</v>
      </c>
      <c r="R308" s="25" t="s">
        <v>64</v>
      </c>
      <c r="S308" s="28">
        <v>46198</v>
      </c>
      <c r="T308" s="28">
        <f t="shared" si="22"/>
        <v>46563</v>
      </c>
      <c r="U308" s="25">
        <f t="shared" ca="1" si="23"/>
        <v>302</v>
      </c>
      <c r="V308" s="25" t="str">
        <f t="shared" ca="1" si="24"/>
        <v>AL DÍA</v>
      </c>
      <c r="W308" s="25" t="s">
        <v>24</v>
      </c>
      <c r="X308" s="25" t="s">
        <v>262</v>
      </c>
      <c r="Y308" s="25">
        <v>2</v>
      </c>
    </row>
    <row r="309" spans="1:26" ht="14.25" hidden="1" customHeight="1" x14ac:dyDescent="0.15">
      <c r="A309" s="24" t="s">
        <v>296</v>
      </c>
      <c r="B309" s="24" t="s">
        <v>185</v>
      </c>
      <c r="C309" s="26">
        <v>515</v>
      </c>
      <c r="D309" s="24" t="s">
        <v>65</v>
      </c>
      <c r="F309" s="24" t="s">
        <v>215</v>
      </c>
      <c r="G309" s="21">
        <v>1987</v>
      </c>
      <c r="H309" s="21">
        <v>0</v>
      </c>
      <c r="I309" s="21">
        <f t="shared" ca="1" si="20"/>
        <v>39</v>
      </c>
      <c r="J309" s="21">
        <v>3</v>
      </c>
      <c r="K309" s="25" t="str">
        <f t="shared" ca="1" si="21"/>
        <v>Activo</v>
      </c>
      <c r="L309" s="25" t="s">
        <v>49</v>
      </c>
      <c r="M309" s="25" t="s">
        <v>49</v>
      </c>
      <c r="P309" s="25" t="s">
        <v>22</v>
      </c>
      <c r="Q309" s="34">
        <v>365</v>
      </c>
      <c r="R309" s="25" t="s">
        <v>64</v>
      </c>
      <c r="S309" s="28">
        <v>46198</v>
      </c>
      <c r="T309" s="28">
        <f t="shared" si="22"/>
        <v>46563</v>
      </c>
      <c r="U309" s="25">
        <f t="shared" ca="1" si="23"/>
        <v>302</v>
      </c>
      <c r="V309" s="25" t="str">
        <f t="shared" ca="1" si="24"/>
        <v>AL DÍA</v>
      </c>
      <c r="W309" s="25" t="s">
        <v>24</v>
      </c>
      <c r="X309" s="25" t="s">
        <v>271</v>
      </c>
      <c r="Y309" s="25">
        <v>2</v>
      </c>
    </row>
    <row r="310" spans="1:26" ht="14.25" hidden="1" customHeight="1" x14ac:dyDescent="0.15">
      <c r="A310" s="24" t="s">
        <v>296</v>
      </c>
      <c r="B310" s="24" t="s">
        <v>185</v>
      </c>
      <c r="C310" s="26">
        <v>515</v>
      </c>
      <c r="D310" s="24" t="s">
        <v>65</v>
      </c>
      <c r="F310" s="24" t="s">
        <v>216</v>
      </c>
      <c r="G310" s="21">
        <v>1987</v>
      </c>
      <c r="H310" s="21">
        <v>0</v>
      </c>
      <c r="I310" s="21">
        <f t="shared" ca="1" si="20"/>
        <v>39</v>
      </c>
      <c r="J310" s="21">
        <v>3</v>
      </c>
      <c r="K310" s="25" t="str">
        <f t="shared" ca="1" si="21"/>
        <v>Activo</v>
      </c>
      <c r="L310" s="25" t="s">
        <v>49</v>
      </c>
      <c r="P310" s="25" t="s">
        <v>22</v>
      </c>
      <c r="Q310" s="32">
        <v>365</v>
      </c>
      <c r="R310" s="25" t="s">
        <v>69</v>
      </c>
      <c r="S310" s="29">
        <v>46198</v>
      </c>
      <c r="T310" s="28">
        <f t="shared" si="22"/>
        <v>46563</v>
      </c>
      <c r="U310" s="25">
        <f t="shared" ca="1" si="23"/>
        <v>302</v>
      </c>
      <c r="V310" s="25" t="str">
        <f t="shared" ca="1" si="24"/>
        <v>AL DÍA</v>
      </c>
      <c r="W310" s="25" t="s">
        <v>24</v>
      </c>
      <c r="X310" s="25" t="s">
        <v>277</v>
      </c>
      <c r="Y310" s="25">
        <v>1</v>
      </c>
    </row>
    <row r="311" spans="1:26" ht="14.25" hidden="1" customHeight="1" x14ac:dyDescent="0.15">
      <c r="A311" s="24" t="s">
        <v>296</v>
      </c>
      <c r="B311" s="24" t="s">
        <v>185</v>
      </c>
      <c r="C311" s="26">
        <v>515</v>
      </c>
      <c r="D311" s="24" t="s">
        <v>65</v>
      </c>
      <c r="F311" s="24" t="s">
        <v>217</v>
      </c>
      <c r="G311" s="21">
        <v>1987</v>
      </c>
      <c r="H311" s="21">
        <v>0</v>
      </c>
      <c r="I311" s="21">
        <f t="shared" ca="1" si="20"/>
        <v>39</v>
      </c>
      <c r="J311" s="21">
        <v>3</v>
      </c>
      <c r="K311" s="25" t="str">
        <f t="shared" ca="1" si="21"/>
        <v>Activo</v>
      </c>
      <c r="L311" s="25" t="s">
        <v>49</v>
      </c>
      <c r="O311" s="26">
        <v>62.64</v>
      </c>
      <c r="P311" s="26"/>
      <c r="Q311" s="34">
        <v>365</v>
      </c>
      <c r="R311" s="25" t="s">
        <v>64</v>
      </c>
      <c r="S311" s="28">
        <v>46198</v>
      </c>
      <c r="T311" s="28">
        <f t="shared" si="22"/>
        <v>46563</v>
      </c>
      <c r="U311" s="25">
        <f t="shared" ca="1" si="23"/>
        <v>302</v>
      </c>
      <c r="V311" s="25" t="str">
        <f t="shared" ca="1" si="24"/>
        <v>AL DÍA</v>
      </c>
      <c r="W311" s="25" t="s">
        <v>24</v>
      </c>
      <c r="X311" s="25" t="s">
        <v>262</v>
      </c>
      <c r="Y311" s="25">
        <v>2</v>
      </c>
    </row>
    <row r="312" spans="1:26" ht="14.25" hidden="1" customHeight="1" x14ac:dyDescent="0.15">
      <c r="A312" s="24" t="s">
        <v>296</v>
      </c>
      <c r="B312" s="24" t="s">
        <v>185</v>
      </c>
      <c r="C312" s="26">
        <v>515</v>
      </c>
      <c r="D312" s="24" t="s">
        <v>65</v>
      </c>
      <c r="F312" s="24" t="s">
        <v>218</v>
      </c>
      <c r="G312" s="21">
        <v>1987</v>
      </c>
      <c r="H312" s="21">
        <v>0</v>
      </c>
      <c r="I312" s="21">
        <f t="shared" ca="1" si="20"/>
        <v>39</v>
      </c>
      <c r="J312" s="21">
        <v>3</v>
      </c>
      <c r="K312" s="25" t="str">
        <f t="shared" ca="1" si="21"/>
        <v>Activo</v>
      </c>
      <c r="L312" s="25" t="s">
        <v>49</v>
      </c>
      <c r="O312" s="25" t="s">
        <v>227</v>
      </c>
      <c r="Q312" s="34">
        <v>365</v>
      </c>
      <c r="R312" s="25" t="s">
        <v>64</v>
      </c>
      <c r="S312" s="28">
        <v>46198</v>
      </c>
      <c r="T312" s="28">
        <f t="shared" si="22"/>
        <v>46563</v>
      </c>
      <c r="U312" s="25">
        <f t="shared" ca="1" si="23"/>
        <v>302</v>
      </c>
      <c r="V312" s="25" t="str">
        <f t="shared" ca="1" si="24"/>
        <v>AL DÍA</v>
      </c>
      <c r="W312" s="25" t="s">
        <v>24</v>
      </c>
      <c r="X312" s="25" t="s">
        <v>262</v>
      </c>
      <c r="Y312" s="25">
        <v>2</v>
      </c>
    </row>
    <row r="313" spans="1:26" ht="14.25" hidden="1" customHeight="1" x14ac:dyDescent="0.15">
      <c r="A313" s="24" t="s">
        <v>296</v>
      </c>
      <c r="B313" s="24" t="s">
        <v>185</v>
      </c>
      <c r="C313" s="26">
        <v>515</v>
      </c>
      <c r="D313" s="24" t="s">
        <v>16</v>
      </c>
      <c r="F313" s="24" t="s">
        <v>219</v>
      </c>
      <c r="G313" s="21">
        <v>2019</v>
      </c>
      <c r="H313" s="21">
        <v>15</v>
      </c>
      <c r="I313" s="21">
        <f t="shared" ca="1" si="20"/>
        <v>7</v>
      </c>
      <c r="J313" s="21">
        <v>3</v>
      </c>
      <c r="K313" s="25" t="str">
        <f t="shared" ca="1" si="21"/>
        <v>Activo</v>
      </c>
      <c r="L313" s="25" t="s">
        <v>302</v>
      </c>
      <c r="O313" s="25" t="s">
        <v>221</v>
      </c>
      <c r="P313" s="25" t="s">
        <v>49</v>
      </c>
      <c r="Q313" s="34">
        <v>365</v>
      </c>
      <c r="R313" s="25" t="s">
        <v>64</v>
      </c>
      <c r="S313" s="28">
        <v>46198</v>
      </c>
      <c r="T313" s="28">
        <f t="shared" si="22"/>
        <v>46563</v>
      </c>
      <c r="U313" s="25">
        <f t="shared" ca="1" si="23"/>
        <v>302</v>
      </c>
      <c r="V313" s="25" t="str">
        <f t="shared" ca="1" si="24"/>
        <v>AL DÍA</v>
      </c>
      <c r="W313" s="25" t="s">
        <v>24</v>
      </c>
      <c r="X313" s="25" t="s">
        <v>271</v>
      </c>
      <c r="Y313" s="25">
        <v>2</v>
      </c>
      <c r="Z313" s="1" t="s">
        <v>303</v>
      </c>
    </row>
    <row r="314" spans="1:26" ht="14.25" hidden="1" customHeight="1" x14ac:dyDescent="0.15">
      <c r="A314" s="24" t="s">
        <v>296</v>
      </c>
      <c r="B314" s="24" t="s">
        <v>185</v>
      </c>
      <c r="C314" s="26">
        <v>515</v>
      </c>
      <c r="D314" s="24" t="s">
        <v>16</v>
      </c>
      <c r="F314" s="24" t="s">
        <v>224</v>
      </c>
      <c r="G314" s="71"/>
      <c r="H314" s="21">
        <v>0</v>
      </c>
      <c r="I314" s="21">
        <f t="shared" ca="1" si="20"/>
        <v>2026</v>
      </c>
      <c r="J314" s="21">
        <v>3</v>
      </c>
      <c r="K314" s="25" t="str">
        <f t="shared" ca="1" si="21"/>
        <v>Activo</v>
      </c>
      <c r="Q314" s="34">
        <v>365</v>
      </c>
      <c r="R314" s="25" t="s">
        <v>64</v>
      </c>
      <c r="S314" s="28">
        <v>46198</v>
      </c>
      <c r="T314" s="28">
        <f t="shared" si="22"/>
        <v>46563</v>
      </c>
      <c r="U314" s="25">
        <f t="shared" ca="1" si="23"/>
        <v>302</v>
      </c>
      <c r="V314" s="25" t="str">
        <f t="shared" ca="1" si="24"/>
        <v>AL DÍA</v>
      </c>
      <c r="W314" s="25" t="s">
        <v>24</v>
      </c>
      <c r="X314" s="25" t="s">
        <v>271</v>
      </c>
      <c r="Y314" s="25">
        <v>2</v>
      </c>
    </row>
    <row r="315" spans="1:26" ht="14.25" hidden="1" customHeight="1" x14ac:dyDescent="0.15">
      <c r="A315" s="24" t="s">
        <v>296</v>
      </c>
      <c r="B315" s="24" t="s">
        <v>185</v>
      </c>
      <c r="C315" s="26">
        <v>515</v>
      </c>
      <c r="D315" s="24" t="s">
        <v>65</v>
      </c>
      <c r="F315" s="24" t="s">
        <v>220</v>
      </c>
      <c r="G315" s="21">
        <v>1987</v>
      </c>
      <c r="H315" s="21">
        <v>0</v>
      </c>
      <c r="I315" s="21">
        <f t="shared" ca="1" si="20"/>
        <v>39</v>
      </c>
      <c r="J315" s="21">
        <v>3</v>
      </c>
      <c r="K315" s="25" t="str">
        <f t="shared" ca="1" si="21"/>
        <v>Activo</v>
      </c>
      <c r="L315" s="25" t="s">
        <v>49</v>
      </c>
      <c r="O315" s="25" t="s">
        <v>222</v>
      </c>
      <c r="P315" s="26"/>
      <c r="Q315" s="34">
        <v>365</v>
      </c>
      <c r="R315" s="25" t="s">
        <v>64</v>
      </c>
      <c r="S315" s="28">
        <v>46198</v>
      </c>
      <c r="T315" s="28">
        <f t="shared" si="22"/>
        <v>46563</v>
      </c>
      <c r="U315" s="25">
        <f t="shared" ca="1" si="23"/>
        <v>302</v>
      </c>
      <c r="V315" s="25" t="str">
        <f t="shared" ca="1" si="24"/>
        <v>AL DÍA</v>
      </c>
      <c r="W315" s="25" t="s">
        <v>24</v>
      </c>
      <c r="X315" s="25" t="s">
        <v>262</v>
      </c>
      <c r="Y315" s="25">
        <v>2</v>
      </c>
    </row>
    <row r="316" spans="1:26" ht="14.25" hidden="1" customHeight="1" x14ac:dyDescent="0.15">
      <c r="A316" s="24" t="s">
        <v>296</v>
      </c>
      <c r="B316" s="24" t="s">
        <v>185</v>
      </c>
      <c r="C316" s="26">
        <v>516</v>
      </c>
      <c r="D316" s="24" t="s">
        <v>65</v>
      </c>
      <c r="F316" s="24" t="s">
        <v>215</v>
      </c>
      <c r="G316" s="21">
        <v>1987</v>
      </c>
      <c r="H316" s="21">
        <v>0</v>
      </c>
      <c r="I316" s="21">
        <f t="shared" ca="1" si="20"/>
        <v>39</v>
      </c>
      <c r="J316" s="21">
        <v>3</v>
      </c>
      <c r="K316" s="25" t="str">
        <f t="shared" ca="1" si="21"/>
        <v>Activo</v>
      </c>
      <c r="L316" s="25" t="s">
        <v>49</v>
      </c>
      <c r="M316" s="25" t="s">
        <v>49</v>
      </c>
      <c r="P316" s="25" t="s">
        <v>22</v>
      </c>
      <c r="Q316" s="34">
        <v>365</v>
      </c>
      <c r="R316" s="25" t="s">
        <v>64</v>
      </c>
      <c r="S316" s="28">
        <v>46198</v>
      </c>
      <c r="T316" s="28">
        <f t="shared" si="22"/>
        <v>46563</v>
      </c>
      <c r="U316" s="25">
        <f t="shared" ca="1" si="23"/>
        <v>302</v>
      </c>
      <c r="V316" s="25" t="str">
        <f t="shared" ca="1" si="24"/>
        <v>AL DÍA</v>
      </c>
      <c r="W316" s="25" t="s">
        <v>24</v>
      </c>
      <c r="X316" s="25" t="s">
        <v>271</v>
      </c>
      <c r="Y316" s="25">
        <v>2</v>
      </c>
    </row>
    <row r="317" spans="1:26" ht="14.25" hidden="1" customHeight="1" x14ac:dyDescent="0.15">
      <c r="A317" s="24" t="s">
        <v>296</v>
      </c>
      <c r="B317" s="24" t="s">
        <v>185</v>
      </c>
      <c r="C317" s="26">
        <v>516</v>
      </c>
      <c r="D317" s="24" t="s">
        <v>65</v>
      </c>
      <c r="F317" s="24" t="s">
        <v>216</v>
      </c>
      <c r="G317" s="21">
        <v>1987</v>
      </c>
      <c r="H317" s="21">
        <v>0</v>
      </c>
      <c r="I317" s="21">
        <f t="shared" ca="1" si="20"/>
        <v>39</v>
      </c>
      <c r="J317" s="21">
        <v>3</v>
      </c>
      <c r="K317" s="25" t="str">
        <f t="shared" ca="1" si="21"/>
        <v>Activo</v>
      </c>
      <c r="L317" s="25" t="s">
        <v>49</v>
      </c>
      <c r="P317" s="25" t="s">
        <v>22</v>
      </c>
      <c r="Q317" s="32">
        <v>365</v>
      </c>
      <c r="R317" s="25" t="s">
        <v>69</v>
      </c>
      <c r="S317" s="29">
        <v>46198</v>
      </c>
      <c r="T317" s="28">
        <f t="shared" si="22"/>
        <v>46563</v>
      </c>
      <c r="U317" s="25">
        <f t="shared" ca="1" si="23"/>
        <v>302</v>
      </c>
      <c r="V317" s="25" t="str">
        <f t="shared" ca="1" si="24"/>
        <v>AL DÍA</v>
      </c>
      <c r="W317" s="25" t="s">
        <v>24</v>
      </c>
      <c r="X317" s="25" t="s">
        <v>277</v>
      </c>
      <c r="Y317" s="25">
        <v>1</v>
      </c>
    </row>
    <row r="318" spans="1:26" ht="14.25" hidden="1" customHeight="1" x14ac:dyDescent="0.15">
      <c r="A318" s="24" t="s">
        <v>296</v>
      </c>
      <c r="B318" s="24" t="s">
        <v>185</v>
      </c>
      <c r="C318" s="26">
        <v>516</v>
      </c>
      <c r="D318" s="24" t="s">
        <v>65</v>
      </c>
      <c r="F318" s="24" t="s">
        <v>217</v>
      </c>
      <c r="G318" s="21">
        <v>1987</v>
      </c>
      <c r="H318" s="21">
        <v>0</v>
      </c>
      <c r="I318" s="21">
        <f t="shared" ca="1" si="20"/>
        <v>39</v>
      </c>
      <c r="J318" s="21">
        <v>3</v>
      </c>
      <c r="K318" s="25" t="str">
        <f t="shared" ca="1" si="21"/>
        <v>Activo</v>
      </c>
      <c r="L318" s="25" t="s">
        <v>49</v>
      </c>
      <c r="O318" s="26">
        <v>41.8</v>
      </c>
      <c r="P318" s="26"/>
      <c r="Q318" s="34">
        <v>365</v>
      </c>
      <c r="R318" s="25" t="s">
        <v>64</v>
      </c>
      <c r="S318" s="28">
        <v>46198</v>
      </c>
      <c r="T318" s="28">
        <f t="shared" si="22"/>
        <v>46563</v>
      </c>
      <c r="U318" s="25">
        <f t="shared" ca="1" si="23"/>
        <v>302</v>
      </c>
      <c r="V318" s="25" t="str">
        <f t="shared" ca="1" si="24"/>
        <v>AL DÍA</v>
      </c>
      <c r="W318" s="25" t="s">
        <v>24</v>
      </c>
      <c r="X318" s="25" t="s">
        <v>262</v>
      </c>
      <c r="Y318" s="25">
        <v>2</v>
      </c>
    </row>
    <row r="319" spans="1:26" ht="14.25" hidden="1" customHeight="1" x14ac:dyDescent="0.15">
      <c r="A319" s="24" t="s">
        <v>296</v>
      </c>
      <c r="B319" s="24" t="s">
        <v>185</v>
      </c>
      <c r="C319" s="26">
        <v>516</v>
      </c>
      <c r="D319" s="24" t="s">
        <v>65</v>
      </c>
      <c r="F319" s="24" t="s">
        <v>218</v>
      </c>
      <c r="G319" s="21">
        <v>1987</v>
      </c>
      <c r="H319" s="21">
        <v>0</v>
      </c>
      <c r="I319" s="21">
        <f t="shared" ca="1" si="20"/>
        <v>39</v>
      </c>
      <c r="J319" s="21">
        <v>3</v>
      </c>
      <c r="K319" s="25" t="str">
        <f t="shared" ca="1" si="21"/>
        <v>Activo</v>
      </c>
      <c r="L319" s="25" t="s">
        <v>49</v>
      </c>
      <c r="O319" s="25" t="s">
        <v>227</v>
      </c>
      <c r="Q319" s="34">
        <v>365</v>
      </c>
      <c r="R319" s="25" t="s">
        <v>64</v>
      </c>
      <c r="S319" s="28">
        <v>46198</v>
      </c>
      <c r="T319" s="28">
        <f t="shared" si="22"/>
        <v>46563</v>
      </c>
      <c r="U319" s="25">
        <f t="shared" ca="1" si="23"/>
        <v>302</v>
      </c>
      <c r="V319" s="25" t="str">
        <f t="shared" ca="1" si="24"/>
        <v>AL DÍA</v>
      </c>
      <c r="W319" s="25" t="s">
        <v>24</v>
      </c>
      <c r="X319" s="25" t="s">
        <v>262</v>
      </c>
      <c r="Y319" s="25">
        <v>2</v>
      </c>
    </row>
    <row r="320" spans="1:26" ht="14.25" hidden="1" customHeight="1" x14ac:dyDescent="0.15">
      <c r="A320" s="24" t="s">
        <v>296</v>
      </c>
      <c r="B320" s="24" t="s">
        <v>185</v>
      </c>
      <c r="C320" s="26">
        <v>516</v>
      </c>
      <c r="D320" s="24" t="s">
        <v>16</v>
      </c>
      <c r="F320" s="24" t="s">
        <v>219</v>
      </c>
      <c r="G320" s="21">
        <v>2019</v>
      </c>
      <c r="H320" s="21">
        <v>15</v>
      </c>
      <c r="I320" s="21">
        <f t="shared" ca="1" si="20"/>
        <v>7</v>
      </c>
      <c r="J320" s="21">
        <v>3</v>
      </c>
      <c r="K320" s="25" t="str">
        <f t="shared" ca="1" si="21"/>
        <v>Activo</v>
      </c>
      <c r="L320" s="25" t="s">
        <v>302</v>
      </c>
      <c r="O320" s="25" t="s">
        <v>221</v>
      </c>
      <c r="P320" s="25" t="s">
        <v>49</v>
      </c>
      <c r="Q320" s="34">
        <v>365</v>
      </c>
      <c r="R320" s="25" t="s">
        <v>64</v>
      </c>
      <c r="S320" s="28">
        <v>46198</v>
      </c>
      <c r="T320" s="28">
        <f t="shared" si="22"/>
        <v>46563</v>
      </c>
      <c r="U320" s="25">
        <f t="shared" ca="1" si="23"/>
        <v>302</v>
      </c>
      <c r="V320" s="25" t="str">
        <f t="shared" ca="1" si="24"/>
        <v>AL DÍA</v>
      </c>
      <c r="W320" s="25" t="s">
        <v>24</v>
      </c>
      <c r="X320" s="25" t="s">
        <v>271</v>
      </c>
      <c r="Y320" s="25">
        <v>2</v>
      </c>
      <c r="Z320" s="1" t="s">
        <v>303</v>
      </c>
    </row>
    <row r="321" spans="1:26" ht="14.25" hidden="1" customHeight="1" x14ac:dyDescent="0.15">
      <c r="A321" s="24" t="s">
        <v>296</v>
      </c>
      <c r="B321" s="24" t="s">
        <v>185</v>
      </c>
      <c r="C321" s="26">
        <v>516</v>
      </c>
      <c r="D321" s="24" t="s">
        <v>16</v>
      </c>
      <c r="F321" s="24" t="s">
        <v>224</v>
      </c>
      <c r="G321" s="71"/>
      <c r="H321" s="21">
        <v>0</v>
      </c>
      <c r="I321" s="21">
        <f t="shared" ca="1" si="20"/>
        <v>2026</v>
      </c>
      <c r="J321" s="21">
        <v>3</v>
      </c>
      <c r="K321" s="25" t="str">
        <f t="shared" ca="1" si="21"/>
        <v>Activo</v>
      </c>
      <c r="Q321" s="34">
        <v>365</v>
      </c>
      <c r="R321" s="25" t="s">
        <v>64</v>
      </c>
      <c r="S321" s="28">
        <v>46198</v>
      </c>
      <c r="T321" s="28">
        <f t="shared" si="22"/>
        <v>46563</v>
      </c>
      <c r="U321" s="25">
        <f t="shared" ca="1" si="23"/>
        <v>302</v>
      </c>
      <c r="V321" s="25" t="str">
        <f t="shared" ca="1" si="24"/>
        <v>AL DÍA</v>
      </c>
      <c r="W321" s="25" t="s">
        <v>24</v>
      </c>
      <c r="X321" s="25" t="s">
        <v>271</v>
      </c>
      <c r="Y321" s="25">
        <v>2</v>
      </c>
    </row>
    <row r="322" spans="1:26" ht="14.25" hidden="1" customHeight="1" x14ac:dyDescent="0.15">
      <c r="A322" s="24" t="s">
        <v>296</v>
      </c>
      <c r="B322" s="24" t="s">
        <v>185</v>
      </c>
      <c r="C322" s="26">
        <v>516</v>
      </c>
      <c r="D322" s="24" t="s">
        <v>65</v>
      </c>
      <c r="F322" s="24" t="s">
        <v>220</v>
      </c>
      <c r="G322" s="21">
        <v>1987</v>
      </c>
      <c r="H322" s="21">
        <v>0</v>
      </c>
      <c r="I322" s="21">
        <f t="shared" ref="I322:I385" ca="1" si="25">YEAR(TODAY())-G322</f>
        <v>39</v>
      </c>
      <c r="J322" s="21">
        <v>3</v>
      </c>
      <c r="K322" s="25" t="str">
        <f t="shared" ref="K322:K385" ca="1" si="26">IF(J322=1,"Cambiar",IF(J322=2,"Presupuestar",IF(H322=0,"Activo",IF(G322+H322&lt;YEAR(TODAY()),"Cambiar o Inspección externa",IF(G322+H322-1&lt;YEAR(TODAY()),"Presupuestar","Activo")))))</f>
        <v>Activo</v>
      </c>
      <c r="L322" s="25" t="s">
        <v>49</v>
      </c>
      <c r="O322" s="25" t="s">
        <v>222</v>
      </c>
      <c r="P322" s="26"/>
      <c r="Q322" s="34">
        <v>365</v>
      </c>
      <c r="R322" s="25" t="s">
        <v>64</v>
      </c>
      <c r="S322" s="28">
        <v>46198</v>
      </c>
      <c r="T322" s="28">
        <f t="shared" ref="T322:T385" si="27">+S322+Q322</f>
        <v>46563</v>
      </c>
      <c r="U322" s="25">
        <f t="shared" ref="U322:U385" ca="1" si="28">T322-TODAY()</f>
        <v>302</v>
      </c>
      <c r="V322" s="25" t="str">
        <f t="shared" ref="V322:V385" ca="1" si="29">IF(U322&lt;0, "VENCIDO", "AL DÍA")</f>
        <v>AL DÍA</v>
      </c>
      <c r="W322" s="25" t="s">
        <v>24</v>
      </c>
      <c r="X322" s="25" t="s">
        <v>262</v>
      </c>
      <c r="Y322" s="25">
        <v>2</v>
      </c>
    </row>
    <row r="323" spans="1:26" ht="14.25" hidden="1" customHeight="1" x14ac:dyDescent="0.15">
      <c r="A323" s="24" t="s">
        <v>296</v>
      </c>
      <c r="B323" s="24" t="s">
        <v>185</v>
      </c>
      <c r="C323" s="26">
        <v>522</v>
      </c>
      <c r="D323" s="24" t="s">
        <v>65</v>
      </c>
      <c r="F323" s="24" t="s">
        <v>215</v>
      </c>
      <c r="G323" s="21">
        <v>1987</v>
      </c>
      <c r="H323" s="21">
        <v>0</v>
      </c>
      <c r="I323" s="21">
        <f t="shared" ca="1" si="25"/>
        <v>39</v>
      </c>
      <c r="J323" s="21">
        <v>3</v>
      </c>
      <c r="K323" s="25" t="str">
        <f t="shared" ca="1" si="26"/>
        <v>Activo</v>
      </c>
      <c r="L323" s="25" t="s">
        <v>49</v>
      </c>
      <c r="M323" s="25" t="s">
        <v>49</v>
      </c>
      <c r="P323" s="25" t="s">
        <v>22</v>
      </c>
      <c r="Q323" s="34">
        <v>365</v>
      </c>
      <c r="R323" s="25" t="s">
        <v>64</v>
      </c>
      <c r="S323" s="28">
        <v>46198</v>
      </c>
      <c r="T323" s="28">
        <f t="shared" si="27"/>
        <v>46563</v>
      </c>
      <c r="U323" s="25">
        <f t="shared" ca="1" si="28"/>
        <v>302</v>
      </c>
      <c r="V323" s="25" t="str">
        <f t="shared" ca="1" si="29"/>
        <v>AL DÍA</v>
      </c>
      <c r="W323" s="25" t="s">
        <v>24</v>
      </c>
      <c r="X323" s="25" t="s">
        <v>271</v>
      </c>
      <c r="Y323" s="25">
        <v>2</v>
      </c>
    </row>
    <row r="324" spans="1:26" ht="14.25" hidden="1" customHeight="1" x14ac:dyDescent="0.15">
      <c r="A324" s="24" t="s">
        <v>296</v>
      </c>
      <c r="B324" s="24" t="s">
        <v>185</v>
      </c>
      <c r="C324" s="26">
        <v>522</v>
      </c>
      <c r="D324" s="24" t="s">
        <v>65</v>
      </c>
      <c r="F324" s="24" t="s">
        <v>216</v>
      </c>
      <c r="G324" s="21">
        <v>1987</v>
      </c>
      <c r="H324" s="21">
        <v>0</v>
      </c>
      <c r="I324" s="21">
        <f t="shared" ca="1" si="25"/>
        <v>39</v>
      </c>
      <c r="J324" s="21">
        <v>3</v>
      </c>
      <c r="K324" s="25" t="str">
        <f t="shared" ca="1" si="26"/>
        <v>Activo</v>
      </c>
      <c r="L324" s="25" t="s">
        <v>49</v>
      </c>
      <c r="P324" s="25" t="s">
        <v>22</v>
      </c>
      <c r="Q324" s="32">
        <v>365</v>
      </c>
      <c r="R324" s="25" t="s">
        <v>69</v>
      </c>
      <c r="S324" s="29">
        <v>46198</v>
      </c>
      <c r="T324" s="28">
        <f t="shared" si="27"/>
        <v>46563</v>
      </c>
      <c r="U324" s="25">
        <f t="shared" ca="1" si="28"/>
        <v>302</v>
      </c>
      <c r="V324" s="25" t="str">
        <f t="shared" ca="1" si="29"/>
        <v>AL DÍA</v>
      </c>
      <c r="W324" s="25" t="s">
        <v>24</v>
      </c>
      <c r="X324" s="25" t="s">
        <v>277</v>
      </c>
      <c r="Y324" s="25">
        <v>1</v>
      </c>
    </row>
    <row r="325" spans="1:26" ht="14.25" hidden="1" customHeight="1" x14ac:dyDescent="0.15">
      <c r="A325" s="24" t="s">
        <v>296</v>
      </c>
      <c r="B325" s="24" t="s">
        <v>185</v>
      </c>
      <c r="C325" s="26">
        <v>522</v>
      </c>
      <c r="D325" s="24" t="s">
        <v>65</v>
      </c>
      <c r="F325" s="24" t="s">
        <v>217</v>
      </c>
      <c r="G325" s="21">
        <v>1987</v>
      </c>
      <c r="H325" s="21">
        <v>0</v>
      </c>
      <c r="I325" s="21">
        <f t="shared" ca="1" si="25"/>
        <v>39</v>
      </c>
      <c r="J325" s="21">
        <v>3</v>
      </c>
      <c r="K325" s="25" t="str">
        <f t="shared" ca="1" si="26"/>
        <v>Activo</v>
      </c>
      <c r="L325" s="25" t="s">
        <v>49</v>
      </c>
      <c r="O325" s="26">
        <v>62.64</v>
      </c>
      <c r="P325" s="26"/>
      <c r="Q325" s="34">
        <v>365</v>
      </c>
      <c r="R325" s="25" t="s">
        <v>64</v>
      </c>
      <c r="S325" s="28">
        <v>46198</v>
      </c>
      <c r="T325" s="28">
        <f t="shared" si="27"/>
        <v>46563</v>
      </c>
      <c r="U325" s="25">
        <f t="shared" ca="1" si="28"/>
        <v>302</v>
      </c>
      <c r="V325" s="25" t="str">
        <f t="shared" ca="1" si="29"/>
        <v>AL DÍA</v>
      </c>
      <c r="W325" s="25" t="s">
        <v>24</v>
      </c>
      <c r="X325" s="25" t="s">
        <v>262</v>
      </c>
      <c r="Y325" s="25">
        <v>2</v>
      </c>
    </row>
    <row r="326" spans="1:26" ht="14.25" hidden="1" customHeight="1" x14ac:dyDescent="0.15">
      <c r="A326" s="24" t="s">
        <v>296</v>
      </c>
      <c r="B326" s="24" t="s">
        <v>185</v>
      </c>
      <c r="C326" s="26">
        <v>522</v>
      </c>
      <c r="D326" s="24" t="s">
        <v>65</v>
      </c>
      <c r="F326" s="24" t="s">
        <v>218</v>
      </c>
      <c r="G326" s="21">
        <v>1987</v>
      </c>
      <c r="H326" s="21">
        <v>0</v>
      </c>
      <c r="I326" s="21">
        <f t="shared" ca="1" si="25"/>
        <v>39</v>
      </c>
      <c r="J326" s="21">
        <v>3</v>
      </c>
      <c r="K326" s="25" t="str">
        <f t="shared" ca="1" si="26"/>
        <v>Activo</v>
      </c>
      <c r="L326" s="25" t="s">
        <v>49</v>
      </c>
      <c r="O326" s="25" t="s">
        <v>227</v>
      </c>
      <c r="Q326" s="34">
        <v>365</v>
      </c>
      <c r="R326" s="25" t="s">
        <v>64</v>
      </c>
      <c r="S326" s="28">
        <v>46198</v>
      </c>
      <c r="T326" s="28">
        <f t="shared" si="27"/>
        <v>46563</v>
      </c>
      <c r="U326" s="25">
        <f t="shared" ca="1" si="28"/>
        <v>302</v>
      </c>
      <c r="V326" s="25" t="str">
        <f t="shared" ca="1" si="29"/>
        <v>AL DÍA</v>
      </c>
      <c r="W326" s="25" t="s">
        <v>24</v>
      </c>
      <c r="X326" s="25" t="s">
        <v>262</v>
      </c>
      <c r="Y326" s="25">
        <v>2</v>
      </c>
    </row>
    <row r="327" spans="1:26" ht="14.25" hidden="1" customHeight="1" x14ac:dyDescent="0.15">
      <c r="A327" s="24" t="s">
        <v>296</v>
      </c>
      <c r="B327" s="24" t="s">
        <v>185</v>
      </c>
      <c r="C327" s="26">
        <v>522</v>
      </c>
      <c r="D327" s="24" t="s">
        <v>16</v>
      </c>
      <c r="F327" s="24" t="s">
        <v>219</v>
      </c>
      <c r="G327" s="21">
        <v>2019</v>
      </c>
      <c r="H327" s="21">
        <v>15</v>
      </c>
      <c r="I327" s="21">
        <f t="shared" ca="1" si="25"/>
        <v>7</v>
      </c>
      <c r="J327" s="21">
        <v>3</v>
      </c>
      <c r="K327" s="25" t="str">
        <f t="shared" ca="1" si="26"/>
        <v>Activo</v>
      </c>
      <c r="L327" s="25" t="s">
        <v>302</v>
      </c>
      <c r="O327" s="25" t="s">
        <v>221</v>
      </c>
      <c r="P327" s="25" t="s">
        <v>49</v>
      </c>
      <c r="Q327" s="34">
        <v>365</v>
      </c>
      <c r="R327" s="25" t="s">
        <v>64</v>
      </c>
      <c r="S327" s="28">
        <v>46198</v>
      </c>
      <c r="T327" s="28">
        <f t="shared" si="27"/>
        <v>46563</v>
      </c>
      <c r="U327" s="25">
        <f t="shared" ca="1" si="28"/>
        <v>302</v>
      </c>
      <c r="V327" s="25" t="str">
        <f t="shared" ca="1" si="29"/>
        <v>AL DÍA</v>
      </c>
      <c r="W327" s="25" t="s">
        <v>24</v>
      </c>
      <c r="X327" s="25" t="s">
        <v>271</v>
      </c>
      <c r="Y327" s="25">
        <v>2</v>
      </c>
      <c r="Z327" s="1" t="s">
        <v>303</v>
      </c>
    </row>
    <row r="328" spans="1:26" ht="14.25" hidden="1" customHeight="1" x14ac:dyDescent="0.15">
      <c r="A328" s="24" t="s">
        <v>296</v>
      </c>
      <c r="B328" s="24" t="s">
        <v>185</v>
      </c>
      <c r="C328" s="26">
        <v>522</v>
      </c>
      <c r="D328" s="24" t="s">
        <v>16</v>
      </c>
      <c r="F328" s="24" t="s">
        <v>224</v>
      </c>
      <c r="G328" s="71"/>
      <c r="H328" s="21">
        <v>0</v>
      </c>
      <c r="I328" s="21">
        <f t="shared" ca="1" si="25"/>
        <v>2026</v>
      </c>
      <c r="J328" s="21">
        <v>3</v>
      </c>
      <c r="K328" s="25" t="str">
        <f t="shared" ca="1" si="26"/>
        <v>Activo</v>
      </c>
      <c r="Q328" s="34">
        <v>365</v>
      </c>
      <c r="R328" s="25" t="s">
        <v>64</v>
      </c>
      <c r="S328" s="28">
        <v>46198</v>
      </c>
      <c r="T328" s="28">
        <f t="shared" si="27"/>
        <v>46563</v>
      </c>
      <c r="U328" s="25">
        <f t="shared" ca="1" si="28"/>
        <v>302</v>
      </c>
      <c r="V328" s="25" t="str">
        <f t="shared" ca="1" si="29"/>
        <v>AL DÍA</v>
      </c>
      <c r="W328" s="25" t="s">
        <v>24</v>
      </c>
      <c r="X328" s="25" t="s">
        <v>271</v>
      </c>
      <c r="Y328" s="25">
        <v>2</v>
      </c>
    </row>
    <row r="329" spans="1:26" ht="14.25" hidden="1" customHeight="1" x14ac:dyDescent="0.15">
      <c r="A329" s="24" t="s">
        <v>296</v>
      </c>
      <c r="B329" s="24" t="s">
        <v>185</v>
      </c>
      <c r="C329" s="26">
        <v>522</v>
      </c>
      <c r="D329" s="24" t="s">
        <v>65</v>
      </c>
      <c r="F329" s="24" t="s">
        <v>220</v>
      </c>
      <c r="G329" s="21">
        <v>1987</v>
      </c>
      <c r="H329" s="21">
        <v>0</v>
      </c>
      <c r="I329" s="21">
        <f t="shared" ca="1" si="25"/>
        <v>39</v>
      </c>
      <c r="J329" s="21">
        <v>3</v>
      </c>
      <c r="K329" s="25" t="str">
        <f t="shared" ca="1" si="26"/>
        <v>Activo</v>
      </c>
      <c r="L329" s="25" t="s">
        <v>49</v>
      </c>
      <c r="O329" s="25" t="s">
        <v>222</v>
      </c>
      <c r="P329" s="26"/>
      <c r="Q329" s="34">
        <v>365</v>
      </c>
      <c r="R329" s="25" t="s">
        <v>64</v>
      </c>
      <c r="S329" s="28">
        <v>46198</v>
      </c>
      <c r="T329" s="28">
        <f t="shared" si="27"/>
        <v>46563</v>
      </c>
      <c r="U329" s="25">
        <f t="shared" ca="1" si="28"/>
        <v>302</v>
      </c>
      <c r="V329" s="25" t="str">
        <f t="shared" ca="1" si="29"/>
        <v>AL DÍA</v>
      </c>
      <c r="W329" s="25" t="s">
        <v>24</v>
      </c>
      <c r="X329" s="25" t="s">
        <v>262</v>
      </c>
      <c r="Y329" s="25">
        <v>2</v>
      </c>
    </row>
    <row r="330" spans="1:26" ht="14.25" hidden="1" customHeight="1" x14ac:dyDescent="0.15">
      <c r="A330" s="24" t="s">
        <v>296</v>
      </c>
      <c r="B330" s="24" t="s">
        <v>185</v>
      </c>
      <c r="C330" s="26">
        <v>523</v>
      </c>
      <c r="D330" s="24" t="s">
        <v>65</v>
      </c>
      <c r="F330" s="24" t="s">
        <v>215</v>
      </c>
      <c r="G330" s="21">
        <v>1987</v>
      </c>
      <c r="H330" s="21">
        <v>0</v>
      </c>
      <c r="I330" s="21">
        <f t="shared" ca="1" si="25"/>
        <v>39</v>
      </c>
      <c r="J330" s="21">
        <v>3</v>
      </c>
      <c r="K330" s="25" t="str">
        <f t="shared" ca="1" si="26"/>
        <v>Activo</v>
      </c>
      <c r="L330" s="25" t="s">
        <v>49</v>
      </c>
      <c r="M330" s="25" t="s">
        <v>49</v>
      </c>
      <c r="P330" s="25" t="s">
        <v>22</v>
      </c>
      <c r="Q330" s="34">
        <v>365</v>
      </c>
      <c r="R330" s="25" t="s">
        <v>64</v>
      </c>
      <c r="S330" s="28">
        <v>46198</v>
      </c>
      <c r="T330" s="28">
        <f t="shared" si="27"/>
        <v>46563</v>
      </c>
      <c r="U330" s="25">
        <f t="shared" ca="1" si="28"/>
        <v>302</v>
      </c>
      <c r="V330" s="25" t="str">
        <f t="shared" ca="1" si="29"/>
        <v>AL DÍA</v>
      </c>
      <c r="W330" s="25" t="s">
        <v>24</v>
      </c>
      <c r="X330" s="25" t="s">
        <v>271</v>
      </c>
      <c r="Y330" s="25">
        <v>2</v>
      </c>
    </row>
    <row r="331" spans="1:26" ht="14.25" hidden="1" customHeight="1" x14ac:dyDescent="0.15">
      <c r="A331" s="24" t="s">
        <v>296</v>
      </c>
      <c r="B331" s="24" t="s">
        <v>185</v>
      </c>
      <c r="C331" s="26">
        <v>523</v>
      </c>
      <c r="D331" s="24" t="s">
        <v>65</v>
      </c>
      <c r="F331" s="24" t="s">
        <v>216</v>
      </c>
      <c r="G331" s="21">
        <v>1987</v>
      </c>
      <c r="H331" s="21">
        <v>0</v>
      </c>
      <c r="I331" s="21">
        <f t="shared" ca="1" si="25"/>
        <v>39</v>
      </c>
      <c r="J331" s="21">
        <v>3</v>
      </c>
      <c r="K331" s="25" t="str">
        <f t="shared" ca="1" si="26"/>
        <v>Activo</v>
      </c>
      <c r="L331" s="25" t="s">
        <v>49</v>
      </c>
      <c r="P331" s="25" t="s">
        <v>22</v>
      </c>
      <c r="Q331" s="32">
        <v>365</v>
      </c>
      <c r="R331" s="25" t="s">
        <v>69</v>
      </c>
      <c r="S331" s="29">
        <v>46198</v>
      </c>
      <c r="T331" s="28">
        <f t="shared" si="27"/>
        <v>46563</v>
      </c>
      <c r="U331" s="25">
        <f t="shared" ca="1" si="28"/>
        <v>302</v>
      </c>
      <c r="V331" s="25" t="str">
        <f t="shared" ca="1" si="29"/>
        <v>AL DÍA</v>
      </c>
      <c r="W331" s="25" t="s">
        <v>24</v>
      </c>
      <c r="X331" s="25" t="s">
        <v>277</v>
      </c>
      <c r="Y331" s="25">
        <v>1</v>
      </c>
    </row>
    <row r="332" spans="1:26" ht="14.25" hidden="1" customHeight="1" x14ac:dyDescent="0.15">
      <c r="A332" s="24" t="s">
        <v>296</v>
      </c>
      <c r="B332" s="24" t="s">
        <v>185</v>
      </c>
      <c r="C332" s="26">
        <v>523</v>
      </c>
      <c r="D332" s="24" t="s">
        <v>65</v>
      </c>
      <c r="F332" s="24" t="s">
        <v>217</v>
      </c>
      <c r="G332" s="21">
        <v>1987</v>
      </c>
      <c r="H332" s="21">
        <v>0</v>
      </c>
      <c r="I332" s="21">
        <f t="shared" ca="1" si="25"/>
        <v>39</v>
      </c>
      <c r="J332" s="21">
        <v>3</v>
      </c>
      <c r="K332" s="25" t="str">
        <f t="shared" ca="1" si="26"/>
        <v>Activo</v>
      </c>
      <c r="L332" s="25" t="s">
        <v>49</v>
      </c>
      <c r="O332" s="26">
        <v>62.64</v>
      </c>
      <c r="P332" s="26"/>
      <c r="Q332" s="34">
        <v>365</v>
      </c>
      <c r="R332" s="25" t="s">
        <v>64</v>
      </c>
      <c r="S332" s="28">
        <v>46198</v>
      </c>
      <c r="T332" s="28">
        <f t="shared" si="27"/>
        <v>46563</v>
      </c>
      <c r="U332" s="25">
        <f t="shared" ca="1" si="28"/>
        <v>302</v>
      </c>
      <c r="V332" s="25" t="str">
        <f t="shared" ca="1" si="29"/>
        <v>AL DÍA</v>
      </c>
      <c r="W332" s="25" t="s">
        <v>24</v>
      </c>
      <c r="X332" s="25" t="s">
        <v>262</v>
      </c>
      <c r="Y332" s="25">
        <v>2</v>
      </c>
    </row>
    <row r="333" spans="1:26" ht="14.25" hidden="1" customHeight="1" x14ac:dyDescent="0.15">
      <c r="A333" s="24" t="s">
        <v>296</v>
      </c>
      <c r="B333" s="24" t="s">
        <v>185</v>
      </c>
      <c r="C333" s="26">
        <v>523</v>
      </c>
      <c r="D333" s="24" t="s">
        <v>65</v>
      </c>
      <c r="F333" s="24" t="s">
        <v>218</v>
      </c>
      <c r="G333" s="21">
        <v>1987</v>
      </c>
      <c r="H333" s="21">
        <v>0</v>
      </c>
      <c r="I333" s="21">
        <f t="shared" ca="1" si="25"/>
        <v>39</v>
      </c>
      <c r="J333" s="21">
        <v>3</v>
      </c>
      <c r="K333" s="25" t="str">
        <f t="shared" ca="1" si="26"/>
        <v>Activo</v>
      </c>
      <c r="L333" s="25" t="s">
        <v>49</v>
      </c>
      <c r="O333" s="25" t="s">
        <v>227</v>
      </c>
      <c r="Q333" s="34">
        <v>365</v>
      </c>
      <c r="R333" s="25" t="s">
        <v>64</v>
      </c>
      <c r="S333" s="28">
        <v>46198</v>
      </c>
      <c r="T333" s="28">
        <f t="shared" si="27"/>
        <v>46563</v>
      </c>
      <c r="U333" s="25">
        <f t="shared" ca="1" si="28"/>
        <v>302</v>
      </c>
      <c r="V333" s="25" t="str">
        <f t="shared" ca="1" si="29"/>
        <v>AL DÍA</v>
      </c>
      <c r="W333" s="25" t="s">
        <v>24</v>
      </c>
      <c r="X333" s="25" t="s">
        <v>262</v>
      </c>
      <c r="Y333" s="25">
        <v>2</v>
      </c>
    </row>
    <row r="334" spans="1:26" ht="14.25" hidden="1" customHeight="1" x14ac:dyDescent="0.15">
      <c r="A334" s="24" t="s">
        <v>296</v>
      </c>
      <c r="B334" s="24" t="s">
        <v>185</v>
      </c>
      <c r="C334" s="25">
        <v>523</v>
      </c>
      <c r="D334" s="24" t="s">
        <v>16</v>
      </c>
      <c r="F334" s="24" t="s">
        <v>219</v>
      </c>
      <c r="G334" s="21">
        <v>2019</v>
      </c>
      <c r="H334" s="21">
        <v>15</v>
      </c>
      <c r="I334" s="21">
        <f t="shared" ca="1" si="25"/>
        <v>7</v>
      </c>
      <c r="J334" s="21">
        <v>3</v>
      </c>
      <c r="K334" s="25" t="str">
        <f t="shared" ca="1" si="26"/>
        <v>Activo</v>
      </c>
      <c r="L334" s="25" t="s">
        <v>302</v>
      </c>
      <c r="O334" s="25" t="s">
        <v>221</v>
      </c>
      <c r="P334" s="25" t="s">
        <v>49</v>
      </c>
      <c r="Q334" s="34">
        <v>365</v>
      </c>
      <c r="R334" s="25" t="s">
        <v>64</v>
      </c>
      <c r="S334" s="28">
        <v>46198</v>
      </c>
      <c r="T334" s="28">
        <f t="shared" si="27"/>
        <v>46563</v>
      </c>
      <c r="U334" s="25">
        <f t="shared" ca="1" si="28"/>
        <v>302</v>
      </c>
      <c r="V334" s="25" t="str">
        <f t="shared" ca="1" si="29"/>
        <v>AL DÍA</v>
      </c>
      <c r="W334" s="25" t="s">
        <v>24</v>
      </c>
      <c r="X334" s="25" t="s">
        <v>271</v>
      </c>
      <c r="Y334" s="25">
        <v>2</v>
      </c>
      <c r="Z334" s="1" t="s">
        <v>303</v>
      </c>
    </row>
    <row r="335" spans="1:26" ht="14.25" hidden="1" customHeight="1" x14ac:dyDescent="0.15">
      <c r="A335" s="24" t="s">
        <v>296</v>
      </c>
      <c r="B335" s="24" t="s">
        <v>185</v>
      </c>
      <c r="C335" s="26">
        <v>523</v>
      </c>
      <c r="D335" s="24" t="s">
        <v>16</v>
      </c>
      <c r="F335" s="24" t="s">
        <v>224</v>
      </c>
      <c r="G335" s="71"/>
      <c r="H335" s="21">
        <v>0</v>
      </c>
      <c r="I335" s="21">
        <f t="shared" ca="1" si="25"/>
        <v>2026</v>
      </c>
      <c r="J335" s="21">
        <v>3</v>
      </c>
      <c r="K335" s="25" t="str">
        <f t="shared" ca="1" si="26"/>
        <v>Activo</v>
      </c>
      <c r="Q335" s="34">
        <v>365</v>
      </c>
      <c r="R335" s="25" t="s">
        <v>64</v>
      </c>
      <c r="S335" s="28">
        <v>46198</v>
      </c>
      <c r="T335" s="28">
        <f t="shared" si="27"/>
        <v>46563</v>
      </c>
      <c r="U335" s="25">
        <f t="shared" ca="1" si="28"/>
        <v>302</v>
      </c>
      <c r="V335" s="25" t="str">
        <f t="shared" ca="1" si="29"/>
        <v>AL DÍA</v>
      </c>
      <c r="W335" s="25" t="s">
        <v>24</v>
      </c>
      <c r="X335" s="25" t="s">
        <v>271</v>
      </c>
      <c r="Y335" s="25">
        <v>2</v>
      </c>
    </row>
    <row r="336" spans="1:26" ht="14.25" hidden="1" customHeight="1" x14ac:dyDescent="0.15">
      <c r="A336" s="24" t="s">
        <v>296</v>
      </c>
      <c r="B336" s="24" t="s">
        <v>185</v>
      </c>
      <c r="C336" s="26">
        <v>523</v>
      </c>
      <c r="D336" s="24" t="s">
        <v>65</v>
      </c>
      <c r="F336" s="24" t="s">
        <v>220</v>
      </c>
      <c r="G336" s="21">
        <v>1987</v>
      </c>
      <c r="H336" s="21">
        <v>0</v>
      </c>
      <c r="I336" s="21">
        <f t="shared" ca="1" si="25"/>
        <v>39</v>
      </c>
      <c r="J336" s="21">
        <v>3</v>
      </c>
      <c r="K336" s="25" t="str">
        <f t="shared" ca="1" si="26"/>
        <v>Activo</v>
      </c>
      <c r="L336" s="25" t="s">
        <v>49</v>
      </c>
      <c r="O336" s="25" t="s">
        <v>222</v>
      </c>
      <c r="P336" s="26"/>
      <c r="Q336" s="34">
        <v>365</v>
      </c>
      <c r="R336" s="25" t="s">
        <v>64</v>
      </c>
      <c r="S336" s="28">
        <v>46198</v>
      </c>
      <c r="T336" s="28">
        <f t="shared" si="27"/>
        <v>46563</v>
      </c>
      <c r="U336" s="25">
        <f t="shared" ca="1" si="28"/>
        <v>302</v>
      </c>
      <c r="V336" s="25" t="str">
        <f t="shared" ca="1" si="29"/>
        <v>AL DÍA</v>
      </c>
      <c r="W336" s="25" t="s">
        <v>24</v>
      </c>
      <c r="X336" s="25" t="s">
        <v>262</v>
      </c>
      <c r="Y336" s="25">
        <v>2</v>
      </c>
    </row>
    <row r="337" spans="1:26" ht="14.25" hidden="1" customHeight="1" x14ac:dyDescent="0.15">
      <c r="A337" s="24" t="s">
        <v>296</v>
      </c>
      <c r="B337" s="24" t="s">
        <v>185</v>
      </c>
      <c r="C337" s="26">
        <v>524</v>
      </c>
      <c r="D337" s="24" t="s">
        <v>65</v>
      </c>
      <c r="F337" s="24" t="s">
        <v>215</v>
      </c>
      <c r="G337" s="21">
        <v>1987</v>
      </c>
      <c r="H337" s="21">
        <v>0</v>
      </c>
      <c r="I337" s="21">
        <f t="shared" ca="1" si="25"/>
        <v>39</v>
      </c>
      <c r="J337" s="21">
        <v>3</v>
      </c>
      <c r="K337" s="25" t="str">
        <f t="shared" ca="1" si="26"/>
        <v>Activo</v>
      </c>
      <c r="L337" s="25" t="s">
        <v>49</v>
      </c>
      <c r="M337" s="25" t="s">
        <v>49</v>
      </c>
      <c r="P337" s="25" t="s">
        <v>22</v>
      </c>
      <c r="Q337" s="34">
        <v>365</v>
      </c>
      <c r="R337" s="25" t="s">
        <v>64</v>
      </c>
      <c r="S337" s="28">
        <v>46198</v>
      </c>
      <c r="T337" s="28">
        <f t="shared" si="27"/>
        <v>46563</v>
      </c>
      <c r="U337" s="25">
        <f t="shared" ca="1" si="28"/>
        <v>302</v>
      </c>
      <c r="V337" s="25" t="str">
        <f t="shared" ca="1" si="29"/>
        <v>AL DÍA</v>
      </c>
      <c r="W337" s="25" t="s">
        <v>24</v>
      </c>
      <c r="X337" s="25" t="s">
        <v>271</v>
      </c>
      <c r="Y337" s="25">
        <v>2</v>
      </c>
    </row>
    <row r="338" spans="1:26" ht="14.25" hidden="1" customHeight="1" x14ac:dyDescent="0.15">
      <c r="A338" s="24" t="s">
        <v>296</v>
      </c>
      <c r="B338" s="24" t="s">
        <v>185</v>
      </c>
      <c r="C338" s="26">
        <v>524</v>
      </c>
      <c r="D338" s="24" t="s">
        <v>65</v>
      </c>
      <c r="F338" s="24" t="s">
        <v>216</v>
      </c>
      <c r="G338" s="21">
        <v>1987</v>
      </c>
      <c r="H338" s="21">
        <v>0</v>
      </c>
      <c r="I338" s="21">
        <f t="shared" ca="1" si="25"/>
        <v>39</v>
      </c>
      <c r="J338" s="21">
        <v>3</v>
      </c>
      <c r="K338" s="25" t="str">
        <f t="shared" ca="1" si="26"/>
        <v>Activo</v>
      </c>
      <c r="L338" s="25" t="s">
        <v>49</v>
      </c>
      <c r="P338" s="25" t="s">
        <v>22</v>
      </c>
      <c r="Q338" s="32">
        <v>365</v>
      </c>
      <c r="R338" s="25" t="s">
        <v>69</v>
      </c>
      <c r="S338" s="29">
        <v>46198</v>
      </c>
      <c r="T338" s="28">
        <f t="shared" si="27"/>
        <v>46563</v>
      </c>
      <c r="U338" s="25">
        <f t="shared" ca="1" si="28"/>
        <v>302</v>
      </c>
      <c r="V338" s="25" t="str">
        <f t="shared" ca="1" si="29"/>
        <v>AL DÍA</v>
      </c>
      <c r="W338" s="25" t="s">
        <v>24</v>
      </c>
      <c r="X338" s="25" t="s">
        <v>277</v>
      </c>
      <c r="Y338" s="25">
        <v>1</v>
      </c>
    </row>
    <row r="339" spans="1:26" ht="14.25" hidden="1" customHeight="1" x14ac:dyDescent="0.15">
      <c r="A339" s="24" t="s">
        <v>296</v>
      </c>
      <c r="B339" s="24" t="s">
        <v>185</v>
      </c>
      <c r="C339" s="26">
        <v>524</v>
      </c>
      <c r="D339" s="24" t="s">
        <v>65</v>
      </c>
      <c r="F339" s="24" t="s">
        <v>217</v>
      </c>
      <c r="G339" s="21">
        <v>1987</v>
      </c>
      <c r="H339" s="21">
        <v>0</v>
      </c>
      <c r="I339" s="21">
        <f t="shared" ca="1" si="25"/>
        <v>39</v>
      </c>
      <c r="J339" s="21">
        <v>3</v>
      </c>
      <c r="K339" s="25" t="str">
        <f t="shared" ca="1" si="26"/>
        <v>Activo</v>
      </c>
      <c r="L339" s="25" t="s">
        <v>49</v>
      </c>
      <c r="O339" s="26">
        <v>62.64</v>
      </c>
      <c r="P339" s="26"/>
      <c r="Q339" s="34">
        <v>365</v>
      </c>
      <c r="R339" s="25" t="s">
        <v>64</v>
      </c>
      <c r="S339" s="28">
        <v>46198</v>
      </c>
      <c r="T339" s="28">
        <f t="shared" si="27"/>
        <v>46563</v>
      </c>
      <c r="U339" s="25">
        <f t="shared" ca="1" si="28"/>
        <v>302</v>
      </c>
      <c r="V339" s="25" t="str">
        <f t="shared" ca="1" si="29"/>
        <v>AL DÍA</v>
      </c>
      <c r="W339" s="25" t="s">
        <v>24</v>
      </c>
      <c r="X339" s="25" t="s">
        <v>262</v>
      </c>
      <c r="Y339" s="25">
        <v>2</v>
      </c>
    </row>
    <row r="340" spans="1:26" ht="14.25" hidden="1" customHeight="1" x14ac:dyDescent="0.15">
      <c r="A340" s="24" t="s">
        <v>296</v>
      </c>
      <c r="B340" s="24" t="s">
        <v>185</v>
      </c>
      <c r="C340" s="26">
        <v>524</v>
      </c>
      <c r="D340" s="24" t="s">
        <v>65</v>
      </c>
      <c r="F340" s="24" t="s">
        <v>218</v>
      </c>
      <c r="G340" s="21">
        <v>1987</v>
      </c>
      <c r="H340" s="21">
        <v>0</v>
      </c>
      <c r="I340" s="21">
        <f t="shared" ca="1" si="25"/>
        <v>39</v>
      </c>
      <c r="J340" s="21">
        <v>3</v>
      </c>
      <c r="K340" s="25" t="str">
        <f t="shared" ca="1" si="26"/>
        <v>Activo</v>
      </c>
      <c r="L340" s="25" t="s">
        <v>49</v>
      </c>
      <c r="O340" s="25" t="s">
        <v>227</v>
      </c>
      <c r="Q340" s="34">
        <v>365</v>
      </c>
      <c r="R340" s="25" t="s">
        <v>64</v>
      </c>
      <c r="S340" s="28">
        <v>46198</v>
      </c>
      <c r="T340" s="28">
        <f t="shared" si="27"/>
        <v>46563</v>
      </c>
      <c r="U340" s="25">
        <f t="shared" ca="1" si="28"/>
        <v>302</v>
      </c>
      <c r="V340" s="25" t="str">
        <f t="shared" ca="1" si="29"/>
        <v>AL DÍA</v>
      </c>
      <c r="W340" s="25" t="s">
        <v>24</v>
      </c>
      <c r="X340" s="25" t="s">
        <v>262</v>
      </c>
      <c r="Y340" s="25">
        <v>2</v>
      </c>
    </row>
    <row r="341" spans="1:26" ht="14.25" hidden="1" customHeight="1" x14ac:dyDescent="0.15">
      <c r="A341" s="24" t="s">
        <v>296</v>
      </c>
      <c r="B341" s="24" t="s">
        <v>185</v>
      </c>
      <c r="C341" s="26">
        <v>524</v>
      </c>
      <c r="D341" s="24" t="s">
        <v>16</v>
      </c>
      <c r="F341" s="24" t="s">
        <v>219</v>
      </c>
      <c r="G341" s="21">
        <v>2019</v>
      </c>
      <c r="H341" s="21">
        <v>15</v>
      </c>
      <c r="I341" s="21">
        <f t="shared" ca="1" si="25"/>
        <v>7</v>
      </c>
      <c r="J341" s="21">
        <v>3</v>
      </c>
      <c r="K341" s="25" t="str">
        <f t="shared" ca="1" si="26"/>
        <v>Activo</v>
      </c>
      <c r="L341" s="25" t="s">
        <v>302</v>
      </c>
      <c r="O341" s="25" t="s">
        <v>221</v>
      </c>
      <c r="P341" s="25" t="s">
        <v>49</v>
      </c>
      <c r="Q341" s="34">
        <v>365</v>
      </c>
      <c r="R341" s="25" t="s">
        <v>64</v>
      </c>
      <c r="S341" s="28">
        <v>46198</v>
      </c>
      <c r="T341" s="28">
        <f t="shared" si="27"/>
        <v>46563</v>
      </c>
      <c r="U341" s="25">
        <f t="shared" ca="1" si="28"/>
        <v>302</v>
      </c>
      <c r="V341" s="25" t="str">
        <f t="shared" ca="1" si="29"/>
        <v>AL DÍA</v>
      </c>
      <c r="W341" s="25" t="s">
        <v>24</v>
      </c>
      <c r="X341" s="25" t="s">
        <v>271</v>
      </c>
      <c r="Y341" s="25">
        <v>2</v>
      </c>
      <c r="Z341" s="1" t="s">
        <v>303</v>
      </c>
    </row>
    <row r="342" spans="1:26" ht="14.25" hidden="1" customHeight="1" x14ac:dyDescent="0.15">
      <c r="A342" s="24" t="s">
        <v>296</v>
      </c>
      <c r="B342" s="24" t="s">
        <v>185</v>
      </c>
      <c r="C342" s="26">
        <v>524</v>
      </c>
      <c r="D342" s="24" t="s">
        <v>16</v>
      </c>
      <c r="F342" s="24" t="s">
        <v>224</v>
      </c>
      <c r="G342" s="71"/>
      <c r="H342" s="21">
        <v>0</v>
      </c>
      <c r="I342" s="21">
        <f t="shared" ca="1" si="25"/>
        <v>2026</v>
      </c>
      <c r="J342" s="21">
        <v>3</v>
      </c>
      <c r="K342" s="25" t="str">
        <f t="shared" ca="1" si="26"/>
        <v>Activo</v>
      </c>
      <c r="Q342" s="34">
        <v>365</v>
      </c>
      <c r="R342" s="25" t="s">
        <v>64</v>
      </c>
      <c r="S342" s="28">
        <v>46198</v>
      </c>
      <c r="T342" s="28">
        <f t="shared" si="27"/>
        <v>46563</v>
      </c>
      <c r="U342" s="25">
        <f t="shared" ca="1" si="28"/>
        <v>302</v>
      </c>
      <c r="V342" s="25" t="str">
        <f t="shared" ca="1" si="29"/>
        <v>AL DÍA</v>
      </c>
      <c r="W342" s="25" t="s">
        <v>24</v>
      </c>
      <c r="X342" s="25" t="s">
        <v>271</v>
      </c>
      <c r="Y342" s="25">
        <v>2</v>
      </c>
    </row>
    <row r="343" spans="1:26" ht="14.25" hidden="1" customHeight="1" x14ac:dyDescent="0.15">
      <c r="A343" s="24" t="s">
        <v>296</v>
      </c>
      <c r="B343" s="24" t="s">
        <v>185</v>
      </c>
      <c r="C343" s="26">
        <v>524</v>
      </c>
      <c r="D343" s="24" t="s">
        <v>65</v>
      </c>
      <c r="F343" s="24" t="s">
        <v>220</v>
      </c>
      <c r="G343" s="21">
        <v>1987</v>
      </c>
      <c r="H343" s="21">
        <v>0</v>
      </c>
      <c r="I343" s="21">
        <f t="shared" ca="1" si="25"/>
        <v>39</v>
      </c>
      <c r="J343" s="21">
        <v>3</v>
      </c>
      <c r="K343" s="25" t="str">
        <f t="shared" ca="1" si="26"/>
        <v>Activo</v>
      </c>
      <c r="L343" s="25" t="s">
        <v>49</v>
      </c>
      <c r="O343" s="25" t="s">
        <v>222</v>
      </c>
      <c r="P343" s="26"/>
      <c r="Q343" s="34">
        <v>365</v>
      </c>
      <c r="R343" s="25" t="s">
        <v>64</v>
      </c>
      <c r="S343" s="28">
        <v>46198</v>
      </c>
      <c r="T343" s="28">
        <f t="shared" si="27"/>
        <v>46563</v>
      </c>
      <c r="U343" s="25">
        <f t="shared" ca="1" si="28"/>
        <v>302</v>
      </c>
      <c r="V343" s="25" t="str">
        <f t="shared" ca="1" si="29"/>
        <v>AL DÍA</v>
      </c>
      <c r="W343" s="25" t="s">
        <v>24</v>
      </c>
      <c r="X343" s="25" t="s">
        <v>262</v>
      </c>
      <c r="Y343" s="25">
        <v>2</v>
      </c>
    </row>
    <row r="344" spans="1:26" ht="14.25" hidden="1" customHeight="1" x14ac:dyDescent="0.15">
      <c r="A344" s="24" t="s">
        <v>296</v>
      </c>
      <c r="B344" s="24" t="s">
        <v>185</v>
      </c>
      <c r="C344" s="26">
        <v>525</v>
      </c>
      <c r="D344" s="24" t="s">
        <v>65</v>
      </c>
      <c r="F344" s="24" t="s">
        <v>215</v>
      </c>
      <c r="G344" s="21">
        <v>1987</v>
      </c>
      <c r="H344" s="21">
        <v>0</v>
      </c>
      <c r="I344" s="21">
        <f t="shared" ca="1" si="25"/>
        <v>39</v>
      </c>
      <c r="J344" s="21">
        <v>3</v>
      </c>
      <c r="K344" s="25" t="str">
        <f t="shared" ca="1" si="26"/>
        <v>Activo</v>
      </c>
      <c r="L344" s="25" t="s">
        <v>49</v>
      </c>
      <c r="M344" s="25" t="s">
        <v>49</v>
      </c>
      <c r="P344" s="25" t="s">
        <v>22</v>
      </c>
      <c r="Q344" s="34">
        <v>365</v>
      </c>
      <c r="R344" s="25" t="s">
        <v>64</v>
      </c>
      <c r="S344" s="28">
        <v>46198</v>
      </c>
      <c r="T344" s="28">
        <f t="shared" si="27"/>
        <v>46563</v>
      </c>
      <c r="U344" s="25">
        <f t="shared" ca="1" si="28"/>
        <v>302</v>
      </c>
      <c r="V344" s="25" t="str">
        <f t="shared" ca="1" si="29"/>
        <v>AL DÍA</v>
      </c>
      <c r="W344" s="25" t="s">
        <v>24</v>
      </c>
      <c r="X344" s="25" t="s">
        <v>271</v>
      </c>
      <c r="Y344" s="25">
        <v>2</v>
      </c>
    </row>
    <row r="345" spans="1:26" ht="14.25" hidden="1" customHeight="1" x14ac:dyDescent="0.15">
      <c r="A345" s="24" t="s">
        <v>296</v>
      </c>
      <c r="B345" s="24" t="s">
        <v>185</v>
      </c>
      <c r="C345" s="26">
        <v>525</v>
      </c>
      <c r="D345" s="24" t="s">
        <v>65</v>
      </c>
      <c r="F345" s="24" t="s">
        <v>216</v>
      </c>
      <c r="G345" s="21">
        <v>1987</v>
      </c>
      <c r="H345" s="21">
        <v>0</v>
      </c>
      <c r="I345" s="21">
        <f t="shared" ca="1" si="25"/>
        <v>39</v>
      </c>
      <c r="J345" s="21">
        <v>3</v>
      </c>
      <c r="K345" s="25" t="str">
        <f t="shared" ca="1" si="26"/>
        <v>Activo</v>
      </c>
      <c r="L345" s="25" t="s">
        <v>49</v>
      </c>
      <c r="P345" s="25" t="s">
        <v>22</v>
      </c>
      <c r="Q345" s="32">
        <v>365</v>
      </c>
      <c r="R345" s="25" t="s">
        <v>69</v>
      </c>
      <c r="S345" s="29">
        <v>46198</v>
      </c>
      <c r="T345" s="28">
        <f t="shared" si="27"/>
        <v>46563</v>
      </c>
      <c r="U345" s="25">
        <f t="shared" ca="1" si="28"/>
        <v>302</v>
      </c>
      <c r="V345" s="25" t="str">
        <f t="shared" ca="1" si="29"/>
        <v>AL DÍA</v>
      </c>
      <c r="W345" s="25" t="s">
        <v>24</v>
      </c>
      <c r="X345" s="25" t="s">
        <v>277</v>
      </c>
      <c r="Y345" s="25">
        <v>1</v>
      </c>
    </row>
    <row r="346" spans="1:26" ht="14.25" hidden="1" customHeight="1" x14ac:dyDescent="0.15">
      <c r="A346" s="24" t="s">
        <v>296</v>
      </c>
      <c r="B346" s="24" t="s">
        <v>185</v>
      </c>
      <c r="C346" s="26">
        <v>525</v>
      </c>
      <c r="D346" s="24" t="s">
        <v>65</v>
      </c>
      <c r="F346" s="24" t="s">
        <v>217</v>
      </c>
      <c r="G346" s="21">
        <v>1987</v>
      </c>
      <c r="H346" s="21">
        <v>0</v>
      </c>
      <c r="I346" s="21">
        <f t="shared" ca="1" si="25"/>
        <v>39</v>
      </c>
      <c r="J346" s="21">
        <v>3</v>
      </c>
      <c r="K346" s="25" t="str">
        <f t="shared" ca="1" si="26"/>
        <v>Activo</v>
      </c>
      <c r="L346" s="25" t="s">
        <v>49</v>
      </c>
      <c r="O346" s="26">
        <v>62.64</v>
      </c>
      <c r="P346" s="26"/>
      <c r="Q346" s="34">
        <v>365</v>
      </c>
      <c r="R346" s="25" t="s">
        <v>64</v>
      </c>
      <c r="S346" s="28">
        <v>46198</v>
      </c>
      <c r="T346" s="28">
        <f t="shared" si="27"/>
        <v>46563</v>
      </c>
      <c r="U346" s="25">
        <f t="shared" ca="1" si="28"/>
        <v>302</v>
      </c>
      <c r="V346" s="25" t="str">
        <f t="shared" ca="1" si="29"/>
        <v>AL DÍA</v>
      </c>
      <c r="W346" s="25" t="s">
        <v>24</v>
      </c>
      <c r="X346" s="25" t="s">
        <v>262</v>
      </c>
      <c r="Y346" s="25">
        <v>2</v>
      </c>
    </row>
    <row r="347" spans="1:26" ht="14.25" hidden="1" customHeight="1" x14ac:dyDescent="0.15">
      <c r="A347" s="24" t="s">
        <v>296</v>
      </c>
      <c r="B347" s="24" t="s">
        <v>185</v>
      </c>
      <c r="C347" s="26">
        <v>525</v>
      </c>
      <c r="D347" s="24" t="s">
        <v>65</v>
      </c>
      <c r="F347" s="24" t="s">
        <v>218</v>
      </c>
      <c r="G347" s="21">
        <v>1987</v>
      </c>
      <c r="H347" s="21">
        <v>0</v>
      </c>
      <c r="I347" s="21">
        <f t="shared" ca="1" si="25"/>
        <v>39</v>
      </c>
      <c r="J347" s="21">
        <v>3</v>
      </c>
      <c r="K347" s="25" t="str">
        <f t="shared" ca="1" si="26"/>
        <v>Activo</v>
      </c>
      <c r="L347" s="25" t="s">
        <v>49</v>
      </c>
      <c r="O347" s="25" t="s">
        <v>227</v>
      </c>
      <c r="Q347" s="34">
        <v>365</v>
      </c>
      <c r="R347" s="25" t="s">
        <v>64</v>
      </c>
      <c r="S347" s="28">
        <v>46198</v>
      </c>
      <c r="T347" s="28">
        <f t="shared" si="27"/>
        <v>46563</v>
      </c>
      <c r="U347" s="25">
        <f t="shared" ca="1" si="28"/>
        <v>302</v>
      </c>
      <c r="V347" s="25" t="str">
        <f t="shared" ca="1" si="29"/>
        <v>AL DÍA</v>
      </c>
      <c r="W347" s="25" t="s">
        <v>24</v>
      </c>
      <c r="X347" s="25" t="s">
        <v>262</v>
      </c>
      <c r="Y347" s="25">
        <v>2</v>
      </c>
    </row>
    <row r="348" spans="1:26" ht="14.25" hidden="1" customHeight="1" x14ac:dyDescent="0.15">
      <c r="A348" s="24" t="s">
        <v>296</v>
      </c>
      <c r="B348" s="24" t="s">
        <v>185</v>
      </c>
      <c r="C348" s="26">
        <v>525</v>
      </c>
      <c r="D348" s="24" t="s">
        <v>16</v>
      </c>
      <c r="F348" s="24" t="s">
        <v>219</v>
      </c>
      <c r="G348" s="21">
        <v>2019</v>
      </c>
      <c r="H348" s="21">
        <v>15</v>
      </c>
      <c r="I348" s="21">
        <f t="shared" ca="1" si="25"/>
        <v>7</v>
      </c>
      <c r="J348" s="21">
        <v>3</v>
      </c>
      <c r="K348" s="25" t="str">
        <f t="shared" ca="1" si="26"/>
        <v>Activo</v>
      </c>
      <c r="L348" s="25" t="s">
        <v>302</v>
      </c>
      <c r="O348" s="25" t="s">
        <v>221</v>
      </c>
      <c r="P348" s="25" t="s">
        <v>49</v>
      </c>
      <c r="Q348" s="34">
        <v>365</v>
      </c>
      <c r="R348" s="25" t="s">
        <v>64</v>
      </c>
      <c r="S348" s="28">
        <v>46198</v>
      </c>
      <c r="T348" s="28">
        <f t="shared" si="27"/>
        <v>46563</v>
      </c>
      <c r="U348" s="25">
        <f t="shared" ca="1" si="28"/>
        <v>302</v>
      </c>
      <c r="V348" s="25" t="str">
        <f t="shared" ca="1" si="29"/>
        <v>AL DÍA</v>
      </c>
      <c r="W348" s="25" t="s">
        <v>24</v>
      </c>
      <c r="X348" s="25" t="s">
        <v>271</v>
      </c>
      <c r="Y348" s="25">
        <v>2</v>
      </c>
      <c r="Z348" s="1" t="s">
        <v>303</v>
      </c>
    </row>
    <row r="349" spans="1:26" ht="14.25" hidden="1" customHeight="1" x14ac:dyDescent="0.15">
      <c r="A349" s="24" t="s">
        <v>296</v>
      </c>
      <c r="B349" s="24" t="s">
        <v>185</v>
      </c>
      <c r="C349" s="26">
        <v>525</v>
      </c>
      <c r="D349" s="24" t="s">
        <v>16</v>
      </c>
      <c r="F349" s="24" t="s">
        <v>224</v>
      </c>
      <c r="G349" s="71"/>
      <c r="H349" s="21">
        <v>0</v>
      </c>
      <c r="I349" s="21">
        <f t="shared" ca="1" si="25"/>
        <v>2026</v>
      </c>
      <c r="J349" s="21">
        <v>3</v>
      </c>
      <c r="K349" s="25" t="str">
        <f t="shared" ca="1" si="26"/>
        <v>Activo</v>
      </c>
      <c r="Q349" s="34">
        <v>365</v>
      </c>
      <c r="R349" s="25" t="s">
        <v>64</v>
      </c>
      <c r="S349" s="28">
        <v>46198</v>
      </c>
      <c r="T349" s="28">
        <f t="shared" si="27"/>
        <v>46563</v>
      </c>
      <c r="U349" s="25">
        <f t="shared" ca="1" si="28"/>
        <v>302</v>
      </c>
      <c r="V349" s="25" t="str">
        <f t="shared" ca="1" si="29"/>
        <v>AL DÍA</v>
      </c>
      <c r="W349" s="25" t="s">
        <v>24</v>
      </c>
      <c r="X349" s="25" t="s">
        <v>271</v>
      </c>
      <c r="Y349" s="25">
        <v>2</v>
      </c>
    </row>
    <row r="350" spans="1:26" ht="14.25" hidden="1" customHeight="1" x14ac:dyDescent="0.15">
      <c r="A350" s="24" t="s">
        <v>296</v>
      </c>
      <c r="B350" s="24" t="s">
        <v>185</v>
      </c>
      <c r="C350" s="26">
        <v>525</v>
      </c>
      <c r="D350" s="24" t="s">
        <v>65</v>
      </c>
      <c r="F350" s="24" t="s">
        <v>220</v>
      </c>
      <c r="G350" s="21">
        <v>1987</v>
      </c>
      <c r="H350" s="21">
        <v>0</v>
      </c>
      <c r="I350" s="21">
        <f t="shared" ca="1" si="25"/>
        <v>39</v>
      </c>
      <c r="J350" s="21">
        <v>3</v>
      </c>
      <c r="K350" s="25" t="str">
        <f t="shared" ca="1" si="26"/>
        <v>Activo</v>
      </c>
      <c r="L350" s="25" t="s">
        <v>49</v>
      </c>
      <c r="O350" s="25" t="s">
        <v>222</v>
      </c>
      <c r="P350" s="26"/>
      <c r="Q350" s="34">
        <v>365</v>
      </c>
      <c r="R350" s="25" t="s">
        <v>64</v>
      </c>
      <c r="S350" s="28">
        <v>46198</v>
      </c>
      <c r="T350" s="28">
        <f t="shared" si="27"/>
        <v>46563</v>
      </c>
      <c r="U350" s="25">
        <f t="shared" ca="1" si="28"/>
        <v>302</v>
      </c>
      <c r="V350" s="25" t="str">
        <f t="shared" ca="1" si="29"/>
        <v>AL DÍA</v>
      </c>
      <c r="W350" s="25" t="s">
        <v>24</v>
      </c>
      <c r="X350" s="25" t="s">
        <v>262</v>
      </c>
      <c r="Y350" s="25">
        <v>2</v>
      </c>
    </row>
    <row r="351" spans="1:26" ht="14.25" hidden="1" customHeight="1" x14ac:dyDescent="0.15">
      <c r="A351" s="24" t="s">
        <v>296</v>
      </c>
      <c r="B351" s="24" t="s">
        <v>185</v>
      </c>
      <c r="C351" s="26">
        <v>526</v>
      </c>
      <c r="D351" s="24" t="s">
        <v>65</v>
      </c>
      <c r="F351" s="24" t="s">
        <v>215</v>
      </c>
      <c r="G351" s="21">
        <v>1987</v>
      </c>
      <c r="H351" s="21">
        <v>0</v>
      </c>
      <c r="I351" s="21">
        <f t="shared" ca="1" si="25"/>
        <v>39</v>
      </c>
      <c r="J351" s="21">
        <v>3</v>
      </c>
      <c r="K351" s="25" t="str">
        <f t="shared" ca="1" si="26"/>
        <v>Activo</v>
      </c>
      <c r="L351" s="25" t="s">
        <v>49</v>
      </c>
      <c r="M351" s="25" t="s">
        <v>49</v>
      </c>
      <c r="P351" s="25" t="s">
        <v>22</v>
      </c>
      <c r="Q351" s="34">
        <v>365</v>
      </c>
      <c r="R351" s="25" t="s">
        <v>64</v>
      </c>
      <c r="S351" s="28">
        <v>46198</v>
      </c>
      <c r="T351" s="28">
        <f t="shared" si="27"/>
        <v>46563</v>
      </c>
      <c r="U351" s="25">
        <f t="shared" ca="1" si="28"/>
        <v>302</v>
      </c>
      <c r="V351" s="25" t="str">
        <f t="shared" ca="1" si="29"/>
        <v>AL DÍA</v>
      </c>
      <c r="W351" s="25" t="s">
        <v>24</v>
      </c>
      <c r="X351" s="25" t="s">
        <v>271</v>
      </c>
      <c r="Y351" s="25">
        <v>2</v>
      </c>
    </row>
    <row r="352" spans="1:26" ht="14.25" hidden="1" customHeight="1" x14ac:dyDescent="0.15">
      <c r="A352" s="24" t="s">
        <v>296</v>
      </c>
      <c r="B352" s="24" t="s">
        <v>185</v>
      </c>
      <c r="C352" s="26">
        <v>526</v>
      </c>
      <c r="D352" s="24" t="s">
        <v>65</v>
      </c>
      <c r="F352" s="24" t="s">
        <v>216</v>
      </c>
      <c r="G352" s="21">
        <v>1987</v>
      </c>
      <c r="H352" s="21">
        <v>0</v>
      </c>
      <c r="I352" s="21">
        <f t="shared" ca="1" si="25"/>
        <v>39</v>
      </c>
      <c r="J352" s="21">
        <v>3</v>
      </c>
      <c r="K352" s="25" t="str">
        <f t="shared" ca="1" si="26"/>
        <v>Activo</v>
      </c>
      <c r="L352" s="25" t="s">
        <v>49</v>
      </c>
      <c r="P352" s="25" t="s">
        <v>22</v>
      </c>
      <c r="Q352" s="32">
        <v>365</v>
      </c>
      <c r="R352" s="25" t="s">
        <v>69</v>
      </c>
      <c r="S352" s="29">
        <v>46198</v>
      </c>
      <c r="T352" s="28">
        <f t="shared" si="27"/>
        <v>46563</v>
      </c>
      <c r="U352" s="25">
        <f t="shared" ca="1" si="28"/>
        <v>302</v>
      </c>
      <c r="V352" s="25" t="str">
        <f t="shared" ca="1" si="29"/>
        <v>AL DÍA</v>
      </c>
      <c r="W352" s="25" t="s">
        <v>24</v>
      </c>
      <c r="X352" s="25" t="s">
        <v>277</v>
      </c>
      <c r="Y352" s="25">
        <v>1</v>
      </c>
    </row>
    <row r="353" spans="1:26" ht="14.25" hidden="1" customHeight="1" x14ac:dyDescent="0.15">
      <c r="A353" s="24" t="s">
        <v>296</v>
      </c>
      <c r="B353" s="24" t="s">
        <v>185</v>
      </c>
      <c r="C353" s="26">
        <v>526</v>
      </c>
      <c r="D353" s="24" t="s">
        <v>65</v>
      </c>
      <c r="F353" s="24" t="s">
        <v>217</v>
      </c>
      <c r="G353" s="21">
        <v>1987</v>
      </c>
      <c r="H353" s="21">
        <v>0</v>
      </c>
      <c r="I353" s="21">
        <f t="shared" ca="1" si="25"/>
        <v>39</v>
      </c>
      <c r="J353" s="21">
        <v>3</v>
      </c>
      <c r="K353" s="25" t="str">
        <f t="shared" ca="1" si="26"/>
        <v>Activo</v>
      </c>
      <c r="L353" s="25" t="s">
        <v>49</v>
      </c>
      <c r="O353" s="26">
        <v>62.64</v>
      </c>
      <c r="P353" s="26"/>
      <c r="Q353" s="34">
        <v>365</v>
      </c>
      <c r="R353" s="25" t="s">
        <v>64</v>
      </c>
      <c r="S353" s="28">
        <v>46198</v>
      </c>
      <c r="T353" s="28">
        <f t="shared" si="27"/>
        <v>46563</v>
      </c>
      <c r="U353" s="25">
        <f t="shared" ca="1" si="28"/>
        <v>302</v>
      </c>
      <c r="V353" s="25" t="str">
        <f t="shared" ca="1" si="29"/>
        <v>AL DÍA</v>
      </c>
      <c r="W353" s="25" t="s">
        <v>24</v>
      </c>
      <c r="X353" s="25" t="s">
        <v>262</v>
      </c>
      <c r="Y353" s="25">
        <v>2</v>
      </c>
    </row>
    <row r="354" spans="1:26" ht="14.25" hidden="1" customHeight="1" x14ac:dyDescent="0.15">
      <c r="A354" s="24" t="s">
        <v>296</v>
      </c>
      <c r="B354" s="24" t="s">
        <v>185</v>
      </c>
      <c r="C354" s="26">
        <v>526</v>
      </c>
      <c r="D354" s="24" t="s">
        <v>65</v>
      </c>
      <c r="F354" s="24" t="s">
        <v>218</v>
      </c>
      <c r="G354" s="21">
        <v>1987</v>
      </c>
      <c r="H354" s="21">
        <v>0</v>
      </c>
      <c r="I354" s="21">
        <f t="shared" ca="1" si="25"/>
        <v>39</v>
      </c>
      <c r="J354" s="21">
        <v>3</v>
      </c>
      <c r="K354" s="25" t="str">
        <f t="shared" ca="1" si="26"/>
        <v>Activo</v>
      </c>
      <c r="L354" s="25" t="s">
        <v>49</v>
      </c>
      <c r="O354" s="25" t="s">
        <v>227</v>
      </c>
      <c r="Q354" s="34">
        <v>365</v>
      </c>
      <c r="R354" s="25" t="s">
        <v>64</v>
      </c>
      <c r="S354" s="28">
        <v>46198</v>
      </c>
      <c r="T354" s="28">
        <f t="shared" si="27"/>
        <v>46563</v>
      </c>
      <c r="U354" s="25">
        <f t="shared" ca="1" si="28"/>
        <v>302</v>
      </c>
      <c r="V354" s="25" t="str">
        <f t="shared" ca="1" si="29"/>
        <v>AL DÍA</v>
      </c>
      <c r="W354" s="25" t="s">
        <v>24</v>
      </c>
      <c r="X354" s="25" t="s">
        <v>262</v>
      </c>
      <c r="Y354" s="25">
        <v>2</v>
      </c>
    </row>
    <row r="355" spans="1:26" ht="14.25" hidden="1" customHeight="1" x14ac:dyDescent="0.15">
      <c r="A355" s="24" t="s">
        <v>296</v>
      </c>
      <c r="B355" s="24" t="s">
        <v>185</v>
      </c>
      <c r="C355" s="26">
        <v>526</v>
      </c>
      <c r="D355" s="24" t="s">
        <v>16</v>
      </c>
      <c r="F355" s="24" t="s">
        <v>219</v>
      </c>
      <c r="G355" s="21">
        <v>2019</v>
      </c>
      <c r="H355" s="21">
        <v>15</v>
      </c>
      <c r="I355" s="21">
        <f t="shared" ca="1" si="25"/>
        <v>7</v>
      </c>
      <c r="J355" s="21">
        <v>3</v>
      </c>
      <c r="K355" s="25" t="str">
        <f t="shared" ca="1" si="26"/>
        <v>Activo</v>
      </c>
      <c r="L355" s="25" t="s">
        <v>302</v>
      </c>
      <c r="O355" s="25" t="s">
        <v>221</v>
      </c>
      <c r="P355" s="25" t="s">
        <v>49</v>
      </c>
      <c r="Q355" s="34">
        <v>365</v>
      </c>
      <c r="R355" s="25" t="s">
        <v>64</v>
      </c>
      <c r="S355" s="28">
        <v>46198</v>
      </c>
      <c r="T355" s="28">
        <f t="shared" si="27"/>
        <v>46563</v>
      </c>
      <c r="U355" s="25">
        <f t="shared" ca="1" si="28"/>
        <v>302</v>
      </c>
      <c r="V355" s="25" t="str">
        <f t="shared" ca="1" si="29"/>
        <v>AL DÍA</v>
      </c>
      <c r="W355" s="25" t="s">
        <v>24</v>
      </c>
      <c r="X355" s="25" t="s">
        <v>271</v>
      </c>
      <c r="Y355" s="25">
        <v>2</v>
      </c>
      <c r="Z355" s="1" t="s">
        <v>303</v>
      </c>
    </row>
    <row r="356" spans="1:26" ht="14.25" hidden="1" customHeight="1" x14ac:dyDescent="0.15">
      <c r="A356" s="24" t="s">
        <v>296</v>
      </c>
      <c r="B356" s="24" t="s">
        <v>185</v>
      </c>
      <c r="C356" s="26">
        <v>526</v>
      </c>
      <c r="D356" s="24" t="s">
        <v>65</v>
      </c>
      <c r="F356" s="24" t="s">
        <v>220</v>
      </c>
      <c r="G356" s="21">
        <v>2022</v>
      </c>
      <c r="H356" s="21">
        <v>0</v>
      </c>
      <c r="I356" s="21">
        <f t="shared" ca="1" si="25"/>
        <v>4</v>
      </c>
      <c r="J356" s="21">
        <v>3</v>
      </c>
      <c r="K356" s="25" t="str">
        <f t="shared" ca="1" si="26"/>
        <v>Activo</v>
      </c>
      <c r="L356" s="25" t="s">
        <v>49</v>
      </c>
      <c r="O356" s="25" t="s">
        <v>222</v>
      </c>
      <c r="Q356" s="34">
        <v>365</v>
      </c>
      <c r="R356" s="25" t="s">
        <v>64</v>
      </c>
      <c r="S356" s="28">
        <v>46198</v>
      </c>
      <c r="T356" s="28">
        <f t="shared" si="27"/>
        <v>46563</v>
      </c>
      <c r="U356" s="25">
        <f t="shared" ca="1" si="28"/>
        <v>302</v>
      </c>
      <c r="V356" s="25" t="str">
        <f t="shared" ca="1" si="29"/>
        <v>AL DÍA</v>
      </c>
      <c r="W356" s="25" t="s">
        <v>24</v>
      </c>
      <c r="X356" s="25" t="s">
        <v>262</v>
      </c>
      <c r="Y356" s="25">
        <v>2</v>
      </c>
    </row>
    <row r="357" spans="1:26" ht="14.25" hidden="1" customHeight="1" x14ac:dyDescent="0.15">
      <c r="A357" s="24" t="s">
        <v>296</v>
      </c>
      <c r="B357" s="24" t="s">
        <v>185</v>
      </c>
      <c r="C357" s="26" t="s">
        <v>300</v>
      </c>
      <c r="D357" s="24" t="s">
        <v>65</v>
      </c>
      <c r="F357" s="24" t="s">
        <v>220</v>
      </c>
      <c r="G357" s="21">
        <v>2022</v>
      </c>
      <c r="H357" s="21">
        <v>0</v>
      </c>
      <c r="I357" s="21">
        <f t="shared" ca="1" si="25"/>
        <v>4</v>
      </c>
      <c r="J357" s="21">
        <v>3</v>
      </c>
      <c r="K357" s="25" t="str">
        <f t="shared" ca="1" si="26"/>
        <v>Activo</v>
      </c>
      <c r="L357" s="25" t="s">
        <v>49</v>
      </c>
      <c r="O357" s="25" t="s">
        <v>222</v>
      </c>
      <c r="P357" s="26"/>
      <c r="Q357" s="34">
        <v>365</v>
      </c>
      <c r="R357" s="25" t="s">
        <v>64</v>
      </c>
      <c r="S357" s="28">
        <v>46198</v>
      </c>
      <c r="T357" s="28">
        <f t="shared" si="27"/>
        <v>46563</v>
      </c>
      <c r="U357" s="25">
        <f t="shared" ca="1" si="28"/>
        <v>302</v>
      </c>
      <c r="V357" s="25" t="str">
        <f t="shared" ca="1" si="29"/>
        <v>AL DÍA</v>
      </c>
      <c r="W357" s="25" t="s">
        <v>24</v>
      </c>
      <c r="X357" s="25" t="s">
        <v>262</v>
      </c>
      <c r="Y357" s="25">
        <v>2</v>
      </c>
    </row>
    <row r="358" spans="1:26" ht="14.25" hidden="1" customHeight="1" x14ac:dyDescent="0.15">
      <c r="A358" s="24" t="s">
        <v>296</v>
      </c>
      <c r="B358" s="24" t="s">
        <v>185</v>
      </c>
      <c r="C358" s="26" t="s">
        <v>300</v>
      </c>
      <c r="D358" s="24" t="s">
        <v>65</v>
      </c>
      <c r="F358" s="24" t="s">
        <v>215</v>
      </c>
      <c r="G358" s="21">
        <v>2022</v>
      </c>
      <c r="H358" s="21">
        <v>0</v>
      </c>
      <c r="I358" s="21">
        <f t="shared" ca="1" si="25"/>
        <v>4</v>
      </c>
      <c r="J358" s="21">
        <v>3</v>
      </c>
      <c r="K358" s="25" t="str">
        <f t="shared" ca="1" si="26"/>
        <v>Activo</v>
      </c>
      <c r="L358" s="25" t="s">
        <v>49</v>
      </c>
      <c r="M358" s="25" t="s">
        <v>49</v>
      </c>
      <c r="N358" s="25" t="s">
        <v>49</v>
      </c>
      <c r="P358" s="25" t="s">
        <v>22</v>
      </c>
      <c r="Q358" s="34">
        <v>365</v>
      </c>
      <c r="R358" s="25" t="s">
        <v>64</v>
      </c>
      <c r="S358" s="28">
        <v>46198</v>
      </c>
      <c r="T358" s="28">
        <f t="shared" si="27"/>
        <v>46563</v>
      </c>
      <c r="U358" s="25">
        <f t="shared" ca="1" si="28"/>
        <v>302</v>
      </c>
      <c r="V358" s="25" t="str">
        <f t="shared" ca="1" si="29"/>
        <v>AL DÍA</v>
      </c>
      <c r="W358" s="25" t="s">
        <v>24</v>
      </c>
      <c r="X358" s="25" t="s">
        <v>271</v>
      </c>
      <c r="Y358" s="25">
        <v>2</v>
      </c>
    </row>
    <row r="359" spans="1:26" ht="14.25" hidden="1" customHeight="1" x14ac:dyDescent="0.15">
      <c r="A359" s="24" t="s">
        <v>296</v>
      </c>
      <c r="B359" s="24" t="s">
        <v>185</v>
      </c>
      <c r="C359" s="26" t="s">
        <v>300</v>
      </c>
      <c r="D359" s="24" t="s">
        <v>65</v>
      </c>
      <c r="F359" s="24" t="s">
        <v>216</v>
      </c>
      <c r="G359" s="21">
        <v>2022</v>
      </c>
      <c r="H359" s="21">
        <v>0</v>
      </c>
      <c r="I359" s="21">
        <f t="shared" ca="1" si="25"/>
        <v>4</v>
      </c>
      <c r="J359" s="21">
        <v>3</v>
      </c>
      <c r="K359" s="25" t="str">
        <f t="shared" ca="1" si="26"/>
        <v>Activo</v>
      </c>
      <c r="L359" s="25" t="s">
        <v>49</v>
      </c>
      <c r="P359" s="25" t="s">
        <v>22</v>
      </c>
      <c r="Q359" s="32">
        <v>365</v>
      </c>
      <c r="R359" s="25" t="s">
        <v>69</v>
      </c>
      <c r="S359" s="29">
        <v>46198</v>
      </c>
      <c r="T359" s="28">
        <f t="shared" si="27"/>
        <v>46563</v>
      </c>
      <c r="U359" s="25">
        <f t="shared" ca="1" si="28"/>
        <v>302</v>
      </c>
      <c r="V359" s="25" t="str">
        <f t="shared" ca="1" si="29"/>
        <v>AL DÍA</v>
      </c>
      <c r="W359" s="25" t="s">
        <v>24</v>
      </c>
      <c r="X359" s="25" t="s">
        <v>277</v>
      </c>
      <c r="Y359" s="25">
        <v>1</v>
      </c>
    </row>
    <row r="360" spans="1:26" ht="14.25" hidden="1" customHeight="1" x14ac:dyDescent="0.15">
      <c r="A360" s="24" t="s">
        <v>296</v>
      </c>
      <c r="B360" s="24" t="s">
        <v>185</v>
      </c>
      <c r="C360" s="26" t="s">
        <v>300</v>
      </c>
      <c r="D360" s="24" t="s">
        <v>65</v>
      </c>
      <c r="F360" s="24" t="s">
        <v>217</v>
      </c>
      <c r="G360" s="21">
        <v>2022</v>
      </c>
      <c r="H360" s="21">
        <v>0</v>
      </c>
      <c r="I360" s="21">
        <f t="shared" ca="1" si="25"/>
        <v>4</v>
      </c>
      <c r="J360" s="21">
        <v>3</v>
      </c>
      <c r="K360" s="25" t="str">
        <f t="shared" ca="1" si="26"/>
        <v>Activo</v>
      </c>
      <c r="L360" s="25" t="s">
        <v>49</v>
      </c>
      <c r="O360" s="26"/>
      <c r="P360" s="26"/>
      <c r="Q360" s="34">
        <v>365</v>
      </c>
      <c r="R360" s="25" t="s">
        <v>64</v>
      </c>
      <c r="S360" s="28">
        <v>46198</v>
      </c>
      <c r="T360" s="28">
        <f t="shared" si="27"/>
        <v>46563</v>
      </c>
      <c r="U360" s="25">
        <f t="shared" ca="1" si="28"/>
        <v>302</v>
      </c>
      <c r="V360" s="25" t="str">
        <f t="shared" ca="1" si="29"/>
        <v>AL DÍA</v>
      </c>
      <c r="W360" s="25" t="s">
        <v>24</v>
      </c>
      <c r="X360" s="25" t="s">
        <v>262</v>
      </c>
      <c r="Y360" s="25">
        <v>2</v>
      </c>
    </row>
    <row r="361" spans="1:26" ht="14.25" hidden="1" customHeight="1" x14ac:dyDescent="0.15">
      <c r="A361" s="24" t="s">
        <v>296</v>
      </c>
      <c r="B361" s="24" t="s">
        <v>185</v>
      </c>
      <c r="C361" s="26" t="s">
        <v>300</v>
      </c>
      <c r="D361" s="24" t="s">
        <v>65</v>
      </c>
      <c r="F361" s="24" t="s">
        <v>218</v>
      </c>
      <c r="G361" s="21">
        <v>2022</v>
      </c>
      <c r="H361" s="21">
        <v>0</v>
      </c>
      <c r="I361" s="21">
        <f t="shared" ca="1" si="25"/>
        <v>4</v>
      </c>
      <c r="J361" s="21">
        <v>3</v>
      </c>
      <c r="K361" s="25" t="str">
        <f t="shared" ca="1" si="26"/>
        <v>Activo</v>
      </c>
      <c r="L361" s="25" t="s">
        <v>49</v>
      </c>
      <c r="O361" s="25" t="s">
        <v>227</v>
      </c>
      <c r="Q361" s="34">
        <v>365</v>
      </c>
      <c r="R361" s="25" t="s">
        <v>64</v>
      </c>
      <c r="S361" s="28">
        <v>46198</v>
      </c>
      <c r="T361" s="28">
        <f t="shared" si="27"/>
        <v>46563</v>
      </c>
      <c r="U361" s="25">
        <f t="shared" ca="1" si="28"/>
        <v>302</v>
      </c>
      <c r="V361" s="25" t="str">
        <f t="shared" ca="1" si="29"/>
        <v>AL DÍA</v>
      </c>
      <c r="W361" s="25" t="s">
        <v>24</v>
      </c>
      <c r="X361" s="25" t="s">
        <v>262</v>
      </c>
      <c r="Y361" s="25">
        <v>2</v>
      </c>
    </row>
    <row r="362" spans="1:26" ht="14.25" hidden="1" customHeight="1" x14ac:dyDescent="0.15">
      <c r="A362" s="24" t="s">
        <v>296</v>
      </c>
      <c r="B362" s="24" t="s">
        <v>185</v>
      </c>
      <c r="C362" s="26" t="s">
        <v>301</v>
      </c>
      <c r="D362" s="24" t="s">
        <v>65</v>
      </c>
      <c r="F362" s="24" t="s">
        <v>220</v>
      </c>
      <c r="G362" s="21">
        <v>2022</v>
      </c>
      <c r="H362" s="21">
        <v>0</v>
      </c>
      <c r="I362" s="21">
        <f t="shared" ca="1" si="25"/>
        <v>4</v>
      </c>
      <c r="J362" s="21">
        <v>3</v>
      </c>
      <c r="K362" s="25" t="str">
        <f t="shared" ca="1" si="26"/>
        <v>Activo</v>
      </c>
      <c r="L362" s="25" t="s">
        <v>49</v>
      </c>
      <c r="O362" s="25" t="s">
        <v>222</v>
      </c>
      <c r="Q362" s="34">
        <v>365</v>
      </c>
      <c r="R362" s="25" t="s">
        <v>64</v>
      </c>
      <c r="S362" s="28">
        <v>46198</v>
      </c>
      <c r="T362" s="28">
        <f t="shared" si="27"/>
        <v>46563</v>
      </c>
      <c r="U362" s="25">
        <f t="shared" ca="1" si="28"/>
        <v>302</v>
      </c>
      <c r="V362" s="25" t="str">
        <f t="shared" ca="1" si="29"/>
        <v>AL DÍA</v>
      </c>
      <c r="W362" s="25" t="s">
        <v>24</v>
      </c>
      <c r="X362" s="25" t="s">
        <v>262</v>
      </c>
      <c r="Y362" s="25">
        <v>2</v>
      </c>
    </row>
    <row r="363" spans="1:26" ht="14.25" hidden="1" customHeight="1" x14ac:dyDescent="0.15">
      <c r="A363" s="24" t="s">
        <v>296</v>
      </c>
      <c r="B363" s="24" t="s">
        <v>185</v>
      </c>
      <c r="C363" s="26" t="s">
        <v>301</v>
      </c>
      <c r="D363" s="24" t="s">
        <v>65</v>
      </c>
      <c r="F363" s="24" t="s">
        <v>215</v>
      </c>
      <c r="G363" s="21">
        <v>2022</v>
      </c>
      <c r="H363" s="21">
        <v>0</v>
      </c>
      <c r="I363" s="21">
        <f t="shared" ca="1" si="25"/>
        <v>4</v>
      </c>
      <c r="J363" s="21">
        <v>3</v>
      </c>
      <c r="K363" s="25" t="str">
        <f t="shared" ca="1" si="26"/>
        <v>Activo</v>
      </c>
      <c r="L363" s="25" t="s">
        <v>49</v>
      </c>
      <c r="M363" s="25" t="s">
        <v>49</v>
      </c>
      <c r="N363" s="25" t="s">
        <v>49</v>
      </c>
      <c r="P363" s="25" t="s">
        <v>22</v>
      </c>
      <c r="Q363" s="34">
        <v>365</v>
      </c>
      <c r="R363" s="25" t="s">
        <v>64</v>
      </c>
      <c r="S363" s="28">
        <v>46198</v>
      </c>
      <c r="T363" s="28">
        <f t="shared" si="27"/>
        <v>46563</v>
      </c>
      <c r="U363" s="25">
        <f t="shared" ca="1" si="28"/>
        <v>302</v>
      </c>
      <c r="V363" s="25" t="str">
        <f t="shared" ca="1" si="29"/>
        <v>AL DÍA</v>
      </c>
      <c r="W363" s="25" t="s">
        <v>24</v>
      </c>
      <c r="X363" s="25" t="s">
        <v>271</v>
      </c>
      <c r="Y363" s="25">
        <v>2</v>
      </c>
    </row>
    <row r="364" spans="1:26" ht="14.25" hidden="1" customHeight="1" x14ac:dyDescent="0.15">
      <c r="A364" s="24" t="s">
        <v>296</v>
      </c>
      <c r="B364" s="24" t="s">
        <v>185</v>
      </c>
      <c r="C364" s="26" t="s">
        <v>301</v>
      </c>
      <c r="D364" s="24" t="s">
        <v>65</v>
      </c>
      <c r="F364" s="24" t="s">
        <v>216</v>
      </c>
      <c r="G364" s="21">
        <v>2022</v>
      </c>
      <c r="H364" s="21">
        <v>0</v>
      </c>
      <c r="I364" s="21">
        <f t="shared" ca="1" si="25"/>
        <v>4</v>
      </c>
      <c r="J364" s="21">
        <v>3</v>
      </c>
      <c r="K364" s="25" t="str">
        <f t="shared" ca="1" si="26"/>
        <v>Activo</v>
      </c>
      <c r="L364" s="25" t="s">
        <v>49</v>
      </c>
      <c r="P364" s="26" t="s">
        <v>22</v>
      </c>
      <c r="Q364" s="34">
        <v>365</v>
      </c>
      <c r="R364" s="25" t="s">
        <v>69</v>
      </c>
      <c r="S364" s="29">
        <v>46198</v>
      </c>
      <c r="T364" s="28">
        <f t="shared" si="27"/>
        <v>46563</v>
      </c>
      <c r="U364" s="25">
        <f t="shared" ca="1" si="28"/>
        <v>302</v>
      </c>
      <c r="V364" s="25" t="str">
        <f t="shared" ca="1" si="29"/>
        <v>AL DÍA</v>
      </c>
      <c r="W364" s="25" t="s">
        <v>24</v>
      </c>
      <c r="X364" s="25" t="s">
        <v>277</v>
      </c>
      <c r="Y364" s="25">
        <v>1</v>
      </c>
    </row>
    <row r="365" spans="1:26" ht="14.25" hidden="1" customHeight="1" x14ac:dyDescent="0.15">
      <c r="A365" s="24" t="s">
        <v>296</v>
      </c>
      <c r="B365" s="24" t="s">
        <v>185</v>
      </c>
      <c r="C365" s="26" t="s">
        <v>301</v>
      </c>
      <c r="D365" s="24" t="s">
        <v>65</v>
      </c>
      <c r="F365" s="24" t="s">
        <v>217</v>
      </c>
      <c r="G365" s="21">
        <v>2022</v>
      </c>
      <c r="H365" s="21">
        <v>0</v>
      </c>
      <c r="I365" s="21">
        <f t="shared" ca="1" si="25"/>
        <v>4</v>
      </c>
      <c r="J365" s="21">
        <v>3</v>
      </c>
      <c r="K365" s="25" t="str">
        <f t="shared" ca="1" si="26"/>
        <v>Activo</v>
      </c>
      <c r="L365" s="25" t="s">
        <v>49</v>
      </c>
      <c r="Q365" s="34">
        <v>365</v>
      </c>
      <c r="R365" s="25" t="s">
        <v>64</v>
      </c>
      <c r="S365" s="28">
        <v>46198</v>
      </c>
      <c r="T365" s="28">
        <f t="shared" si="27"/>
        <v>46563</v>
      </c>
      <c r="U365" s="25">
        <f t="shared" ca="1" si="28"/>
        <v>302</v>
      </c>
      <c r="V365" s="25" t="str">
        <f t="shared" ca="1" si="29"/>
        <v>AL DÍA</v>
      </c>
      <c r="W365" s="25" t="s">
        <v>24</v>
      </c>
      <c r="X365" s="25" t="s">
        <v>262</v>
      </c>
      <c r="Y365" s="25">
        <v>2</v>
      </c>
    </row>
    <row r="366" spans="1:26" ht="14.25" hidden="1" customHeight="1" x14ac:dyDescent="0.15">
      <c r="A366" s="24" t="s">
        <v>296</v>
      </c>
      <c r="B366" s="24" t="s">
        <v>185</v>
      </c>
      <c r="C366" s="26" t="s">
        <v>301</v>
      </c>
      <c r="D366" s="24" t="s">
        <v>65</v>
      </c>
      <c r="F366" s="24" t="s">
        <v>218</v>
      </c>
      <c r="G366" s="21">
        <v>2022</v>
      </c>
      <c r="H366" s="21">
        <v>0</v>
      </c>
      <c r="I366" s="21">
        <f t="shared" ca="1" si="25"/>
        <v>4</v>
      </c>
      <c r="J366" s="21">
        <v>3</v>
      </c>
      <c r="K366" s="25" t="str">
        <f t="shared" ca="1" si="26"/>
        <v>Activo</v>
      </c>
      <c r="L366" s="25" t="s">
        <v>49</v>
      </c>
      <c r="O366" s="25" t="s">
        <v>227</v>
      </c>
      <c r="Q366" s="34">
        <v>365</v>
      </c>
      <c r="R366" s="25" t="s">
        <v>64</v>
      </c>
      <c r="S366" s="28">
        <v>46198</v>
      </c>
      <c r="T366" s="28">
        <f t="shared" si="27"/>
        <v>46563</v>
      </c>
      <c r="U366" s="25">
        <f t="shared" ca="1" si="28"/>
        <v>302</v>
      </c>
      <c r="V366" s="25" t="str">
        <f t="shared" ca="1" si="29"/>
        <v>AL DÍA</v>
      </c>
      <c r="W366" s="25" t="s">
        <v>24</v>
      </c>
      <c r="X366" s="25" t="s">
        <v>262</v>
      </c>
      <c r="Y366" s="25">
        <v>2</v>
      </c>
    </row>
    <row r="367" spans="1:26" ht="14.25" hidden="1" customHeight="1" x14ac:dyDescent="0.15">
      <c r="A367" s="24" t="s">
        <v>296</v>
      </c>
      <c r="B367" s="24" t="s">
        <v>185</v>
      </c>
      <c r="C367" s="26">
        <v>500</v>
      </c>
      <c r="D367" s="24" t="s">
        <v>65</v>
      </c>
      <c r="F367" s="24" t="s">
        <v>229</v>
      </c>
      <c r="G367" s="21">
        <v>1987</v>
      </c>
      <c r="H367" s="21">
        <v>0</v>
      </c>
      <c r="I367" s="21">
        <f t="shared" ca="1" si="25"/>
        <v>39</v>
      </c>
      <c r="J367" s="21">
        <v>3</v>
      </c>
      <c r="K367" s="25" t="str">
        <f t="shared" ca="1" si="26"/>
        <v>Activo</v>
      </c>
      <c r="L367" s="25" t="s">
        <v>49</v>
      </c>
      <c r="M367" s="25" t="s">
        <v>49</v>
      </c>
      <c r="N367" s="25" t="s">
        <v>49</v>
      </c>
      <c r="O367" s="26"/>
      <c r="P367" s="26" t="s">
        <v>22</v>
      </c>
      <c r="Q367" s="34">
        <v>365</v>
      </c>
      <c r="R367" s="25" t="s">
        <v>69</v>
      </c>
      <c r="S367" s="29">
        <v>46198</v>
      </c>
      <c r="T367" s="28">
        <f t="shared" si="27"/>
        <v>46563</v>
      </c>
      <c r="U367" s="25">
        <f t="shared" ca="1" si="28"/>
        <v>302</v>
      </c>
      <c r="V367" s="25" t="str">
        <f t="shared" ca="1" si="29"/>
        <v>AL DÍA</v>
      </c>
      <c r="W367" s="25" t="s">
        <v>24</v>
      </c>
      <c r="X367" s="25" t="s">
        <v>277</v>
      </c>
      <c r="Y367" s="25">
        <v>1</v>
      </c>
    </row>
    <row r="368" spans="1:26" ht="14.25" hidden="1" customHeight="1" x14ac:dyDescent="0.15">
      <c r="A368" s="24" t="s">
        <v>296</v>
      </c>
      <c r="B368" s="24" t="s">
        <v>185</v>
      </c>
      <c r="C368" s="26">
        <v>500</v>
      </c>
      <c r="D368" s="24" t="s">
        <v>65</v>
      </c>
      <c r="F368" s="24" t="s">
        <v>230</v>
      </c>
      <c r="G368" s="21">
        <v>1987</v>
      </c>
      <c r="H368" s="21">
        <v>0</v>
      </c>
      <c r="I368" s="21">
        <f t="shared" ca="1" si="25"/>
        <v>39</v>
      </c>
      <c r="J368" s="21">
        <v>3</v>
      </c>
      <c r="K368" s="25" t="str">
        <f t="shared" ca="1" si="26"/>
        <v>Activo</v>
      </c>
      <c r="L368" s="25" t="s">
        <v>49</v>
      </c>
      <c r="M368" s="25" t="s">
        <v>49</v>
      </c>
      <c r="N368" s="25" t="s">
        <v>49</v>
      </c>
      <c r="P368" s="25" t="s">
        <v>22</v>
      </c>
      <c r="Q368" s="32">
        <v>365</v>
      </c>
      <c r="R368" s="25" t="s">
        <v>69</v>
      </c>
      <c r="S368" s="29">
        <v>46198</v>
      </c>
      <c r="T368" s="28">
        <f t="shared" si="27"/>
        <v>46563</v>
      </c>
      <c r="U368" s="25">
        <f t="shared" ca="1" si="28"/>
        <v>302</v>
      </c>
      <c r="V368" s="25" t="str">
        <f t="shared" ca="1" si="29"/>
        <v>AL DÍA</v>
      </c>
      <c r="W368" s="25" t="s">
        <v>24</v>
      </c>
      <c r="X368" s="25" t="s">
        <v>277</v>
      </c>
      <c r="Y368" s="25">
        <v>1</v>
      </c>
    </row>
    <row r="369" spans="1:26" ht="14.25" hidden="1" customHeight="1" x14ac:dyDescent="0.15">
      <c r="A369" s="24" t="s">
        <v>296</v>
      </c>
      <c r="B369" s="24" t="s">
        <v>185</v>
      </c>
      <c r="C369" s="26">
        <v>500</v>
      </c>
      <c r="D369" s="24" t="s">
        <v>65</v>
      </c>
      <c r="F369" s="24" t="s">
        <v>231</v>
      </c>
      <c r="G369" s="21">
        <v>1987</v>
      </c>
      <c r="H369" s="21">
        <v>0</v>
      </c>
      <c r="I369" s="21">
        <f t="shared" ca="1" si="25"/>
        <v>39</v>
      </c>
      <c r="J369" s="21">
        <v>3</v>
      </c>
      <c r="K369" s="25" t="str">
        <f t="shared" ca="1" si="26"/>
        <v>Activo</v>
      </c>
      <c r="L369" s="25" t="s">
        <v>49</v>
      </c>
      <c r="M369" s="25" t="s">
        <v>49</v>
      </c>
      <c r="N369" s="25" t="s">
        <v>49</v>
      </c>
      <c r="P369" s="25" t="s">
        <v>22</v>
      </c>
      <c r="Q369" s="32">
        <v>365</v>
      </c>
      <c r="R369" s="25" t="s">
        <v>69</v>
      </c>
      <c r="S369" s="29">
        <v>46198</v>
      </c>
      <c r="T369" s="28">
        <f t="shared" si="27"/>
        <v>46563</v>
      </c>
      <c r="U369" s="25">
        <f t="shared" ca="1" si="28"/>
        <v>302</v>
      </c>
      <c r="V369" s="25" t="str">
        <f t="shared" ca="1" si="29"/>
        <v>AL DÍA</v>
      </c>
      <c r="W369" s="25" t="s">
        <v>24</v>
      </c>
      <c r="X369" s="25" t="s">
        <v>277</v>
      </c>
      <c r="Y369" s="25">
        <v>1</v>
      </c>
    </row>
    <row r="370" spans="1:26" ht="14.25" hidden="1" customHeight="1" x14ac:dyDescent="0.15">
      <c r="A370" s="24" t="s">
        <v>296</v>
      </c>
      <c r="B370" s="24" t="s">
        <v>185</v>
      </c>
      <c r="C370" s="26">
        <v>500</v>
      </c>
      <c r="D370" s="24" t="s">
        <v>65</v>
      </c>
      <c r="F370" s="24" t="s">
        <v>232</v>
      </c>
      <c r="G370" s="21">
        <v>1987</v>
      </c>
      <c r="H370" s="21">
        <v>0</v>
      </c>
      <c r="I370" s="21">
        <f t="shared" ca="1" si="25"/>
        <v>39</v>
      </c>
      <c r="J370" s="21">
        <v>3</v>
      </c>
      <c r="K370" s="25" t="str">
        <f t="shared" ca="1" si="26"/>
        <v>Activo</v>
      </c>
      <c r="L370" s="25" t="s">
        <v>49</v>
      </c>
      <c r="M370" s="25" t="s">
        <v>49</v>
      </c>
      <c r="N370" s="25" t="s">
        <v>49</v>
      </c>
      <c r="P370" s="25" t="s">
        <v>22</v>
      </c>
      <c r="Q370" s="32">
        <v>365</v>
      </c>
      <c r="R370" s="25" t="s">
        <v>69</v>
      </c>
      <c r="S370" s="29">
        <v>46198</v>
      </c>
      <c r="T370" s="28">
        <f t="shared" si="27"/>
        <v>46563</v>
      </c>
      <c r="U370" s="25">
        <f t="shared" ca="1" si="28"/>
        <v>302</v>
      </c>
      <c r="V370" s="25" t="str">
        <f t="shared" ca="1" si="29"/>
        <v>AL DÍA</v>
      </c>
      <c r="W370" s="25" t="s">
        <v>24</v>
      </c>
      <c r="X370" s="25" t="s">
        <v>277</v>
      </c>
      <c r="Y370" s="25">
        <v>1</v>
      </c>
    </row>
    <row r="371" spans="1:26" ht="14.25" hidden="1" customHeight="1" x14ac:dyDescent="0.15">
      <c r="A371" s="24" t="s">
        <v>296</v>
      </c>
      <c r="B371" s="24" t="s">
        <v>185</v>
      </c>
      <c r="C371" s="26">
        <v>501</v>
      </c>
      <c r="D371" s="24" t="s">
        <v>16</v>
      </c>
      <c r="E371" s="24" t="s">
        <v>451</v>
      </c>
      <c r="F371" s="24" t="s">
        <v>93</v>
      </c>
      <c r="G371" s="21">
        <v>1987</v>
      </c>
      <c r="H371" s="21">
        <v>20</v>
      </c>
      <c r="I371" s="21">
        <f t="shared" ca="1" si="25"/>
        <v>39</v>
      </c>
      <c r="J371" s="21">
        <v>3</v>
      </c>
      <c r="K371" s="25" t="str">
        <f t="shared" ca="1" si="26"/>
        <v>Cambiar o Inspección externa</v>
      </c>
      <c r="L371" s="25" t="s">
        <v>142</v>
      </c>
      <c r="P371" s="26" t="s">
        <v>22</v>
      </c>
      <c r="Q371" s="34">
        <v>365</v>
      </c>
      <c r="R371" s="25" t="s">
        <v>69</v>
      </c>
      <c r="S371" s="28">
        <v>46198</v>
      </c>
      <c r="T371" s="28">
        <f t="shared" si="27"/>
        <v>46563</v>
      </c>
      <c r="U371" s="25">
        <f t="shared" ca="1" si="28"/>
        <v>302</v>
      </c>
      <c r="V371" s="25" t="str">
        <f t="shared" ca="1" si="29"/>
        <v>AL DÍA</v>
      </c>
      <c r="W371" s="25" t="s">
        <v>24</v>
      </c>
      <c r="X371" s="25" t="s">
        <v>262</v>
      </c>
      <c r="Y371" s="25">
        <v>1</v>
      </c>
      <c r="Z371" s="1" t="s">
        <v>265</v>
      </c>
    </row>
    <row r="372" spans="1:26" ht="14.25" hidden="1" customHeight="1" x14ac:dyDescent="0.15">
      <c r="A372" s="24" t="s">
        <v>296</v>
      </c>
      <c r="B372" s="24" t="s">
        <v>185</v>
      </c>
      <c r="C372" s="26">
        <v>502</v>
      </c>
      <c r="D372" s="24" t="s">
        <v>16</v>
      </c>
      <c r="E372" s="24" t="s">
        <v>451</v>
      </c>
      <c r="F372" s="24" t="s">
        <v>93</v>
      </c>
      <c r="G372" s="21">
        <v>1987</v>
      </c>
      <c r="H372" s="21">
        <v>20</v>
      </c>
      <c r="I372" s="21">
        <f t="shared" ca="1" si="25"/>
        <v>39</v>
      </c>
      <c r="J372" s="21">
        <v>3</v>
      </c>
      <c r="K372" s="25" t="str">
        <f t="shared" ca="1" si="26"/>
        <v>Cambiar o Inspección externa</v>
      </c>
      <c r="L372" s="25" t="s">
        <v>142</v>
      </c>
      <c r="P372" s="25" t="s">
        <v>22</v>
      </c>
      <c r="Q372" s="32">
        <v>365</v>
      </c>
      <c r="R372" s="25" t="s">
        <v>69</v>
      </c>
      <c r="S372" s="28">
        <v>46198</v>
      </c>
      <c r="T372" s="28">
        <f t="shared" si="27"/>
        <v>46563</v>
      </c>
      <c r="U372" s="25">
        <f t="shared" ca="1" si="28"/>
        <v>302</v>
      </c>
      <c r="V372" s="25" t="str">
        <f t="shared" ca="1" si="29"/>
        <v>AL DÍA</v>
      </c>
      <c r="W372" s="25" t="s">
        <v>24</v>
      </c>
      <c r="X372" s="25" t="s">
        <v>262</v>
      </c>
      <c r="Y372" s="25">
        <v>1</v>
      </c>
      <c r="Z372" s="1" t="s">
        <v>265</v>
      </c>
    </row>
    <row r="373" spans="1:26" ht="14.25" hidden="1" customHeight="1" x14ac:dyDescent="0.15">
      <c r="A373" s="24" t="s">
        <v>296</v>
      </c>
      <c r="B373" s="24" t="s">
        <v>185</v>
      </c>
      <c r="C373" s="26">
        <v>503</v>
      </c>
      <c r="D373" s="24" t="s">
        <v>16</v>
      </c>
      <c r="E373" s="24" t="s">
        <v>451</v>
      </c>
      <c r="F373" s="24" t="s">
        <v>93</v>
      </c>
      <c r="G373" s="21">
        <v>1987</v>
      </c>
      <c r="H373" s="21">
        <v>20</v>
      </c>
      <c r="I373" s="21">
        <f t="shared" ca="1" si="25"/>
        <v>39</v>
      </c>
      <c r="J373" s="21">
        <v>3</v>
      </c>
      <c r="K373" s="25" t="str">
        <f t="shared" ca="1" si="26"/>
        <v>Cambiar o Inspección externa</v>
      </c>
      <c r="L373" s="25" t="s">
        <v>142</v>
      </c>
      <c r="P373" s="25" t="s">
        <v>22</v>
      </c>
      <c r="Q373" s="32">
        <v>365</v>
      </c>
      <c r="R373" s="25" t="s">
        <v>69</v>
      </c>
      <c r="S373" s="28">
        <v>46198</v>
      </c>
      <c r="T373" s="28">
        <f t="shared" si="27"/>
        <v>46563</v>
      </c>
      <c r="U373" s="25">
        <f t="shared" ca="1" si="28"/>
        <v>302</v>
      </c>
      <c r="V373" s="25" t="str">
        <f t="shared" ca="1" si="29"/>
        <v>AL DÍA</v>
      </c>
      <c r="W373" s="25" t="s">
        <v>24</v>
      </c>
      <c r="X373" s="25" t="s">
        <v>262</v>
      </c>
      <c r="Y373" s="25">
        <v>1</v>
      </c>
      <c r="Z373" s="1" t="s">
        <v>265</v>
      </c>
    </row>
    <row r="374" spans="1:26" ht="14.25" hidden="1" customHeight="1" x14ac:dyDescent="0.15">
      <c r="A374" s="24" t="s">
        <v>296</v>
      </c>
      <c r="B374" s="24" t="s">
        <v>185</v>
      </c>
      <c r="C374" s="26">
        <v>504</v>
      </c>
      <c r="D374" s="24" t="s">
        <v>16</v>
      </c>
      <c r="E374" s="24" t="s">
        <v>451</v>
      </c>
      <c r="F374" s="24" t="s">
        <v>93</v>
      </c>
      <c r="G374" s="21">
        <v>1987</v>
      </c>
      <c r="H374" s="21">
        <v>20</v>
      </c>
      <c r="I374" s="21">
        <f t="shared" ca="1" si="25"/>
        <v>39</v>
      </c>
      <c r="J374" s="21">
        <v>3</v>
      </c>
      <c r="K374" s="25" t="str">
        <f t="shared" ca="1" si="26"/>
        <v>Cambiar o Inspección externa</v>
      </c>
      <c r="L374" s="25" t="s">
        <v>142</v>
      </c>
      <c r="O374" s="26"/>
      <c r="P374" s="26" t="s">
        <v>22</v>
      </c>
      <c r="Q374" s="34">
        <v>365</v>
      </c>
      <c r="R374" s="25" t="s">
        <v>69</v>
      </c>
      <c r="S374" s="28">
        <v>46198</v>
      </c>
      <c r="T374" s="28">
        <f t="shared" si="27"/>
        <v>46563</v>
      </c>
      <c r="U374" s="25">
        <f t="shared" ca="1" si="28"/>
        <v>302</v>
      </c>
      <c r="V374" s="25" t="str">
        <f t="shared" ca="1" si="29"/>
        <v>AL DÍA</v>
      </c>
      <c r="W374" s="25" t="s">
        <v>24</v>
      </c>
      <c r="X374" s="25" t="s">
        <v>262</v>
      </c>
      <c r="Y374" s="25">
        <v>1</v>
      </c>
      <c r="Z374" s="1" t="s">
        <v>265</v>
      </c>
    </row>
    <row r="375" spans="1:26" ht="14.25" hidden="1" customHeight="1" x14ac:dyDescent="0.15">
      <c r="A375" s="24" t="s">
        <v>296</v>
      </c>
      <c r="B375" s="24" t="s">
        <v>185</v>
      </c>
      <c r="C375" s="26">
        <v>506</v>
      </c>
      <c r="D375" s="24" t="s">
        <v>16</v>
      </c>
      <c r="E375" s="24" t="s">
        <v>451</v>
      </c>
      <c r="F375" s="24" t="s">
        <v>93</v>
      </c>
      <c r="G375" s="21">
        <v>1987</v>
      </c>
      <c r="H375" s="21">
        <v>20</v>
      </c>
      <c r="I375" s="21">
        <f t="shared" ca="1" si="25"/>
        <v>39</v>
      </c>
      <c r="J375" s="21">
        <v>3</v>
      </c>
      <c r="K375" s="25" t="str">
        <f t="shared" ca="1" si="26"/>
        <v>Cambiar o Inspección externa</v>
      </c>
      <c r="L375" s="25" t="s">
        <v>142</v>
      </c>
      <c r="P375" s="25" t="s">
        <v>22</v>
      </c>
      <c r="Q375" s="32">
        <v>365</v>
      </c>
      <c r="R375" s="25" t="s">
        <v>69</v>
      </c>
      <c r="S375" s="28">
        <v>46198</v>
      </c>
      <c r="T375" s="28">
        <f t="shared" si="27"/>
        <v>46563</v>
      </c>
      <c r="U375" s="25">
        <f t="shared" ca="1" si="28"/>
        <v>302</v>
      </c>
      <c r="V375" s="25" t="str">
        <f t="shared" ca="1" si="29"/>
        <v>AL DÍA</v>
      </c>
      <c r="W375" s="25" t="s">
        <v>24</v>
      </c>
      <c r="X375" s="25" t="s">
        <v>262</v>
      </c>
      <c r="Y375" s="25">
        <v>1</v>
      </c>
      <c r="Z375" s="1" t="s">
        <v>265</v>
      </c>
    </row>
    <row r="376" spans="1:26" ht="14.25" hidden="1" customHeight="1" x14ac:dyDescent="0.15">
      <c r="A376" s="24" t="s">
        <v>296</v>
      </c>
      <c r="B376" s="24" t="s">
        <v>185</v>
      </c>
      <c r="C376" s="26">
        <v>507</v>
      </c>
      <c r="D376" s="24" t="s">
        <v>16</v>
      </c>
      <c r="E376" s="24" t="s">
        <v>451</v>
      </c>
      <c r="F376" s="24" t="s">
        <v>93</v>
      </c>
      <c r="G376" s="21">
        <v>1987</v>
      </c>
      <c r="H376" s="21">
        <v>20</v>
      </c>
      <c r="I376" s="21">
        <f t="shared" ca="1" si="25"/>
        <v>39</v>
      </c>
      <c r="J376" s="21">
        <v>3</v>
      </c>
      <c r="K376" s="25" t="str">
        <f t="shared" ca="1" si="26"/>
        <v>Cambiar o Inspección externa</v>
      </c>
      <c r="L376" s="25" t="s">
        <v>142</v>
      </c>
      <c r="P376" s="25" t="s">
        <v>22</v>
      </c>
      <c r="Q376" s="32">
        <v>365</v>
      </c>
      <c r="R376" s="25" t="s">
        <v>69</v>
      </c>
      <c r="S376" s="28">
        <v>46198</v>
      </c>
      <c r="T376" s="28">
        <f t="shared" si="27"/>
        <v>46563</v>
      </c>
      <c r="U376" s="25">
        <f t="shared" ca="1" si="28"/>
        <v>302</v>
      </c>
      <c r="V376" s="25" t="str">
        <f t="shared" ca="1" si="29"/>
        <v>AL DÍA</v>
      </c>
      <c r="W376" s="25" t="s">
        <v>24</v>
      </c>
      <c r="X376" s="25" t="s">
        <v>262</v>
      </c>
      <c r="Y376" s="25">
        <v>1</v>
      </c>
      <c r="Z376" s="1" t="s">
        <v>265</v>
      </c>
    </row>
    <row r="377" spans="1:26" ht="14.25" hidden="1" customHeight="1" x14ac:dyDescent="0.15">
      <c r="A377" s="24" t="s">
        <v>296</v>
      </c>
      <c r="B377" s="24" t="s">
        <v>185</v>
      </c>
      <c r="C377" s="26">
        <v>508</v>
      </c>
      <c r="D377" s="24" t="s">
        <v>16</v>
      </c>
      <c r="E377" s="24" t="s">
        <v>451</v>
      </c>
      <c r="F377" s="24" t="s">
        <v>93</v>
      </c>
      <c r="G377" s="21">
        <v>1987</v>
      </c>
      <c r="H377" s="21">
        <v>20</v>
      </c>
      <c r="I377" s="21">
        <f t="shared" ca="1" si="25"/>
        <v>39</v>
      </c>
      <c r="J377" s="21">
        <v>3</v>
      </c>
      <c r="K377" s="25" t="str">
        <f t="shared" ca="1" si="26"/>
        <v>Cambiar o Inspección externa</v>
      </c>
      <c r="L377" s="25" t="s">
        <v>142</v>
      </c>
      <c r="P377" s="25" t="s">
        <v>22</v>
      </c>
      <c r="Q377" s="32">
        <v>365</v>
      </c>
      <c r="R377" s="25" t="s">
        <v>69</v>
      </c>
      <c r="S377" s="28">
        <v>46198</v>
      </c>
      <c r="T377" s="28">
        <f t="shared" si="27"/>
        <v>46563</v>
      </c>
      <c r="U377" s="25">
        <f t="shared" ca="1" si="28"/>
        <v>302</v>
      </c>
      <c r="V377" s="25" t="str">
        <f t="shared" ca="1" si="29"/>
        <v>AL DÍA</v>
      </c>
      <c r="W377" s="25" t="s">
        <v>24</v>
      </c>
      <c r="X377" s="25" t="s">
        <v>262</v>
      </c>
      <c r="Y377" s="25">
        <v>1</v>
      </c>
      <c r="Z377" s="1" t="s">
        <v>265</v>
      </c>
    </row>
    <row r="378" spans="1:26" ht="14.25" hidden="1" customHeight="1" x14ac:dyDescent="0.15">
      <c r="A378" s="24" t="s">
        <v>296</v>
      </c>
      <c r="B378" s="24" t="s">
        <v>185</v>
      </c>
      <c r="C378" s="26">
        <v>509</v>
      </c>
      <c r="D378" s="24" t="s">
        <v>16</v>
      </c>
      <c r="E378" s="24" t="s">
        <v>451</v>
      </c>
      <c r="F378" s="24" t="s">
        <v>93</v>
      </c>
      <c r="G378" s="21">
        <v>1987</v>
      </c>
      <c r="H378" s="21">
        <v>20</v>
      </c>
      <c r="I378" s="21">
        <f t="shared" ca="1" si="25"/>
        <v>39</v>
      </c>
      <c r="J378" s="21">
        <v>3</v>
      </c>
      <c r="K378" s="25" t="str">
        <f t="shared" ca="1" si="26"/>
        <v>Cambiar o Inspección externa</v>
      </c>
      <c r="L378" s="25" t="s">
        <v>142</v>
      </c>
      <c r="P378" s="26" t="s">
        <v>22</v>
      </c>
      <c r="Q378" s="34">
        <v>365</v>
      </c>
      <c r="R378" s="25" t="s">
        <v>69</v>
      </c>
      <c r="S378" s="28">
        <v>46198</v>
      </c>
      <c r="T378" s="28">
        <f t="shared" si="27"/>
        <v>46563</v>
      </c>
      <c r="U378" s="25">
        <f t="shared" ca="1" si="28"/>
        <v>302</v>
      </c>
      <c r="V378" s="25" t="str">
        <f t="shared" ca="1" si="29"/>
        <v>AL DÍA</v>
      </c>
      <c r="W378" s="25" t="s">
        <v>24</v>
      </c>
      <c r="X378" s="25" t="s">
        <v>262</v>
      </c>
      <c r="Y378" s="25">
        <v>1</v>
      </c>
      <c r="Z378" s="1" t="s">
        <v>265</v>
      </c>
    </row>
    <row r="379" spans="1:26" ht="14.25" hidden="1" customHeight="1" x14ac:dyDescent="0.15">
      <c r="A379" s="24" t="s">
        <v>296</v>
      </c>
      <c r="B379" s="24" t="s">
        <v>185</v>
      </c>
      <c r="C379" s="26">
        <v>510</v>
      </c>
      <c r="D379" s="24" t="s">
        <v>16</v>
      </c>
      <c r="E379" s="24" t="s">
        <v>451</v>
      </c>
      <c r="F379" s="24" t="s">
        <v>93</v>
      </c>
      <c r="G379" s="21">
        <v>1987</v>
      </c>
      <c r="H379" s="21">
        <v>20</v>
      </c>
      <c r="I379" s="21">
        <f t="shared" ca="1" si="25"/>
        <v>39</v>
      </c>
      <c r="J379" s="21">
        <v>3</v>
      </c>
      <c r="K379" s="25" t="str">
        <f t="shared" ca="1" si="26"/>
        <v>Cambiar o Inspección externa</v>
      </c>
      <c r="L379" s="25" t="s">
        <v>142</v>
      </c>
      <c r="P379" s="25" t="s">
        <v>22</v>
      </c>
      <c r="Q379" s="32">
        <v>365</v>
      </c>
      <c r="R379" s="25" t="s">
        <v>69</v>
      </c>
      <c r="S379" s="28">
        <v>46198</v>
      </c>
      <c r="T379" s="28">
        <f t="shared" si="27"/>
        <v>46563</v>
      </c>
      <c r="U379" s="25">
        <f t="shared" ca="1" si="28"/>
        <v>302</v>
      </c>
      <c r="V379" s="25" t="str">
        <f t="shared" ca="1" si="29"/>
        <v>AL DÍA</v>
      </c>
      <c r="W379" s="25" t="s">
        <v>24</v>
      </c>
      <c r="X379" s="25" t="s">
        <v>262</v>
      </c>
      <c r="Y379" s="25">
        <v>1</v>
      </c>
      <c r="Z379" s="1" t="s">
        <v>265</v>
      </c>
    </row>
    <row r="380" spans="1:26" ht="14.25" hidden="1" customHeight="1" x14ac:dyDescent="0.15">
      <c r="A380" s="24" t="s">
        <v>296</v>
      </c>
      <c r="B380" s="24" t="s">
        <v>185</v>
      </c>
      <c r="C380" s="26">
        <v>511</v>
      </c>
      <c r="D380" s="24" t="s">
        <v>16</v>
      </c>
      <c r="E380" s="24" t="s">
        <v>451</v>
      </c>
      <c r="F380" s="24" t="s">
        <v>93</v>
      </c>
      <c r="G380" s="21">
        <v>1987</v>
      </c>
      <c r="H380" s="21">
        <v>20</v>
      </c>
      <c r="I380" s="21">
        <f t="shared" ca="1" si="25"/>
        <v>39</v>
      </c>
      <c r="J380" s="21">
        <v>3</v>
      </c>
      <c r="K380" s="25" t="str">
        <f t="shared" ca="1" si="26"/>
        <v>Cambiar o Inspección externa</v>
      </c>
      <c r="L380" s="25" t="s">
        <v>142</v>
      </c>
      <c r="P380" s="25" t="s">
        <v>22</v>
      </c>
      <c r="Q380" s="32">
        <v>365</v>
      </c>
      <c r="R380" s="25" t="s">
        <v>69</v>
      </c>
      <c r="S380" s="28">
        <v>46198</v>
      </c>
      <c r="T380" s="28">
        <f t="shared" si="27"/>
        <v>46563</v>
      </c>
      <c r="U380" s="25">
        <f t="shared" ca="1" si="28"/>
        <v>302</v>
      </c>
      <c r="V380" s="25" t="str">
        <f t="shared" ca="1" si="29"/>
        <v>AL DÍA</v>
      </c>
      <c r="W380" s="25" t="s">
        <v>24</v>
      </c>
      <c r="X380" s="25" t="s">
        <v>262</v>
      </c>
      <c r="Y380" s="25">
        <v>1</v>
      </c>
      <c r="Z380" s="1" t="s">
        <v>265</v>
      </c>
    </row>
    <row r="381" spans="1:26" ht="14.25" hidden="1" customHeight="1" x14ac:dyDescent="0.15">
      <c r="A381" s="24" t="s">
        <v>296</v>
      </c>
      <c r="B381" s="24" t="s">
        <v>185</v>
      </c>
      <c r="C381" s="26">
        <v>512</v>
      </c>
      <c r="D381" s="24" t="s">
        <v>16</v>
      </c>
      <c r="E381" s="24" t="s">
        <v>451</v>
      </c>
      <c r="F381" s="24" t="s">
        <v>93</v>
      </c>
      <c r="G381" s="21">
        <v>1987</v>
      </c>
      <c r="H381" s="21">
        <v>20</v>
      </c>
      <c r="I381" s="21">
        <f t="shared" ca="1" si="25"/>
        <v>39</v>
      </c>
      <c r="J381" s="21">
        <v>3</v>
      </c>
      <c r="K381" s="25" t="str">
        <f t="shared" ca="1" si="26"/>
        <v>Cambiar o Inspección externa</v>
      </c>
      <c r="L381" s="25" t="s">
        <v>142</v>
      </c>
      <c r="O381" s="26"/>
      <c r="P381" s="26" t="s">
        <v>22</v>
      </c>
      <c r="Q381" s="34">
        <v>365</v>
      </c>
      <c r="R381" s="25" t="s">
        <v>69</v>
      </c>
      <c r="S381" s="28">
        <v>46198</v>
      </c>
      <c r="T381" s="28">
        <f t="shared" si="27"/>
        <v>46563</v>
      </c>
      <c r="U381" s="25">
        <f t="shared" ca="1" si="28"/>
        <v>302</v>
      </c>
      <c r="V381" s="25" t="str">
        <f t="shared" ca="1" si="29"/>
        <v>AL DÍA</v>
      </c>
      <c r="W381" s="25" t="s">
        <v>24</v>
      </c>
      <c r="X381" s="25" t="s">
        <v>262</v>
      </c>
      <c r="Y381" s="25">
        <v>1</v>
      </c>
      <c r="Z381" s="1" t="s">
        <v>265</v>
      </c>
    </row>
    <row r="382" spans="1:26" ht="14.25" hidden="1" customHeight="1" x14ac:dyDescent="0.15">
      <c r="A382" s="24" t="s">
        <v>296</v>
      </c>
      <c r="B382" s="24" t="s">
        <v>185</v>
      </c>
      <c r="C382" s="26">
        <v>513</v>
      </c>
      <c r="D382" s="24" t="s">
        <v>16</v>
      </c>
      <c r="E382" s="24" t="s">
        <v>451</v>
      </c>
      <c r="F382" s="24" t="s">
        <v>93</v>
      </c>
      <c r="G382" s="21">
        <v>1987</v>
      </c>
      <c r="H382" s="21">
        <v>20</v>
      </c>
      <c r="I382" s="21">
        <f t="shared" ca="1" si="25"/>
        <v>39</v>
      </c>
      <c r="J382" s="21">
        <v>3</v>
      </c>
      <c r="K382" s="25" t="str">
        <f t="shared" ca="1" si="26"/>
        <v>Cambiar o Inspección externa</v>
      </c>
      <c r="L382" s="25" t="s">
        <v>142</v>
      </c>
      <c r="P382" s="25" t="s">
        <v>22</v>
      </c>
      <c r="Q382" s="32">
        <v>365</v>
      </c>
      <c r="R382" s="25" t="s">
        <v>69</v>
      </c>
      <c r="S382" s="28">
        <v>46198</v>
      </c>
      <c r="T382" s="28">
        <f t="shared" si="27"/>
        <v>46563</v>
      </c>
      <c r="U382" s="25">
        <f t="shared" ca="1" si="28"/>
        <v>302</v>
      </c>
      <c r="V382" s="25" t="str">
        <f t="shared" ca="1" si="29"/>
        <v>AL DÍA</v>
      </c>
      <c r="W382" s="25" t="s">
        <v>24</v>
      </c>
      <c r="X382" s="25" t="s">
        <v>262</v>
      </c>
      <c r="Y382" s="25">
        <v>1</v>
      </c>
      <c r="Z382" s="1" t="s">
        <v>265</v>
      </c>
    </row>
    <row r="383" spans="1:26" ht="14.25" hidden="1" customHeight="1" x14ac:dyDescent="0.15">
      <c r="A383" s="24" t="s">
        <v>296</v>
      </c>
      <c r="B383" s="24" t="s">
        <v>185</v>
      </c>
      <c r="C383" s="26">
        <v>515</v>
      </c>
      <c r="D383" s="24" t="s">
        <v>16</v>
      </c>
      <c r="E383" s="24" t="s">
        <v>451</v>
      </c>
      <c r="F383" s="24" t="s">
        <v>93</v>
      </c>
      <c r="G383" s="21">
        <v>1987</v>
      </c>
      <c r="H383" s="21">
        <v>20</v>
      </c>
      <c r="I383" s="21">
        <f t="shared" ca="1" si="25"/>
        <v>39</v>
      </c>
      <c r="J383" s="21">
        <v>3</v>
      </c>
      <c r="K383" s="25" t="str">
        <f t="shared" ca="1" si="26"/>
        <v>Cambiar o Inspección externa</v>
      </c>
      <c r="L383" s="25" t="s">
        <v>142</v>
      </c>
      <c r="P383" s="25" t="s">
        <v>22</v>
      </c>
      <c r="Q383" s="32">
        <v>365</v>
      </c>
      <c r="R383" s="25" t="s">
        <v>69</v>
      </c>
      <c r="S383" s="28">
        <v>46198</v>
      </c>
      <c r="T383" s="28">
        <f t="shared" si="27"/>
        <v>46563</v>
      </c>
      <c r="U383" s="25">
        <f t="shared" ca="1" si="28"/>
        <v>302</v>
      </c>
      <c r="V383" s="25" t="str">
        <f t="shared" ca="1" si="29"/>
        <v>AL DÍA</v>
      </c>
      <c r="W383" s="25" t="s">
        <v>24</v>
      </c>
      <c r="X383" s="25" t="s">
        <v>262</v>
      </c>
      <c r="Y383" s="25">
        <v>1</v>
      </c>
      <c r="Z383" s="1" t="s">
        <v>265</v>
      </c>
    </row>
    <row r="384" spans="1:26" ht="14.25" hidden="1" customHeight="1" x14ac:dyDescent="0.15">
      <c r="A384" s="24" t="s">
        <v>296</v>
      </c>
      <c r="B384" s="24" t="s">
        <v>185</v>
      </c>
      <c r="C384" s="26">
        <v>516</v>
      </c>
      <c r="D384" s="24" t="s">
        <v>16</v>
      </c>
      <c r="E384" s="24" t="s">
        <v>451</v>
      </c>
      <c r="F384" s="24" t="s">
        <v>93</v>
      </c>
      <c r="G384" s="21">
        <v>1987</v>
      </c>
      <c r="H384" s="21">
        <v>20</v>
      </c>
      <c r="I384" s="21">
        <f t="shared" ca="1" si="25"/>
        <v>39</v>
      </c>
      <c r="J384" s="21">
        <v>3</v>
      </c>
      <c r="K384" s="25" t="str">
        <f t="shared" ca="1" si="26"/>
        <v>Cambiar o Inspección externa</v>
      </c>
      <c r="L384" s="25" t="s">
        <v>142</v>
      </c>
      <c r="P384" s="25" t="s">
        <v>22</v>
      </c>
      <c r="Q384" s="32">
        <v>365</v>
      </c>
      <c r="R384" s="25" t="s">
        <v>69</v>
      </c>
      <c r="S384" s="28">
        <v>46198</v>
      </c>
      <c r="T384" s="28">
        <f t="shared" si="27"/>
        <v>46563</v>
      </c>
      <c r="U384" s="25">
        <f t="shared" ca="1" si="28"/>
        <v>302</v>
      </c>
      <c r="V384" s="25" t="str">
        <f t="shared" ca="1" si="29"/>
        <v>AL DÍA</v>
      </c>
      <c r="W384" s="25" t="s">
        <v>24</v>
      </c>
      <c r="X384" s="25" t="s">
        <v>262</v>
      </c>
      <c r="Y384" s="25">
        <v>1</v>
      </c>
      <c r="Z384" s="1" t="s">
        <v>265</v>
      </c>
    </row>
    <row r="385" spans="1:26" ht="14.25" hidden="1" customHeight="1" x14ac:dyDescent="0.15">
      <c r="A385" s="24" t="s">
        <v>296</v>
      </c>
      <c r="B385" s="24" t="s">
        <v>185</v>
      </c>
      <c r="C385" s="26">
        <v>522</v>
      </c>
      <c r="D385" s="24" t="s">
        <v>16</v>
      </c>
      <c r="E385" s="24" t="s">
        <v>451</v>
      </c>
      <c r="F385" s="24" t="s">
        <v>93</v>
      </c>
      <c r="G385" s="21">
        <v>1987</v>
      </c>
      <c r="H385" s="21">
        <v>20</v>
      </c>
      <c r="I385" s="21">
        <f t="shared" ca="1" si="25"/>
        <v>39</v>
      </c>
      <c r="J385" s="21">
        <v>3</v>
      </c>
      <c r="K385" s="25" t="str">
        <f t="shared" ca="1" si="26"/>
        <v>Cambiar o Inspección externa</v>
      </c>
      <c r="L385" s="25" t="s">
        <v>142</v>
      </c>
      <c r="P385" s="26" t="s">
        <v>22</v>
      </c>
      <c r="Q385" s="34">
        <v>365</v>
      </c>
      <c r="R385" s="25" t="s">
        <v>69</v>
      </c>
      <c r="S385" s="28">
        <v>46198</v>
      </c>
      <c r="T385" s="28">
        <f t="shared" si="27"/>
        <v>46563</v>
      </c>
      <c r="U385" s="25">
        <f t="shared" ca="1" si="28"/>
        <v>302</v>
      </c>
      <c r="V385" s="25" t="str">
        <f t="shared" ca="1" si="29"/>
        <v>AL DÍA</v>
      </c>
      <c r="W385" s="25" t="s">
        <v>24</v>
      </c>
      <c r="X385" s="25" t="s">
        <v>262</v>
      </c>
      <c r="Y385" s="25">
        <v>1</v>
      </c>
      <c r="Z385" s="1" t="s">
        <v>265</v>
      </c>
    </row>
    <row r="386" spans="1:26" ht="14.25" hidden="1" customHeight="1" x14ac:dyDescent="0.15">
      <c r="A386" s="24" t="s">
        <v>296</v>
      </c>
      <c r="B386" s="24" t="s">
        <v>185</v>
      </c>
      <c r="C386" s="26">
        <v>523</v>
      </c>
      <c r="D386" s="24" t="s">
        <v>16</v>
      </c>
      <c r="E386" s="24" t="s">
        <v>451</v>
      </c>
      <c r="F386" s="24" t="s">
        <v>93</v>
      </c>
      <c r="G386" s="21">
        <v>1987</v>
      </c>
      <c r="H386" s="21">
        <v>20</v>
      </c>
      <c r="I386" s="21">
        <f t="shared" ref="I386:I449" ca="1" si="30">YEAR(TODAY())-G386</f>
        <v>39</v>
      </c>
      <c r="J386" s="21">
        <v>3</v>
      </c>
      <c r="K386" s="25" t="str">
        <f t="shared" ref="K386:K449" ca="1" si="31">IF(J386=1,"Cambiar",IF(J386=2,"Presupuestar",IF(H386=0,"Activo",IF(G386+H386&lt;YEAR(TODAY()),"Cambiar o Inspección externa",IF(G386+H386-1&lt;YEAR(TODAY()),"Presupuestar","Activo")))))</f>
        <v>Cambiar o Inspección externa</v>
      </c>
      <c r="L386" s="25" t="s">
        <v>142</v>
      </c>
      <c r="P386" s="25" t="s">
        <v>22</v>
      </c>
      <c r="Q386" s="32">
        <v>365</v>
      </c>
      <c r="R386" s="25" t="s">
        <v>69</v>
      </c>
      <c r="S386" s="28">
        <v>46198</v>
      </c>
      <c r="T386" s="28">
        <f t="shared" ref="T386:T449" si="32">+S386+Q386</f>
        <v>46563</v>
      </c>
      <c r="U386" s="25">
        <f t="shared" ref="U386:U449" ca="1" si="33">T386-TODAY()</f>
        <v>302</v>
      </c>
      <c r="V386" s="25" t="str">
        <f t="shared" ref="V386:V449" ca="1" si="34">IF(U386&lt;0, "VENCIDO", "AL DÍA")</f>
        <v>AL DÍA</v>
      </c>
      <c r="W386" s="25" t="s">
        <v>24</v>
      </c>
      <c r="X386" s="25" t="s">
        <v>262</v>
      </c>
      <c r="Y386" s="25">
        <v>1</v>
      </c>
      <c r="Z386" s="1" t="s">
        <v>265</v>
      </c>
    </row>
    <row r="387" spans="1:26" ht="14.25" hidden="1" customHeight="1" x14ac:dyDescent="0.15">
      <c r="A387" s="24" t="s">
        <v>296</v>
      </c>
      <c r="B387" s="24" t="s">
        <v>185</v>
      </c>
      <c r="C387" s="26">
        <v>524</v>
      </c>
      <c r="D387" s="24" t="s">
        <v>16</v>
      </c>
      <c r="E387" s="24" t="s">
        <v>451</v>
      </c>
      <c r="F387" s="24" t="s">
        <v>93</v>
      </c>
      <c r="G387" s="21">
        <v>1987</v>
      </c>
      <c r="H387" s="21">
        <v>20</v>
      </c>
      <c r="I387" s="21">
        <f t="shared" ca="1" si="30"/>
        <v>39</v>
      </c>
      <c r="J387" s="21">
        <v>3</v>
      </c>
      <c r="K387" s="25" t="str">
        <f t="shared" ca="1" si="31"/>
        <v>Cambiar o Inspección externa</v>
      </c>
      <c r="L387" s="25" t="s">
        <v>142</v>
      </c>
      <c r="P387" s="25" t="s">
        <v>22</v>
      </c>
      <c r="Q387" s="32">
        <v>365</v>
      </c>
      <c r="R387" s="25" t="s">
        <v>69</v>
      </c>
      <c r="S387" s="28">
        <v>46198</v>
      </c>
      <c r="T387" s="28">
        <f t="shared" si="32"/>
        <v>46563</v>
      </c>
      <c r="U387" s="25">
        <f t="shared" ca="1" si="33"/>
        <v>302</v>
      </c>
      <c r="V387" s="25" t="str">
        <f t="shared" ca="1" si="34"/>
        <v>AL DÍA</v>
      </c>
      <c r="W387" s="25" t="s">
        <v>24</v>
      </c>
      <c r="X387" s="25" t="s">
        <v>262</v>
      </c>
      <c r="Y387" s="25">
        <v>1</v>
      </c>
      <c r="Z387" s="1" t="s">
        <v>265</v>
      </c>
    </row>
    <row r="388" spans="1:26" ht="14.25" hidden="1" customHeight="1" x14ac:dyDescent="0.15">
      <c r="A388" s="24" t="s">
        <v>296</v>
      </c>
      <c r="B388" s="24" t="s">
        <v>185</v>
      </c>
      <c r="C388" s="26">
        <v>525</v>
      </c>
      <c r="D388" s="24" t="s">
        <v>16</v>
      </c>
      <c r="E388" s="24" t="s">
        <v>451</v>
      </c>
      <c r="F388" s="24" t="s">
        <v>93</v>
      </c>
      <c r="G388" s="21">
        <v>1987</v>
      </c>
      <c r="H388" s="21">
        <v>20</v>
      </c>
      <c r="I388" s="21">
        <f t="shared" ca="1" si="30"/>
        <v>39</v>
      </c>
      <c r="J388" s="21">
        <v>3</v>
      </c>
      <c r="K388" s="25" t="str">
        <f t="shared" ca="1" si="31"/>
        <v>Cambiar o Inspección externa</v>
      </c>
      <c r="L388" s="25" t="s">
        <v>142</v>
      </c>
      <c r="O388" s="26"/>
      <c r="P388" s="26" t="s">
        <v>22</v>
      </c>
      <c r="Q388" s="34">
        <v>365</v>
      </c>
      <c r="R388" s="25" t="s">
        <v>69</v>
      </c>
      <c r="S388" s="28">
        <v>46198</v>
      </c>
      <c r="T388" s="28">
        <f t="shared" si="32"/>
        <v>46563</v>
      </c>
      <c r="U388" s="25">
        <f t="shared" ca="1" si="33"/>
        <v>302</v>
      </c>
      <c r="V388" s="25" t="str">
        <f t="shared" ca="1" si="34"/>
        <v>AL DÍA</v>
      </c>
      <c r="W388" s="25" t="s">
        <v>24</v>
      </c>
      <c r="X388" s="25" t="s">
        <v>262</v>
      </c>
      <c r="Y388" s="25">
        <v>1</v>
      </c>
      <c r="Z388" s="1" t="s">
        <v>265</v>
      </c>
    </row>
    <row r="389" spans="1:26" ht="14.25" hidden="1" customHeight="1" x14ac:dyDescent="0.15">
      <c r="A389" s="24" t="s">
        <v>296</v>
      </c>
      <c r="B389" s="24" t="s">
        <v>185</v>
      </c>
      <c r="C389" s="26">
        <v>526</v>
      </c>
      <c r="D389" s="24" t="s">
        <v>16</v>
      </c>
      <c r="E389" s="24" t="s">
        <v>451</v>
      </c>
      <c r="F389" s="24" t="s">
        <v>93</v>
      </c>
      <c r="G389" s="21">
        <v>1987</v>
      </c>
      <c r="H389" s="21">
        <v>20</v>
      </c>
      <c r="I389" s="21">
        <f t="shared" ca="1" si="30"/>
        <v>39</v>
      </c>
      <c r="J389" s="21">
        <v>3</v>
      </c>
      <c r="K389" s="25" t="str">
        <f t="shared" ca="1" si="31"/>
        <v>Cambiar o Inspección externa</v>
      </c>
      <c r="L389" s="25" t="s">
        <v>142</v>
      </c>
      <c r="P389" s="25" t="s">
        <v>22</v>
      </c>
      <c r="Q389" s="32">
        <v>365</v>
      </c>
      <c r="R389" s="25" t="s">
        <v>69</v>
      </c>
      <c r="S389" s="28">
        <v>46198</v>
      </c>
      <c r="T389" s="28">
        <f t="shared" si="32"/>
        <v>46563</v>
      </c>
      <c r="U389" s="25">
        <f t="shared" ca="1" si="33"/>
        <v>302</v>
      </c>
      <c r="V389" s="25" t="str">
        <f t="shared" ca="1" si="34"/>
        <v>AL DÍA</v>
      </c>
      <c r="W389" s="25" t="s">
        <v>24</v>
      </c>
      <c r="X389" s="25" t="s">
        <v>262</v>
      </c>
      <c r="Y389" s="25">
        <v>1</v>
      </c>
      <c r="Z389" s="1" t="s">
        <v>265</v>
      </c>
    </row>
    <row r="390" spans="1:26" ht="14.25" hidden="1" customHeight="1" x14ac:dyDescent="0.15">
      <c r="A390" s="24" t="s">
        <v>296</v>
      </c>
      <c r="B390" s="24" t="s">
        <v>188</v>
      </c>
      <c r="C390" s="26" t="s">
        <v>187</v>
      </c>
      <c r="D390" s="24" t="s">
        <v>16</v>
      </c>
      <c r="E390" s="24" t="s">
        <v>453</v>
      </c>
      <c r="F390" s="24" t="s">
        <v>159</v>
      </c>
      <c r="G390" s="21">
        <v>1987</v>
      </c>
      <c r="H390" s="21">
        <v>40</v>
      </c>
      <c r="I390" s="21">
        <f t="shared" ca="1" si="30"/>
        <v>39</v>
      </c>
      <c r="J390" s="21">
        <v>3</v>
      </c>
      <c r="K390" s="25" t="str">
        <f t="shared" ca="1" si="31"/>
        <v>Activo</v>
      </c>
      <c r="L390" s="25" t="s">
        <v>49</v>
      </c>
      <c r="M390" s="25" t="s">
        <v>49</v>
      </c>
      <c r="N390" s="25" t="s">
        <v>49</v>
      </c>
      <c r="O390" s="25" t="s">
        <v>202</v>
      </c>
      <c r="P390" s="26" t="s">
        <v>22</v>
      </c>
      <c r="Q390" s="34">
        <v>365</v>
      </c>
      <c r="R390" s="25" t="s">
        <v>64</v>
      </c>
      <c r="S390" s="28">
        <v>46198</v>
      </c>
      <c r="T390" s="28">
        <f t="shared" si="32"/>
        <v>46563</v>
      </c>
      <c r="U390" s="25">
        <f t="shared" ca="1" si="33"/>
        <v>302</v>
      </c>
      <c r="V390" s="25" t="str">
        <f t="shared" ca="1" si="34"/>
        <v>AL DÍA</v>
      </c>
      <c r="W390" s="25" t="s">
        <v>24</v>
      </c>
      <c r="X390" s="25" t="s">
        <v>271</v>
      </c>
      <c r="Y390" s="25">
        <v>2</v>
      </c>
      <c r="Z390" s="1" t="s">
        <v>283</v>
      </c>
    </row>
    <row r="391" spans="1:26" ht="14.25" hidden="1" customHeight="1" x14ac:dyDescent="0.15">
      <c r="A391" s="24" t="s">
        <v>296</v>
      </c>
      <c r="B391" s="24" t="s">
        <v>188</v>
      </c>
      <c r="C391" s="26" t="s">
        <v>187</v>
      </c>
      <c r="D391" s="24" t="s">
        <v>16</v>
      </c>
      <c r="E391" s="24" t="s">
        <v>453</v>
      </c>
      <c r="F391" s="24" t="s">
        <v>161</v>
      </c>
      <c r="G391" s="21">
        <v>1987</v>
      </c>
      <c r="H391" s="21">
        <v>40</v>
      </c>
      <c r="I391" s="21">
        <f t="shared" ca="1" si="30"/>
        <v>39</v>
      </c>
      <c r="J391" s="21">
        <v>3</v>
      </c>
      <c r="K391" s="25" t="str">
        <f t="shared" ca="1" si="31"/>
        <v>Activo</v>
      </c>
      <c r="L391" s="25" t="s">
        <v>49</v>
      </c>
      <c r="M391" s="25" t="s">
        <v>49</v>
      </c>
      <c r="N391" s="25" t="s">
        <v>49</v>
      </c>
      <c r="O391" s="25" t="s">
        <v>202</v>
      </c>
      <c r="P391" s="25" t="s">
        <v>22</v>
      </c>
      <c r="Q391" s="34">
        <v>365</v>
      </c>
      <c r="R391" s="25" t="s">
        <v>64</v>
      </c>
      <c r="S391" s="28">
        <v>46198</v>
      </c>
      <c r="T391" s="28">
        <f t="shared" si="32"/>
        <v>46563</v>
      </c>
      <c r="U391" s="25">
        <f t="shared" ca="1" si="33"/>
        <v>302</v>
      </c>
      <c r="V391" s="25" t="str">
        <f t="shared" ca="1" si="34"/>
        <v>AL DÍA</v>
      </c>
      <c r="W391" s="25" t="s">
        <v>24</v>
      </c>
      <c r="X391" s="25" t="s">
        <v>271</v>
      </c>
      <c r="Y391" s="25">
        <v>2</v>
      </c>
      <c r="Z391" s="1" t="s">
        <v>283</v>
      </c>
    </row>
    <row r="392" spans="1:26" ht="14.25" hidden="1" customHeight="1" x14ac:dyDescent="0.15">
      <c r="A392" s="24" t="s">
        <v>296</v>
      </c>
      <c r="B392" s="24" t="s">
        <v>188</v>
      </c>
      <c r="C392" s="26" t="s">
        <v>187</v>
      </c>
      <c r="D392" s="24" t="s">
        <v>65</v>
      </c>
      <c r="E392" s="24" t="s">
        <v>449</v>
      </c>
      <c r="F392" s="24" t="s">
        <v>109</v>
      </c>
      <c r="G392" s="21">
        <v>1987</v>
      </c>
      <c r="H392" s="21">
        <v>0</v>
      </c>
      <c r="I392" s="21">
        <f t="shared" ca="1" si="30"/>
        <v>39</v>
      </c>
      <c r="J392" s="21">
        <v>3</v>
      </c>
      <c r="K392" s="25" t="str">
        <f t="shared" ca="1" si="31"/>
        <v>Activo</v>
      </c>
      <c r="L392" s="25" t="s">
        <v>49</v>
      </c>
      <c r="M392" s="25" t="s">
        <v>49</v>
      </c>
      <c r="N392" s="25" t="s">
        <v>49</v>
      </c>
      <c r="P392" s="25" t="s">
        <v>138</v>
      </c>
      <c r="Q392" s="32">
        <v>30</v>
      </c>
      <c r="R392" s="25" t="s">
        <v>69</v>
      </c>
      <c r="S392" s="30">
        <v>46228</v>
      </c>
      <c r="T392" s="28">
        <f t="shared" si="32"/>
        <v>46258</v>
      </c>
      <c r="U392" s="25">
        <f t="shared" ca="1" si="33"/>
        <v>-3</v>
      </c>
      <c r="V392" s="25" t="str">
        <f t="shared" ca="1" si="34"/>
        <v>VENCIDO</v>
      </c>
      <c r="W392" s="25" t="s">
        <v>24</v>
      </c>
      <c r="X392" s="25" t="s">
        <v>267</v>
      </c>
      <c r="Y392" s="25">
        <v>2</v>
      </c>
    </row>
    <row r="393" spans="1:26" ht="14.25" hidden="1" customHeight="1" x14ac:dyDescent="0.15">
      <c r="A393" s="24" t="s">
        <v>296</v>
      </c>
      <c r="B393" s="24" t="s">
        <v>188</v>
      </c>
      <c r="C393" s="25" t="s">
        <v>187</v>
      </c>
      <c r="D393" s="24" t="s">
        <v>65</v>
      </c>
      <c r="E393" s="24" t="s">
        <v>449</v>
      </c>
      <c r="F393" s="24" t="s">
        <v>110</v>
      </c>
      <c r="G393" s="21">
        <v>1987</v>
      </c>
      <c r="H393" s="27">
        <v>0</v>
      </c>
      <c r="I393" s="21">
        <f t="shared" ca="1" si="30"/>
        <v>39</v>
      </c>
      <c r="J393" s="21">
        <v>3</v>
      </c>
      <c r="K393" s="25" t="str">
        <f t="shared" ca="1" si="31"/>
        <v>Activo</v>
      </c>
      <c r="L393" s="25" t="s">
        <v>49</v>
      </c>
      <c r="M393" s="25" t="s">
        <v>49</v>
      </c>
      <c r="N393" s="25" t="s">
        <v>49</v>
      </c>
      <c r="P393" s="26" t="s">
        <v>138</v>
      </c>
      <c r="Q393" s="34">
        <v>30</v>
      </c>
      <c r="R393" s="25" t="s">
        <v>69</v>
      </c>
      <c r="S393" s="30">
        <v>46228</v>
      </c>
      <c r="T393" s="28">
        <f t="shared" si="32"/>
        <v>46258</v>
      </c>
      <c r="U393" s="25">
        <f t="shared" ca="1" si="33"/>
        <v>-3</v>
      </c>
      <c r="V393" s="25" t="str">
        <f t="shared" ca="1" si="34"/>
        <v>VENCIDO</v>
      </c>
      <c r="W393" s="25" t="s">
        <v>24</v>
      </c>
      <c r="X393" s="25" t="s">
        <v>267</v>
      </c>
      <c r="Y393" s="25">
        <v>2</v>
      </c>
    </row>
    <row r="394" spans="1:26" ht="14.25" hidden="1" customHeight="1" x14ac:dyDescent="0.15">
      <c r="A394" s="24" t="s">
        <v>296</v>
      </c>
      <c r="B394" s="24" t="s">
        <v>188</v>
      </c>
      <c r="C394" s="26">
        <v>601</v>
      </c>
      <c r="D394" s="24" t="s">
        <v>65</v>
      </c>
      <c r="F394" s="24" t="s">
        <v>215</v>
      </c>
      <c r="G394" s="21">
        <v>1987</v>
      </c>
      <c r="H394" s="21">
        <v>0</v>
      </c>
      <c r="I394" s="21">
        <f t="shared" ca="1" si="30"/>
        <v>39</v>
      </c>
      <c r="J394" s="21">
        <v>3</v>
      </c>
      <c r="K394" s="25" t="str">
        <f t="shared" ca="1" si="31"/>
        <v>Activo</v>
      </c>
      <c r="L394" s="25" t="s">
        <v>49</v>
      </c>
      <c r="M394" s="25" t="s">
        <v>49</v>
      </c>
      <c r="N394" s="25" t="s">
        <v>49</v>
      </c>
      <c r="P394" s="25" t="s">
        <v>22</v>
      </c>
      <c r="Q394" s="34">
        <v>365</v>
      </c>
      <c r="R394" s="25" t="s">
        <v>64</v>
      </c>
      <c r="S394" s="28">
        <v>46198</v>
      </c>
      <c r="T394" s="28">
        <f t="shared" si="32"/>
        <v>46563</v>
      </c>
      <c r="U394" s="25">
        <f t="shared" ca="1" si="33"/>
        <v>302</v>
      </c>
      <c r="V394" s="25" t="str">
        <f t="shared" ca="1" si="34"/>
        <v>AL DÍA</v>
      </c>
      <c r="W394" s="25" t="s">
        <v>24</v>
      </c>
      <c r="X394" s="25" t="s">
        <v>277</v>
      </c>
      <c r="Y394" s="25">
        <v>2</v>
      </c>
      <c r="Z394" s="1" t="s">
        <v>284</v>
      </c>
    </row>
    <row r="395" spans="1:26" ht="14.25" hidden="1" customHeight="1" x14ac:dyDescent="0.15">
      <c r="A395" s="24" t="s">
        <v>296</v>
      </c>
      <c r="B395" s="24" t="s">
        <v>188</v>
      </c>
      <c r="C395" s="26">
        <v>601</v>
      </c>
      <c r="D395" s="24" t="s">
        <v>65</v>
      </c>
      <c r="F395" s="24" t="s">
        <v>216</v>
      </c>
      <c r="G395" s="21">
        <v>1987</v>
      </c>
      <c r="H395" s="21">
        <v>0</v>
      </c>
      <c r="I395" s="21">
        <f t="shared" ca="1" si="30"/>
        <v>39</v>
      </c>
      <c r="J395" s="21">
        <v>3</v>
      </c>
      <c r="K395" s="25" t="str">
        <f t="shared" ca="1" si="31"/>
        <v>Activo</v>
      </c>
      <c r="L395" s="25" t="s">
        <v>49</v>
      </c>
      <c r="O395" s="26"/>
      <c r="P395" s="26" t="s">
        <v>22</v>
      </c>
      <c r="Q395" s="34">
        <v>365</v>
      </c>
      <c r="R395" s="25" t="s">
        <v>69</v>
      </c>
      <c r="S395" s="29">
        <v>46198</v>
      </c>
      <c r="T395" s="28">
        <f t="shared" si="32"/>
        <v>46563</v>
      </c>
      <c r="U395" s="25">
        <f t="shared" ca="1" si="33"/>
        <v>302</v>
      </c>
      <c r="V395" s="25" t="str">
        <f t="shared" ca="1" si="34"/>
        <v>AL DÍA</v>
      </c>
      <c r="W395" s="25" t="s">
        <v>24</v>
      </c>
      <c r="X395" s="25" t="s">
        <v>277</v>
      </c>
      <c r="Y395" s="25">
        <v>1</v>
      </c>
    </row>
    <row r="396" spans="1:26" ht="14.25" hidden="1" customHeight="1" x14ac:dyDescent="0.15">
      <c r="A396" s="24" t="s">
        <v>296</v>
      </c>
      <c r="B396" s="24" t="s">
        <v>188</v>
      </c>
      <c r="C396" s="26">
        <v>601</v>
      </c>
      <c r="D396" s="24" t="s">
        <v>65</v>
      </c>
      <c r="F396" s="24" t="s">
        <v>217</v>
      </c>
      <c r="G396" s="21">
        <v>1987</v>
      </c>
      <c r="H396" s="21">
        <v>0</v>
      </c>
      <c r="I396" s="21">
        <f t="shared" ca="1" si="30"/>
        <v>39</v>
      </c>
      <c r="J396" s="21">
        <v>3</v>
      </c>
      <c r="K396" s="25" t="str">
        <f t="shared" ca="1" si="31"/>
        <v>Activo</v>
      </c>
      <c r="L396" s="25" t="s">
        <v>49</v>
      </c>
      <c r="O396" s="25">
        <v>62.64</v>
      </c>
      <c r="Q396" s="34">
        <v>365</v>
      </c>
      <c r="R396" s="25" t="s">
        <v>64</v>
      </c>
      <c r="S396" s="28">
        <v>46198</v>
      </c>
      <c r="T396" s="28">
        <f t="shared" si="32"/>
        <v>46563</v>
      </c>
      <c r="U396" s="25">
        <f t="shared" ca="1" si="33"/>
        <v>302</v>
      </c>
      <c r="V396" s="25" t="str">
        <f t="shared" ca="1" si="34"/>
        <v>AL DÍA</v>
      </c>
      <c r="W396" s="25" t="s">
        <v>24</v>
      </c>
      <c r="X396" s="25" t="s">
        <v>262</v>
      </c>
      <c r="Y396" s="25">
        <v>2</v>
      </c>
    </row>
    <row r="397" spans="1:26" ht="14.25" hidden="1" customHeight="1" x14ac:dyDescent="0.15">
      <c r="A397" s="24" t="s">
        <v>296</v>
      </c>
      <c r="B397" s="24" t="s">
        <v>188</v>
      </c>
      <c r="C397" s="26">
        <v>601</v>
      </c>
      <c r="D397" s="24" t="s">
        <v>65</v>
      </c>
      <c r="F397" s="24" t="s">
        <v>218</v>
      </c>
      <c r="G397" s="21">
        <v>1987</v>
      </c>
      <c r="H397" s="21">
        <v>0</v>
      </c>
      <c r="I397" s="21">
        <f t="shared" ca="1" si="30"/>
        <v>39</v>
      </c>
      <c r="J397" s="21">
        <v>3</v>
      </c>
      <c r="K397" s="25" t="str">
        <f t="shared" ca="1" si="31"/>
        <v>Activo</v>
      </c>
      <c r="L397" s="25" t="s">
        <v>49</v>
      </c>
      <c r="O397" s="25" t="s">
        <v>227</v>
      </c>
      <c r="Q397" s="34">
        <v>365</v>
      </c>
      <c r="R397" s="25" t="s">
        <v>64</v>
      </c>
      <c r="S397" s="28">
        <v>46198</v>
      </c>
      <c r="T397" s="28">
        <f t="shared" si="32"/>
        <v>46563</v>
      </c>
      <c r="U397" s="25">
        <f t="shared" ca="1" si="33"/>
        <v>302</v>
      </c>
      <c r="V397" s="25" t="str">
        <f t="shared" ca="1" si="34"/>
        <v>AL DÍA</v>
      </c>
      <c r="W397" s="25" t="s">
        <v>24</v>
      </c>
      <c r="X397" s="25" t="s">
        <v>262</v>
      </c>
      <c r="Y397" s="25">
        <v>2</v>
      </c>
    </row>
    <row r="398" spans="1:26" ht="14.25" hidden="1" customHeight="1" x14ac:dyDescent="0.15">
      <c r="A398" s="24" t="s">
        <v>296</v>
      </c>
      <c r="B398" s="24" t="s">
        <v>188</v>
      </c>
      <c r="C398" s="26">
        <v>601</v>
      </c>
      <c r="D398" s="24" t="s">
        <v>16</v>
      </c>
      <c r="F398" s="24" t="s">
        <v>219</v>
      </c>
      <c r="G398" s="21">
        <v>2018</v>
      </c>
      <c r="H398" s="21">
        <v>15</v>
      </c>
      <c r="I398" s="21">
        <f t="shared" ca="1" si="30"/>
        <v>8</v>
      </c>
      <c r="J398" s="21">
        <v>3</v>
      </c>
      <c r="K398" s="25" t="str">
        <f t="shared" ca="1" si="31"/>
        <v>Activo</v>
      </c>
      <c r="L398" s="25" t="s">
        <v>223</v>
      </c>
      <c r="M398" s="25" t="s">
        <v>233</v>
      </c>
      <c r="O398" s="25" t="s">
        <v>221</v>
      </c>
      <c r="P398" s="25" t="s">
        <v>49</v>
      </c>
      <c r="Q398" s="34">
        <v>365</v>
      </c>
      <c r="R398" s="25" t="s">
        <v>64</v>
      </c>
      <c r="S398" s="28">
        <v>46198</v>
      </c>
      <c r="T398" s="28">
        <f t="shared" si="32"/>
        <v>46563</v>
      </c>
      <c r="U398" s="25">
        <f t="shared" ca="1" si="33"/>
        <v>302</v>
      </c>
      <c r="V398" s="25" t="str">
        <f t="shared" ca="1" si="34"/>
        <v>AL DÍA</v>
      </c>
      <c r="W398" s="25" t="s">
        <v>24</v>
      </c>
      <c r="X398" s="25" t="s">
        <v>271</v>
      </c>
      <c r="Y398" s="25">
        <v>2</v>
      </c>
      <c r="Z398" s="1" t="s">
        <v>303</v>
      </c>
    </row>
    <row r="399" spans="1:26" ht="14.25" hidden="1" customHeight="1" x14ac:dyDescent="0.15">
      <c r="A399" s="24" t="s">
        <v>296</v>
      </c>
      <c r="B399" s="24" t="s">
        <v>188</v>
      </c>
      <c r="C399" s="26">
        <v>601</v>
      </c>
      <c r="D399" s="24" t="s">
        <v>16</v>
      </c>
      <c r="F399" s="24" t="s">
        <v>224</v>
      </c>
      <c r="G399" s="71"/>
      <c r="H399" s="21">
        <v>0</v>
      </c>
      <c r="I399" s="21">
        <f t="shared" ca="1" si="30"/>
        <v>2026</v>
      </c>
      <c r="J399" s="21">
        <v>3</v>
      </c>
      <c r="K399" s="25" t="str">
        <f t="shared" ca="1" si="31"/>
        <v>Activo</v>
      </c>
      <c r="Q399" s="34">
        <v>365</v>
      </c>
      <c r="R399" s="25" t="s">
        <v>64</v>
      </c>
      <c r="S399" s="28">
        <v>46198</v>
      </c>
      <c r="T399" s="28">
        <f t="shared" si="32"/>
        <v>46563</v>
      </c>
      <c r="U399" s="25">
        <f t="shared" ca="1" si="33"/>
        <v>302</v>
      </c>
      <c r="V399" s="25" t="str">
        <f t="shared" ca="1" si="34"/>
        <v>AL DÍA</v>
      </c>
      <c r="W399" s="25" t="s">
        <v>24</v>
      </c>
      <c r="X399" s="25" t="s">
        <v>271</v>
      </c>
      <c r="Y399" s="25">
        <v>2</v>
      </c>
    </row>
    <row r="400" spans="1:26" ht="14.25" hidden="1" customHeight="1" x14ac:dyDescent="0.15">
      <c r="A400" s="24" t="s">
        <v>296</v>
      </c>
      <c r="B400" s="24" t="s">
        <v>188</v>
      </c>
      <c r="C400" s="26">
        <v>601</v>
      </c>
      <c r="D400" s="24" t="s">
        <v>65</v>
      </c>
      <c r="F400" s="24" t="s">
        <v>220</v>
      </c>
      <c r="G400" s="21">
        <v>1987</v>
      </c>
      <c r="H400" s="21">
        <v>0</v>
      </c>
      <c r="I400" s="21">
        <f t="shared" ca="1" si="30"/>
        <v>39</v>
      </c>
      <c r="J400" s="21">
        <v>3</v>
      </c>
      <c r="K400" s="25" t="str">
        <f t="shared" ca="1" si="31"/>
        <v>Activo</v>
      </c>
      <c r="L400" s="25" t="s">
        <v>49</v>
      </c>
      <c r="O400" s="25" t="s">
        <v>222</v>
      </c>
      <c r="Q400" s="34">
        <v>365</v>
      </c>
      <c r="R400" s="25" t="s">
        <v>64</v>
      </c>
      <c r="S400" s="28">
        <v>46198</v>
      </c>
      <c r="T400" s="28">
        <f t="shared" si="32"/>
        <v>46563</v>
      </c>
      <c r="U400" s="25">
        <f t="shared" ca="1" si="33"/>
        <v>302</v>
      </c>
      <c r="V400" s="25" t="str">
        <f t="shared" ca="1" si="34"/>
        <v>AL DÍA</v>
      </c>
      <c r="W400" s="25" t="s">
        <v>24</v>
      </c>
      <c r="X400" s="25" t="s">
        <v>262</v>
      </c>
      <c r="Y400" s="25">
        <v>2</v>
      </c>
    </row>
    <row r="401" spans="1:26" ht="14.25" hidden="1" customHeight="1" x14ac:dyDescent="0.15">
      <c r="A401" s="24" t="s">
        <v>296</v>
      </c>
      <c r="B401" s="24" t="s">
        <v>188</v>
      </c>
      <c r="C401" s="26">
        <v>602</v>
      </c>
      <c r="D401" s="24" t="s">
        <v>65</v>
      </c>
      <c r="F401" s="24" t="s">
        <v>215</v>
      </c>
      <c r="G401" s="21">
        <v>1987</v>
      </c>
      <c r="H401" s="21">
        <v>0</v>
      </c>
      <c r="I401" s="21">
        <f t="shared" ca="1" si="30"/>
        <v>39</v>
      </c>
      <c r="J401" s="21">
        <v>3</v>
      </c>
      <c r="K401" s="25" t="str">
        <f t="shared" ca="1" si="31"/>
        <v>Activo</v>
      </c>
      <c r="L401" s="25" t="s">
        <v>49</v>
      </c>
      <c r="M401" s="25" t="s">
        <v>49</v>
      </c>
      <c r="N401" s="25" t="s">
        <v>49</v>
      </c>
      <c r="P401" s="25" t="s">
        <v>22</v>
      </c>
      <c r="Q401" s="34">
        <v>365</v>
      </c>
      <c r="R401" s="25" t="s">
        <v>64</v>
      </c>
      <c r="S401" s="28">
        <v>46198</v>
      </c>
      <c r="T401" s="28">
        <f t="shared" si="32"/>
        <v>46563</v>
      </c>
      <c r="U401" s="25">
        <f t="shared" ca="1" si="33"/>
        <v>302</v>
      </c>
      <c r="V401" s="25" t="str">
        <f t="shared" ca="1" si="34"/>
        <v>AL DÍA</v>
      </c>
      <c r="W401" s="25" t="s">
        <v>24</v>
      </c>
      <c r="X401" s="25" t="s">
        <v>271</v>
      </c>
      <c r="Y401" s="25">
        <v>2</v>
      </c>
    </row>
    <row r="402" spans="1:26" ht="14.25" hidden="1" customHeight="1" x14ac:dyDescent="0.15">
      <c r="A402" s="24" t="s">
        <v>296</v>
      </c>
      <c r="B402" s="24" t="s">
        <v>188</v>
      </c>
      <c r="C402" s="26">
        <v>602</v>
      </c>
      <c r="D402" s="24" t="s">
        <v>65</v>
      </c>
      <c r="F402" s="24" t="s">
        <v>216</v>
      </c>
      <c r="G402" s="21">
        <v>1987</v>
      </c>
      <c r="H402" s="21">
        <v>0</v>
      </c>
      <c r="I402" s="21">
        <f t="shared" ca="1" si="30"/>
        <v>39</v>
      </c>
      <c r="J402" s="21">
        <v>3</v>
      </c>
      <c r="K402" s="25" t="str">
        <f t="shared" ca="1" si="31"/>
        <v>Activo</v>
      </c>
      <c r="L402" s="25" t="s">
        <v>49</v>
      </c>
      <c r="O402" s="26"/>
      <c r="P402" s="26" t="s">
        <v>22</v>
      </c>
      <c r="Q402" s="34">
        <v>365</v>
      </c>
      <c r="R402" s="25" t="s">
        <v>69</v>
      </c>
      <c r="S402" s="29">
        <v>46198</v>
      </c>
      <c r="T402" s="28">
        <f t="shared" si="32"/>
        <v>46563</v>
      </c>
      <c r="U402" s="25">
        <f t="shared" ca="1" si="33"/>
        <v>302</v>
      </c>
      <c r="V402" s="25" t="str">
        <f t="shared" ca="1" si="34"/>
        <v>AL DÍA</v>
      </c>
      <c r="W402" s="25" t="s">
        <v>24</v>
      </c>
      <c r="X402" s="25" t="s">
        <v>277</v>
      </c>
      <c r="Y402" s="25">
        <v>1</v>
      </c>
    </row>
    <row r="403" spans="1:26" ht="14.25" hidden="1" customHeight="1" x14ac:dyDescent="0.15">
      <c r="A403" s="24" t="s">
        <v>296</v>
      </c>
      <c r="B403" s="24" t="s">
        <v>188</v>
      </c>
      <c r="C403" s="26">
        <v>602</v>
      </c>
      <c r="D403" s="24" t="s">
        <v>65</v>
      </c>
      <c r="F403" s="24" t="s">
        <v>217</v>
      </c>
      <c r="G403" s="21">
        <v>1987</v>
      </c>
      <c r="H403" s="21">
        <v>0</v>
      </c>
      <c r="I403" s="21">
        <f t="shared" ca="1" si="30"/>
        <v>39</v>
      </c>
      <c r="J403" s="21">
        <v>3</v>
      </c>
      <c r="K403" s="25" t="str">
        <f t="shared" ca="1" si="31"/>
        <v>Activo</v>
      </c>
      <c r="L403" s="25" t="s">
        <v>49</v>
      </c>
      <c r="O403" s="25">
        <v>62.64</v>
      </c>
      <c r="Q403" s="34">
        <v>365</v>
      </c>
      <c r="R403" s="25" t="s">
        <v>64</v>
      </c>
      <c r="S403" s="28">
        <v>46198</v>
      </c>
      <c r="T403" s="28">
        <f t="shared" si="32"/>
        <v>46563</v>
      </c>
      <c r="U403" s="25">
        <f t="shared" ca="1" si="33"/>
        <v>302</v>
      </c>
      <c r="V403" s="25" t="str">
        <f t="shared" ca="1" si="34"/>
        <v>AL DÍA</v>
      </c>
      <c r="W403" s="25" t="s">
        <v>24</v>
      </c>
      <c r="X403" s="25" t="s">
        <v>262</v>
      </c>
      <c r="Y403" s="25">
        <v>2</v>
      </c>
    </row>
    <row r="404" spans="1:26" ht="14.25" hidden="1" customHeight="1" x14ac:dyDescent="0.15">
      <c r="A404" s="24" t="s">
        <v>296</v>
      </c>
      <c r="B404" s="24" t="s">
        <v>188</v>
      </c>
      <c r="C404" s="26">
        <v>602</v>
      </c>
      <c r="D404" s="24" t="s">
        <v>65</v>
      </c>
      <c r="F404" s="24" t="s">
        <v>218</v>
      </c>
      <c r="G404" s="21">
        <v>1987</v>
      </c>
      <c r="H404" s="21">
        <v>0</v>
      </c>
      <c r="I404" s="21">
        <f t="shared" ca="1" si="30"/>
        <v>39</v>
      </c>
      <c r="J404" s="21">
        <v>3</v>
      </c>
      <c r="K404" s="25" t="str">
        <f t="shared" ca="1" si="31"/>
        <v>Activo</v>
      </c>
      <c r="L404" s="25" t="s">
        <v>49</v>
      </c>
      <c r="O404" s="25" t="s">
        <v>227</v>
      </c>
      <c r="Q404" s="34">
        <v>365</v>
      </c>
      <c r="R404" s="25" t="s">
        <v>64</v>
      </c>
      <c r="S404" s="28">
        <v>46198</v>
      </c>
      <c r="T404" s="28">
        <f t="shared" si="32"/>
        <v>46563</v>
      </c>
      <c r="U404" s="25">
        <f t="shared" ca="1" si="33"/>
        <v>302</v>
      </c>
      <c r="V404" s="25" t="str">
        <f t="shared" ca="1" si="34"/>
        <v>AL DÍA</v>
      </c>
      <c r="W404" s="25" t="s">
        <v>24</v>
      </c>
      <c r="X404" s="25" t="s">
        <v>262</v>
      </c>
      <c r="Y404" s="25">
        <v>2</v>
      </c>
    </row>
    <row r="405" spans="1:26" ht="14.25" hidden="1" customHeight="1" x14ac:dyDescent="0.15">
      <c r="A405" s="24" t="s">
        <v>296</v>
      </c>
      <c r="B405" s="24" t="s">
        <v>188</v>
      </c>
      <c r="C405" s="26">
        <v>602</v>
      </c>
      <c r="D405" s="24" t="s">
        <v>16</v>
      </c>
      <c r="F405" s="24" t="s">
        <v>219</v>
      </c>
      <c r="G405" s="21">
        <v>2018</v>
      </c>
      <c r="H405" s="21">
        <v>15</v>
      </c>
      <c r="I405" s="21">
        <f t="shared" ca="1" si="30"/>
        <v>8</v>
      </c>
      <c r="J405" s="21">
        <v>3</v>
      </c>
      <c r="K405" s="25" t="str">
        <f t="shared" ca="1" si="31"/>
        <v>Activo</v>
      </c>
      <c r="L405" s="25" t="s">
        <v>223</v>
      </c>
      <c r="M405" s="25" t="s">
        <v>233</v>
      </c>
      <c r="O405" s="25" t="s">
        <v>221</v>
      </c>
      <c r="P405" s="25" t="s">
        <v>49</v>
      </c>
      <c r="Q405" s="34">
        <v>365</v>
      </c>
      <c r="R405" s="25" t="s">
        <v>64</v>
      </c>
      <c r="S405" s="28">
        <v>46198</v>
      </c>
      <c r="T405" s="28">
        <f t="shared" si="32"/>
        <v>46563</v>
      </c>
      <c r="U405" s="25">
        <f t="shared" ca="1" si="33"/>
        <v>302</v>
      </c>
      <c r="V405" s="25" t="str">
        <f t="shared" ca="1" si="34"/>
        <v>AL DÍA</v>
      </c>
      <c r="W405" s="25" t="s">
        <v>24</v>
      </c>
      <c r="X405" s="25" t="s">
        <v>271</v>
      </c>
      <c r="Y405" s="25">
        <v>2</v>
      </c>
      <c r="Z405" s="1" t="s">
        <v>303</v>
      </c>
    </row>
    <row r="406" spans="1:26" ht="14.25" hidden="1" customHeight="1" x14ac:dyDescent="0.15">
      <c r="A406" s="24" t="s">
        <v>296</v>
      </c>
      <c r="B406" s="24" t="s">
        <v>188</v>
      </c>
      <c r="C406" s="26">
        <v>602</v>
      </c>
      <c r="D406" s="24" t="s">
        <v>16</v>
      </c>
      <c r="F406" s="24" t="s">
        <v>224</v>
      </c>
      <c r="G406" s="71"/>
      <c r="H406" s="21">
        <v>0</v>
      </c>
      <c r="I406" s="21">
        <f t="shared" ca="1" si="30"/>
        <v>2026</v>
      </c>
      <c r="J406" s="21">
        <v>3</v>
      </c>
      <c r="K406" s="25" t="str">
        <f t="shared" ca="1" si="31"/>
        <v>Activo</v>
      </c>
      <c r="Q406" s="34">
        <v>365</v>
      </c>
      <c r="R406" s="25" t="s">
        <v>64</v>
      </c>
      <c r="S406" s="28">
        <v>46198</v>
      </c>
      <c r="T406" s="28">
        <f t="shared" si="32"/>
        <v>46563</v>
      </c>
      <c r="U406" s="25">
        <f t="shared" ca="1" si="33"/>
        <v>302</v>
      </c>
      <c r="V406" s="25" t="str">
        <f t="shared" ca="1" si="34"/>
        <v>AL DÍA</v>
      </c>
      <c r="W406" s="25" t="s">
        <v>24</v>
      </c>
      <c r="X406" s="25" t="s">
        <v>271</v>
      </c>
      <c r="Y406" s="25">
        <v>2</v>
      </c>
    </row>
    <row r="407" spans="1:26" ht="14.25" hidden="1" customHeight="1" x14ac:dyDescent="0.15">
      <c r="A407" s="24" t="s">
        <v>296</v>
      </c>
      <c r="B407" s="24" t="s">
        <v>188</v>
      </c>
      <c r="C407" s="26">
        <v>602</v>
      </c>
      <c r="D407" s="24" t="s">
        <v>65</v>
      </c>
      <c r="F407" s="24" t="s">
        <v>220</v>
      </c>
      <c r="G407" s="21">
        <v>1987</v>
      </c>
      <c r="H407" s="21">
        <v>0</v>
      </c>
      <c r="I407" s="21">
        <f t="shared" ca="1" si="30"/>
        <v>39</v>
      </c>
      <c r="J407" s="21">
        <v>3</v>
      </c>
      <c r="K407" s="25" t="str">
        <f t="shared" ca="1" si="31"/>
        <v>Activo</v>
      </c>
      <c r="L407" s="25" t="s">
        <v>49</v>
      </c>
      <c r="O407" s="25" t="s">
        <v>222</v>
      </c>
      <c r="Q407" s="34">
        <v>365</v>
      </c>
      <c r="R407" s="25" t="s">
        <v>64</v>
      </c>
      <c r="S407" s="28">
        <v>46198</v>
      </c>
      <c r="T407" s="28">
        <f t="shared" si="32"/>
        <v>46563</v>
      </c>
      <c r="U407" s="25">
        <f t="shared" ca="1" si="33"/>
        <v>302</v>
      </c>
      <c r="V407" s="25" t="str">
        <f t="shared" ca="1" si="34"/>
        <v>AL DÍA</v>
      </c>
      <c r="W407" s="25" t="s">
        <v>24</v>
      </c>
      <c r="X407" s="25" t="s">
        <v>262</v>
      </c>
      <c r="Y407" s="25">
        <v>2</v>
      </c>
    </row>
    <row r="408" spans="1:26" ht="14.25" hidden="1" customHeight="1" x14ac:dyDescent="0.15">
      <c r="A408" s="24" t="s">
        <v>296</v>
      </c>
      <c r="B408" s="24" t="s">
        <v>188</v>
      </c>
      <c r="C408" s="26">
        <v>603</v>
      </c>
      <c r="D408" s="24" t="s">
        <v>65</v>
      </c>
      <c r="F408" s="24" t="s">
        <v>215</v>
      </c>
      <c r="G408" s="21">
        <v>1987</v>
      </c>
      <c r="H408" s="21">
        <v>0</v>
      </c>
      <c r="I408" s="21">
        <f t="shared" ca="1" si="30"/>
        <v>39</v>
      </c>
      <c r="J408" s="21">
        <v>3</v>
      </c>
      <c r="K408" s="25" t="str">
        <f t="shared" ca="1" si="31"/>
        <v>Activo</v>
      </c>
      <c r="L408" s="25" t="s">
        <v>49</v>
      </c>
      <c r="M408" s="25" t="s">
        <v>49</v>
      </c>
      <c r="P408" s="25" t="s">
        <v>22</v>
      </c>
      <c r="Q408" s="34">
        <v>365</v>
      </c>
      <c r="R408" s="25" t="s">
        <v>64</v>
      </c>
      <c r="S408" s="28">
        <v>46198</v>
      </c>
      <c r="T408" s="28">
        <f t="shared" si="32"/>
        <v>46563</v>
      </c>
      <c r="U408" s="25">
        <f t="shared" ca="1" si="33"/>
        <v>302</v>
      </c>
      <c r="V408" s="25" t="str">
        <f t="shared" ca="1" si="34"/>
        <v>AL DÍA</v>
      </c>
      <c r="W408" s="25" t="s">
        <v>24</v>
      </c>
      <c r="X408" s="25" t="s">
        <v>271</v>
      </c>
      <c r="Y408" s="25">
        <v>2</v>
      </c>
    </row>
    <row r="409" spans="1:26" ht="14.25" hidden="1" customHeight="1" x14ac:dyDescent="0.15">
      <c r="A409" s="24" t="s">
        <v>296</v>
      </c>
      <c r="B409" s="24" t="s">
        <v>188</v>
      </c>
      <c r="C409" s="26">
        <v>603</v>
      </c>
      <c r="D409" s="24" t="s">
        <v>65</v>
      </c>
      <c r="F409" s="24" t="s">
        <v>216</v>
      </c>
      <c r="G409" s="21">
        <v>1987</v>
      </c>
      <c r="H409" s="21">
        <v>0</v>
      </c>
      <c r="I409" s="21">
        <f t="shared" ca="1" si="30"/>
        <v>39</v>
      </c>
      <c r="J409" s="21">
        <v>3</v>
      </c>
      <c r="K409" s="25" t="str">
        <f t="shared" ca="1" si="31"/>
        <v>Activo</v>
      </c>
      <c r="L409" s="25" t="s">
        <v>49</v>
      </c>
      <c r="O409" s="26"/>
      <c r="P409" s="26" t="s">
        <v>22</v>
      </c>
      <c r="Q409" s="34">
        <v>365</v>
      </c>
      <c r="R409" s="25" t="s">
        <v>69</v>
      </c>
      <c r="S409" s="29">
        <v>46198</v>
      </c>
      <c r="T409" s="28">
        <f t="shared" si="32"/>
        <v>46563</v>
      </c>
      <c r="U409" s="25">
        <f t="shared" ca="1" si="33"/>
        <v>302</v>
      </c>
      <c r="V409" s="25" t="str">
        <f t="shared" ca="1" si="34"/>
        <v>AL DÍA</v>
      </c>
      <c r="W409" s="25" t="s">
        <v>24</v>
      </c>
      <c r="X409" s="25" t="s">
        <v>277</v>
      </c>
      <c r="Y409" s="25">
        <v>1</v>
      </c>
    </row>
    <row r="410" spans="1:26" ht="14.25" hidden="1" customHeight="1" x14ac:dyDescent="0.15">
      <c r="A410" s="24" t="s">
        <v>296</v>
      </c>
      <c r="B410" s="24" t="s">
        <v>188</v>
      </c>
      <c r="C410" s="26">
        <v>603</v>
      </c>
      <c r="D410" s="24" t="s">
        <v>65</v>
      </c>
      <c r="F410" s="24" t="s">
        <v>217</v>
      </c>
      <c r="G410" s="21">
        <v>1987</v>
      </c>
      <c r="H410" s="21">
        <v>0</v>
      </c>
      <c r="I410" s="21">
        <f t="shared" ca="1" si="30"/>
        <v>39</v>
      </c>
      <c r="J410" s="21">
        <v>3</v>
      </c>
      <c r="K410" s="25" t="str">
        <f t="shared" ca="1" si="31"/>
        <v>Activo</v>
      </c>
      <c r="L410" s="25" t="s">
        <v>49</v>
      </c>
      <c r="O410" s="25">
        <v>62.64</v>
      </c>
      <c r="Q410" s="34">
        <v>365</v>
      </c>
      <c r="R410" s="25" t="s">
        <v>64</v>
      </c>
      <c r="S410" s="28">
        <v>46198</v>
      </c>
      <c r="T410" s="28">
        <f t="shared" si="32"/>
        <v>46563</v>
      </c>
      <c r="U410" s="25">
        <f t="shared" ca="1" si="33"/>
        <v>302</v>
      </c>
      <c r="V410" s="25" t="str">
        <f t="shared" ca="1" si="34"/>
        <v>AL DÍA</v>
      </c>
      <c r="W410" s="25" t="s">
        <v>24</v>
      </c>
      <c r="X410" s="25" t="s">
        <v>262</v>
      </c>
      <c r="Y410" s="25">
        <v>2</v>
      </c>
    </row>
    <row r="411" spans="1:26" ht="14.25" hidden="1" customHeight="1" x14ac:dyDescent="0.15">
      <c r="A411" s="24" t="s">
        <v>296</v>
      </c>
      <c r="B411" s="24" t="s">
        <v>188</v>
      </c>
      <c r="C411" s="26">
        <v>603</v>
      </c>
      <c r="D411" s="24" t="s">
        <v>65</v>
      </c>
      <c r="F411" s="24" t="s">
        <v>218</v>
      </c>
      <c r="G411" s="21">
        <v>1987</v>
      </c>
      <c r="H411" s="21">
        <v>0</v>
      </c>
      <c r="I411" s="21">
        <f t="shared" ca="1" si="30"/>
        <v>39</v>
      </c>
      <c r="J411" s="21">
        <v>3</v>
      </c>
      <c r="K411" s="25" t="str">
        <f t="shared" ca="1" si="31"/>
        <v>Activo</v>
      </c>
      <c r="L411" s="25" t="s">
        <v>49</v>
      </c>
      <c r="O411" s="25" t="s">
        <v>227</v>
      </c>
      <c r="Q411" s="34">
        <v>365</v>
      </c>
      <c r="R411" s="25" t="s">
        <v>64</v>
      </c>
      <c r="S411" s="28">
        <v>46198</v>
      </c>
      <c r="T411" s="28">
        <f t="shared" si="32"/>
        <v>46563</v>
      </c>
      <c r="U411" s="25">
        <f t="shared" ca="1" si="33"/>
        <v>302</v>
      </c>
      <c r="V411" s="25" t="str">
        <f t="shared" ca="1" si="34"/>
        <v>AL DÍA</v>
      </c>
      <c r="W411" s="25" t="s">
        <v>24</v>
      </c>
      <c r="X411" s="25" t="s">
        <v>262</v>
      </c>
      <c r="Y411" s="25">
        <v>2</v>
      </c>
    </row>
    <row r="412" spans="1:26" ht="14.25" hidden="1" customHeight="1" x14ac:dyDescent="0.15">
      <c r="A412" s="24" t="s">
        <v>296</v>
      </c>
      <c r="B412" s="24" t="s">
        <v>188</v>
      </c>
      <c r="C412" s="26">
        <v>603</v>
      </c>
      <c r="D412" s="24" t="s">
        <v>16</v>
      </c>
      <c r="F412" s="24" t="s">
        <v>219</v>
      </c>
      <c r="G412" s="21">
        <v>2018</v>
      </c>
      <c r="H412" s="21">
        <v>15</v>
      </c>
      <c r="I412" s="21">
        <f t="shared" ca="1" si="30"/>
        <v>8</v>
      </c>
      <c r="J412" s="21">
        <v>3</v>
      </c>
      <c r="K412" s="25" t="str">
        <f t="shared" ca="1" si="31"/>
        <v>Activo</v>
      </c>
      <c r="L412" s="25" t="s">
        <v>223</v>
      </c>
      <c r="M412" s="25" t="s">
        <v>233</v>
      </c>
      <c r="O412" s="25" t="s">
        <v>221</v>
      </c>
      <c r="P412" s="25" t="s">
        <v>49</v>
      </c>
      <c r="Q412" s="34">
        <v>365</v>
      </c>
      <c r="R412" s="25" t="s">
        <v>64</v>
      </c>
      <c r="S412" s="28">
        <v>46198</v>
      </c>
      <c r="T412" s="28">
        <f t="shared" si="32"/>
        <v>46563</v>
      </c>
      <c r="U412" s="25">
        <f t="shared" ca="1" si="33"/>
        <v>302</v>
      </c>
      <c r="V412" s="25" t="str">
        <f t="shared" ca="1" si="34"/>
        <v>AL DÍA</v>
      </c>
      <c r="W412" s="25" t="s">
        <v>24</v>
      </c>
      <c r="X412" s="25" t="s">
        <v>271</v>
      </c>
      <c r="Y412" s="25">
        <v>2</v>
      </c>
      <c r="Z412" s="1" t="s">
        <v>303</v>
      </c>
    </row>
    <row r="413" spans="1:26" ht="14.25" hidden="1" customHeight="1" x14ac:dyDescent="0.15">
      <c r="A413" s="24" t="s">
        <v>296</v>
      </c>
      <c r="B413" s="24" t="s">
        <v>188</v>
      </c>
      <c r="C413" s="26">
        <v>603</v>
      </c>
      <c r="D413" s="24" t="s">
        <v>16</v>
      </c>
      <c r="F413" s="24" t="s">
        <v>224</v>
      </c>
      <c r="G413" s="71"/>
      <c r="H413" s="21">
        <v>0</v>
      </c>
      <c r="I413" s="21">
        <f t="shared" ca="1" si="30"/>
        <v>2026</v>
      </c>
      <c r="J413" s="21">
        <v>3</v>
      </c>
      <c r="K413" s="25" t="str">
        <f t="shared" ca="1" si="31"/>
        <v>Activo</v>
      </c>
      <c r="Q413" s="34">
        <v>365</v>
      </c>
      <c r="R413" s="25" t="s">
        <v>64</v>
      </c>
      <c r="S413" s="28">
        <v>46198</v>
      </c>
      <c r="T413" s="28">
        <f t="shared" si="32"/>
        <v>46563</v>
      </c>
      <c r="U413" s="25">
        <f t="shared" ca="1" si="33"/>
        <v>302</v>
      </c>
      <c r="V413" s="25" t="str">
        <f t="shared" ca="1" si="34"/>
        <v>AL DÍA</v>
      </c>
      <c r="W413" s="25" t="s">
        <v>24</v>
      </c>
      <c r="X413" s="25" t="s">
        <v>271</v>
      </c>
      <c r="Y413" s="25">
        <v>2</v>
      </c>
    </row>
    <row r="414" spans="1:26" ht="14.25" hidden="1" customHeight="1" x14ac:dyDescent="0.15">
      <c r="A414" s="24" t="s">
        <v>296</v>
      </c>
      <c r="B414" s="24" t="s">
        <v>188</v>
      </c>
      <c r="C414" s="26">
        <v>603</v>
      </c>
      <c r="D414" s="24" t="s">
        <v>65</v>
      </c>
      <c r="F414" s="24" t="s">
        <v>220</v>
      </c>
      <c r="G414" s="21">
        <v>1987</v>
      </c>
      <c r="H414" s="21">
        <v>0</v>
      </c>
      <c r="I414" s="21">
        <f t="shared" ca="1" si="30"/>
        <v>39</v>
      </c>
      <c r="J414" s="21">
        <v>3</v>
      </c>
      <c r="K414" s="25" t="str">
        <f t="shared" ca="1" si="31"/>
        <v>Activo</v>
      </c>
      <c r="L414" s="25" t="s">
        <v>49</v>
      </c>
      <c r="O414" s="25" t="s">
        <v>222</v>
      </c>
      <c r="Q414" s="34">
        <v>365</v>
      </c>
      <c r="R414" s="25" t="s">
        <v>64</v>
      </c>
      <c r="S414" s="28">
        <v>46198</v>
      </c>
      <c r="T414" s="28">
        <f t="shared" si="32"/>
        <v>46563</v>
      </c>
      <c r="U414" s="25">
        <f t="shared" ca="1" si="33"/>
        <v>302</v>
      </c>
      <c r="V414" s="25" t="str">
        <f t="shared" ca="1" si="34"/>
        <v>AL DÍA</v>
      </c>
      <c r="W414" s="25" t="s">
        <v>24</v>
      </c>
      <c r="X414" s="25" t="s">
        <v>262</v>
      </c>
      <c r="Y414" s="25">
        <v>2</v>
      </c>
    </row>
    <row r="415" spans="1:26" ht="14.25" hidden="1" customHeight="1" x14ac:dyDescent="0.15">
      <c r="A415" s="24" t="s">
        <v>296</v>
      </c>
      <c r="B415" s="24" t="s">
        <v>188</v>
      </c>
      <c r="C415" s="26">
        <v>604</v>
      </c>
      <c r="D415" s="24" t="s">
        <v>65</v>
      </c>
      <c r="F415" s="24" t="s">
        <v>215</v>
      </c>
      <c r="G415" s="21">
        <v>1987</v>
      </c>
      <c r="H415" s="21">
        <v>0</v>
      </c>
      <c r="I415" s="21">
        <f t="shared" ca="1" si="30"/>
        <v>39</v>
      </c>
      <c r="J415" s="21">
        <v>3</v>
      </c>
      <c r="K415" s="25" t="str">
        <f t="shared" ca="1" si="31"/>
        <v>Activo</v>
      </c>
      <c r="L415" s="25" t="s">
        <v>49</v>
      </c>
      <c r="M415" s="25" t="s">
        <v>49</v>
      </c>
      <c r="P415" s="25" t="s">
        <v>22</v>
      </c>
      <c r="Q415" s="34">
        <v>365</v>
      </c>
      <c r="R415" s="25" t="s">
        <v>64</v>
      </c>
      <c r="S415" s="28">
        <v>46198</v>
      </c>
      <c r="T415" s="28">
        <f t="shared" si="32"/>
        <v>46563</v>
      </c>
      <c r="U415" s="25">
        <f t="shared" ca="1" si="33"/>
        <v>302</v>
      </c>
      <c r="V415" s="25" t="str">
        <f t="shared" ca="1" si="34"/>
        <v>AL DÍA</v>
      </c>
      <c r="W415" s="25" t="s">
        <v>24</v>
      </c>
      <c r="X415" s="25" t="s">
        <v>271</v>
      </c>
      <c r="Y415" s="25">
        <v>2</v>
      </c>
    </row>
    <row r="416" spans="1:26" ht="14.25" hidden="1" customHeight="1" x14ac:dyDescent="0.15">
      <c r="A416" s="24" t="s">
        <v>296</v>
      </c>
      <c r="B416" s="24" t="s">
        <v>188</v>
      </c>
      <c r="C416" s="26">
        <v>604</v>
      </c>
      <c r="D416" s="24" t="s">
        <v>65</v>
      </c>
      <c r="F416" s="24" t="s">
        <v>216</v>
      </c>
      <c r="G416" s="21">
        <v>1987</v>
      </c>
      <c r="H416" s="21">
        <v>0</v>
      </c>
      <c r="I416" s="21">
        <f t="shared" ca="1" si="30"/>
        <v>39</v>
      </c>
      <c r="J416" s="21">
        <v>3</v>
      </c>
      <c r="K416" s="25" t="str">
        <f t="shared" ca="1" si="31"/>
        <v>Activo</v>
      </c>
      <c r="L416" s="25" t="s">
        <v>49</v>
      </c>
      <c r="O416" s="26"/>
      <c r="P416" s="26" t="s">
        <v>22</v>
      </c>
      <c r="Q416" s="34">
        <v>365</v>
      </c>
      <c r="R416" s="25" t="s">
        <v>69</v>
      </c>
      <c r="S416" s="29">
        <v>46198</v>
      </c>
      <c r="T416" s="28">
        <f t="shared" si="32"/>
        <v>46563</v>
      </c>
      <c r="U416" s="25">
        <f t="shared" ca="1" si="33"/>
        <v>302</v>
      </c>
      <c r="V416" s="25" t="str">
        <f t="shared" ca="1" si="34"/>
        <v>AL DÍA</v>
      </c>
      <c r="W416" s="25" t="s">
        <v>24</v>
      </c>
      <c r="X416" s="25" t="s">
        <v>277</v>
      </c>
      <c r="Y416" s="25">
        <v>1</v>
      </c>
    </row>
    <row r="417" spans="1:26" ht="14.25" hidden="1" customHeight="1" x14ac:dyDescent="0.15">
      <c r="A417" s="24" t="s">
        <v>296</v>
      </c>
      <c r="B417" s="24" t="s">
        <v>188</v>
      </c>
      <c r="C417" s="26">
        <v>604</v>
      </c>
      <c r="D417" s="24" t="s">
        <v>65</v>
      </c>
      <c r="F417" s="24" t="s">
        <v>217</v>
      </c>
      <c r="G417" s="21">
        <v>1987</v>
      </c>
      <c r="H417" s="21">
        <v>0</v>
      </c>
      <c r="I417" s="21">
        <f t="shared" ca="1" si="30"/>
        <v>39</v>
      </c>
      <c r="J417" s="21">
        <v>3</v>
      </c>
      <c r="K417" s="25" t="str">
        <f t="shared" ca="1" si="31"/>
        <v>Activo</v>
      </c>
      <c r="L417" s="25" t="s">
        <v>49</v>
      </c>
      <c r="O417" s="25">
        <v>62.64</v>
      </c>
      <c r="Q417" s="34">
        <v>365</v>
      </c>
      <c r="R417" s="25" t="s">
        <v>64</v>
      </c>
      <c r="S417" s="28">
        <v>46198</v>
      </c>
      <c r="T417" s="28">
        <f t="shared" si="32"/>
        <v>46563</v>
      </c>
      <c r="U417" s="25">
        <f t="shared" ca="1" si="33"/>
        <v>302</v>
      </c>
      <c r="V417" s="25" t="str">
        <f t="shared" ca="1" si="34"/>
        <v>AL DÍA</v>
      </c>
      <c r="W417" s="25" t="s">
        <v>24</v>
      </c>
      <c r="X417" s="25" t="s">
        <v>262</v>
      </c>
      <c r="Y417" s="25">
        <v>2</v>
      </c>
    </row>
    <row r="418" spans="1:26" ht="14.25" hidden="1" customHeight="1" x14ac:dyDescent="0.15">
      <c r="A418" s="24" t="s">
        <v>296</v>
      </c>
      <c r="B418" s="24" t="s">
        <v>188</v>
      </c>
      <c r="C418" s="26">
        <v>604</v>
      </c>
      <c r="D418" s="24" t="s">
        <v>65</v>
      </c>
      <c r="F418" s="24" t="s">
        <v>218</v>
      </c>
      <c r="G418" s="21">
        <v>1987</v>
      </c>
      <c r="H418" s="21">
        <v>0</v>
      </c>
      <c r="I418" s="21">
        <f t="shared" ca="1" si="30"/>
        <v>39</v>
      </c>
      <c r="J418" s="21">
        <v>3</v>
      </c>
      <c r="K418" s="25" t="str">
        <f t="shared" ca="1" si="31"/>
        <v>Activo</v>
      </c>
      <c r="L418" s="25" t="s">
        <v>49</v>
      </c>
      <c r="O418" s="25" t="s">
        <v>227</v>
      </c>
      <c r="P418" s="26"/>
      <c r="Q418" s="34">
        <v>365</v>
      </c>
      <c r="R418" s="25" t="s">
        <v>64</v>
      </c>
      <c r="S418" s="28">
        <v>46198</v>
      </c>
      <c r="T418" s="28">
        <f t="shared" si="32"/>
        <v>46563</v>
      </c>
      <c r="U418" s="25">
        <f t="shared" ca="1" si="33"/>
        <v>302</v>
      </c>
      <c r="V418" s="25" t="str">
        <f t="shared" ca="1" si="34"/>
        <v>AL DÍA</v>
      </c>
      <c r="W418" s="25" t="s">
        <v>24</v>
      </c>
      <c r="X418" s="25" t="s">
        <v>262</v>
      </c>
      <c r="Y418" s="25">
        <v>2</v>
      </c>
    </row>
    <row r="419" spans="1:26" ht="14.25" hidden="1" customHeight="1" x14ac:dyDescent="0.15">
      <c r="A419" s="24" t="s">
        <v>296</v>
      </c>
      <c r="B419" s="24" t="s">
        <v>188</v>
      </c>
      <c r="C419" s="26">
        <v>604</v>
      </c>
      <c r="D419" s="24" t="s">
        <v>16</v>
      </c>
      <c r="F419" s="24" t="s">
        <v>219</v>
      </c>
      <c r="G419" s="21">
        <v>2018</v>
      </c>
      <c r="H419" s="21">
        <v>15</v>
      </c>
      <c r="I419" s="21">
        <f t="shared" ca="1" si="30"/>
        <v>8</v>
      </c>
      <c r="J419" s="21">
        <v>3</v>
      </c>
      <c r="K419" s="25" t="str">
        <f t="shared" ca="1" si="31"/>
        <v>Activo</v>
      </c>
      <c r="L419" s="25" t="s">
        <v>223</v>
      </c>
      <c r="M419" s="25" t="s">
        <v>233</v>
      </c>
      <c r="O419" s="25" t="s">
        <v>221</v>
      </c>
      <c r="P419" s="26" t="s">
        <v>49</v>
      </c>
      <c r="Q419" s="34">
        <v>365</v>
      </c>
      <c r="R419" s="25" t="s">
        <v>64</v>
      </c>
      <c r="S419" s="28">
        <v>46198</v>
      </c>
      <c r="T419" s="28">
        <f t="shared" si="32"/>
        <v>46563</v>
      </c>
      <c r="U419" s="25">
        <f t="shared" ca="1" si="33"/>
        <v>302</v>
      </c>
      <c r="V419" s="25" t="str">
        <f t="shared" ca="1" si="34"/>
        <v>AL DÍA</v>
      </c>
      <c r="W419" s="25" t="s">
        <v>24</v>
      </c>
      <c r="X419" s="25" t="s">
        <v>271</v>
      </c>
      <c r="Y419" s="25">
        <v>2</v>
      </c>
      <c r="Z419" s="1" t="s">
        <v>303</v>
      </c>
    </row>
    <row r="420" spans="1:26" ht="14.25" hidden="1" customHeight="1" x14ac:dyDescent="0.15">
      <c r="A420" s="24" t="s">
        <v>296</v>
      </c>
      <c r="B420" s="24" t="s">
        <v>188</v>
      </c>
      <c r="C420" s="26">
        <v>604</v>
      </c>
      <c r="D420" s="24" t="s">
        <v>16</v>
      </c>
      <c r="F420" s="24" t="s">
        <v>224</v>
      </c>
      <c r="G420" s="71"/>
      <c r="H420" s="21">
        <v>0</v>
      </c>
      <c r="I420" s="21">
        <f t="shared" ca="1" si="30"/>
        <v>2026</v>
      </c>
      <c r="J420" s="21">
        <v>3</v>
      </c>
      <c r="K420" s="25" t="str">
        <f t="shared" ca="1" si="31"/>
        <v>Activo</v>
      </c>
      <c r="Q420" s="34">
        <v>365</v>
      </c>
      <c r="R420" s="25" t="s">
        <v>64</v>
      </c>
      <c r="S420" s="28">
        <v>46198</v>
      </c>
      <c r="T420" s="28">
        <f t="shared" si="32"/>
        <v>46563</v>
      </c>
      <c r="U420" s="25">
        <f t="shared" ca="1" si="33"/>
        <v>302</v>
      </c>
      <c r="V420" s="25" t="str">
        <f t="shared" ca="1" si="34"/>
        <v>AL DÍA</v>
      </c>
      <c r="W420" s="25" t="s">
        <v>24</v>
      </c>
      <c r="X420" s="25" t="s">
        <v>271</v>
      </c>
      <c r="Y420" s="25">
        <v>2</v>
      </c>
    </row>
    <row r="421" spans="1:26" ht="14.25" hidden="1" customHeight="1" x14ac:dyDescent="0.15">
      <c r="A421" s="24" t="s">
        <v>296</v>
      </c>
      <c r="B421" s="24" t="s">
        <v>188</v>
      </c>
      <c r="C421" s="26">
        <v>604</v>
      </c>
      <c r="D421" s="24" t="s">
        <v>65</v>
      </c>
      <c r="F421" s="24" t="s">
        <v>220</v>
      </c>
      <c r="G421" s="21">
        <v>1987</v>
      </c>
      <c r="H421" s="21">
        <v>0</v>
      </c>
      <c r="I421" s="21">
        <f t="shared" ca="1" si="30"/>
        <v>39</v>
      </c>
      <c r="J421" s="21">
        <v>3</v>
      </c>
      <c r="K421" s="25" t="str">
        <f t="shared" ca="1" si="31"/>
        <v>Activo</v>
      </c>
      <c r="L421" s="25" t="s">
        <v>49</v>
      </c>
      <c r="O421" s="25" t="s">
        <v>222</v>
      </c>
      <c r="P421" s="26"/>
      <c r="Q421" s="34">
        <v>365</v>
      </c>
      <c r="R421" s="25" t="s">
        <v>64</v>
      </c>
      <c r="S421" s="28">
        <v>46198</v>
      </c>
      <c r="T421" s="28">
        <f t="shared" si="32"/>
        <v>46563</v>
      </c>
      <c r="U421" s="25">
        <f t="shared" ca="1" si="33"/>
        <v>302</v>
      </c>
      <c r="V421" s="25" t="str">
        <f t="shared" ca="1" si="34"/>
        <v>AL DÍA</v>
      </c>
      <c r="W421" s="25" t="s">
        <v>24</v>
      </c>
      <c r="X421" s="25" t="s">
        <v>262</v>
      </c>
      <c r="Y421" s="25">
        <v>2</v>
      </c>
    </row>
    <row r="422" spans="1:26" ht="14.25" hidden="1" customHeight="1" x14ac:dyDescent="0.15">
      <c r="A422" s="24" t="s">
        <v>296</v>
      </c>
      <c r="B422" s="24" t="s">
        <v>188</v>
      </c>
      <c r="C422" s="25">
        <v>606</v>
      </c>
      <c r="D422" s="24" t="s">
        <v>65</v>
      </c>
      <c r="F422" s="24" t="s">
        <v>215</v>
      </c>
      <c r="G422" s="21">
        <v>1987</v>
      </c>
      <c r="H422" s="21">
        <v>0</v>
      </c>
      <c r="I422" s="21">
        <f t="shared" ca="1" si="30"/>
        <v>39</v>
      </c>
      <c r="J422" s="21">
        <v>3</v>
      </c>
      <c r="K422" s="25" t="str">
        <f t="shared" ca="1" si="31"/>
        <v>Activo</v>
      </c>
      <c r="L422" s="25" t="s">
        <v>49</v>
      </c>
      <c r="M422" s="25" t="s">
        <v>49</v>
      </c>
      <c r="P422" s="26" t="s">
        <v>22</v>
      </c>
      <c r="Q422" s="34">
        <v>365</v>
      </c>
      <c r="R422" s="25" t="s">
        <v>64</v>
      </c>
      <c r="S422" s="28">
        <v>46198</v>
      </c>
      <c r="T422" s="28">
        <f t="shared" si="32"/>
        <v>46563</v>
      </c>
      <c r="U422" s="25">
        <f t="shared" ca="1" si="33"/>
        <v>302</v>
      </c>
      <c r="V422" s="25" t="str">
        <f t="shared" ca="1" si="34"/>
        <v>AL DÍA</v>
      </c>
      <c r="W422" s="25" t="s">
        <v>24</v>
      </c>
      <c r="X422" s="25" t="s">
        <v>271</v>
      </c>
      <c r="Y422" s="25">
        <v>2</v>
      </c>
    </row>
    <row r="423" spans="1:26" ht="14.25" hidden="1" customHeight="1" x14ac:dyDescent="0.15">
      <c r="A423" s="24" t="s">
        <v>296</v>
      </c>
      <c r="B423" s="24" t="s">
        <v>188</v>
      </c>
      <c r="C423" s="25">
        <v>606</v>
      </c>
      <c r="D423" s="24" t="s">
        <v>65</v>
      </c>
      <c r="F423" s="24" t="s">
        <v>216</v>
      </c>
      <c r="G423" s="21">
        <v>1987</v>
      </c>
      <c r="H423" s="21">
        <v>0</v>
      </c>
      <c r="I423" s="21">
        <f t="shared" ca="1" si="30"/>
        <v>39</v>
      </c>
      <c r="J423" s="21">
        <v>3</v>
      </c>
      <c r="K423" s="25" t="str">
        <f t="shared" ca="1" si="31"/>
        <v>Activo</v>
      </c>
      <c r="L423" s="25" t="s">
        <v>49</v>
      </c>
      <c r="O423" s="26"/>
      <c r="P423" s="26" t="s">
        <v>22</v>
      </c>
      <c r="Q423" s="34">
        <v>365</v>
      </c>
      <c r="R423" s="25" t="s">
        <v>69</v>
      </c>
      <c r="S423" s="31">
        <v>46198</v>
      </c>
      <c r="T423" s="28">
        <f t="shared" si="32"/>
        <v>46563</v>
      </c>
      <c r="U423" s="25">
        <f t="shared" ca="1" si="33"/>
        <v>302</v>
      </c>
      <c r="V423" s="25" t="str">
        <f t="shared" ca="1" si="34"/>
        <v>AL DÍA</v>
      </c>
      <c r="W423" s="25" t="s">
        <v>24</v>
      </c>
      <c r="X423" s="25" t="s">
        <v>277</v>
      </c>
      <c r="Y423" s="25">
        <v>1</v>
      </c>
    </row>
    <row r="424" spans="1:26" ht="14.25" hidden="1" customHeight="1" x14ac:dyDescent="0.15">
      <c r="A424" s="24" t="s">
        <v>296</v>
      </c>
      <c r="B424" s="24" t="s">
        <v>188</v>
      </c>
      <c r="C424" s="25">
        <v>606</v>
      </c>
      <c r="D424" s="24" t="s">
        <v>65</v>
      </c>
      <c r="F424" s="24" t="s">
        <v>217</v>
      </c>
      <c r="G424" s="21">
        <v>1987</v>
      </c>
      <c r="H424" s="21">
        <v>0</v>
      </c>
      <c r="I424" s="21">
        <f t="shared" ca="1" si="30"/>
        <v>39</v>
      </c>
      <c r="J424" s="21">
        <v>3</v>
      </c>
      <c r="K424" s="25" t="str">
        <f t="shared" ca="1" si="31"/>
        <v>Activo</v>
      </c>
      <c r="L424" s="25" t="s">
        <v>49</v>
      </c>
      <c r="O424" s="25">
        <v>62.64</v>
      </c>
      <c r="P424" s="26"/>
      <c r="Q424" s="34">
        <v>365</v>
      </c>
      <c r="R424" s="25" t="s">
        <v>64</v>
      </c>
      <c r="S424" s="28">
        <v>46198</v>
      </c>
      <c r="T424" s="28">
        <f t="shared" si="32"/>
        <v>46563</v>
      </c>
      <c r="U424" s="25">
        <f t="shared" ca="1" si="33"/>
        <v>302</v>
      </c>
      <c r="V424" s="25" t="str">
        <f t="shared" ca="1" si="34"/>
        <v>AL DÍA</v>
      </c>
      <c r="W424" s="25" t="s">
        <v>24</v>
      </c>
      <c r="X424" s="25" t="s">
        <v>262</v>
      </c>
      <c r="Y424" s="25">
        <v>2</v>
      </c>
    </row>
    <row r="425" spans="1:26" ht="14.25" hidden="1" customHeight="1" x14ac:dyDescent="0.15">
      <c r="A425" s="24" t="s">
        <v>296</v>
      </c>
      <c r="B425" s="24" t="s">
        <v>188</v>
      </c>
      <c r="C425" s="25">
        <v>606</v>
      </c>
      <c r="D425" s="24" t="s">
        <v>65</v>
      </c>
      <c r="F425" s="24" t="s">
        <v>218</v>
      </c>
      <c r="G425" s="21">
        <v>1987</v>
      </c>
      <c r="H425" s="21">
        <v>0</v>
      </c>
      <c r="I425" s="21">
        <f t="shared" ca="1" si="30"/>
        <v>39</v>
      </c>
      <c r="J425" s="21">
        <v>3</v>
      </c>
      <c r="K425" s="25" t="str">
        <f t="shared" ca="1" si="31"/>
        <v>Activo</v>
      </c>
      <c r="L425" s="25" t="s">
        <v>49</v>
      </c>
      <c r="O425" s="25" t="s">
        <v>227</v>
      </c>
      <c r="P425" s="26"/>
      <c r="Q425" s="34">
        <v>365</v>
      </c>
      <c r="R425" s="25" t="s">
        <v>64</v>
      </c>
      <c r="S425" s="28">
        <v>46198</v>
      </c>
      <c r="T425" s="28">
        <f t="shared" si="32"/>
        <v>46563</v>
      </c>
      <c r="U425" s="25">
        <f t="shared" ca="1" si="33"/>
        <v>302</v>
      </c>
      <c r="V425" s="25" t="str">
        <f t="shared" ca="1" si="34"/>
        <v>AL DÍA</v>
      </c>
      <c r="W425" s="25" t="s">
        <v>24</v>
      </c>
      <c r="X425" s="25" t="s">
        <v>262</v>
      </c>
      <c r="Y425" s="25">
        <v>2</v>
      </c>
    </row>
    <row r="426" spans="1:26" ht="14.25" hidden="1" customHeight="1" x14ac:dyDescent="0.15">
      <c r="A426" s="24" t="s">
        <v>296</v>
      </c>
      <c r="B426" s="24" t="s">
        <v>188</v>
      </c>
      <c r="C426" s="25">
        <v>606</v>
      </c>
      <c r="D426" s="24" t="s">
        <v>16</v>
      </c>
      <c r="F426" s="24" t="s">
        <v>219</v>
      </c>
      <c r="G426" s="21">
        <v>2018</v>
      </c>
      <c r="H426" s="21">
        <v>15</v>
      </c>
      <c r="I426" s="21">
        <f t="shared" ca="1" si="30"/>
        <v>8</v>
      </c>
      <c r="J426" s="21">
        <v>3</v>
      </c>
      <c r="K426" s="25" t="str">
        <f t="shared" ca="1" si="31"/>
        <v>Activo</v>
      </c>
      <c r="L426" s="25" t="s">
        <v>223</v>
      </c>
      <c r="M426" s="25" t="s">
        <v>233</v>
      </c>
      <c r="O426" s="25" t="s">
        <v>221</v>
      </c>
      <c r="P426" s="25" t="s">
        <v>49</v>
      </c>
      <c r="Q426" s="34">
        <v>365</v>
      </c>
      <c r="R426" s="25" t="s">
        <v>64</v>
      </c>
      <c r="S426" s="28">
        <v>46198</v>
      </c>
      <c r="T426" s="28">
        <f t="shared" si="32"/>
        <v>46563</v>
      </c>
      <c r="U426" s="25">
        <f t="shared" ca="1" si="33"/>
        <v>302</v>
      </c>
      <c r="V426" s="25" t="str">
        <f t="shared" ca="1" si="34"/>
        <v>AL DÍA</v>
      </c>
      <c r="W426" s="25" t="s">
        <v>24</v>
      </c>
      <c r="X426" s="25" t="s">
        <v>271</v>
      </c>
      <c r="Y426" s="25">
        <v>2</v>
      </c>
      <c r="Z426" s="1" t="s">
        <v>303</v>
      </c>
    </row>
    <row r="427" spans="1:26" ht="14.25" hidden="1" customHeight="1" x14ac:dyDescent="0.15">
      <c r="A427" s="24" t="s">
        <v>296</v>
      </c>
      <c r="B427" s="24" t="s">
        <v>188</v>
      </c>
      <c r="C427" s="25">
        <v>606</v>
      </c>
      <c r="D427" s="24" t="s">
        <v>16</v>
      </c>
      <c r="F427" s="24" t="s">
        <v>224</v>
      </c>
      <c r="G427" s="71"/>
      <c r="H427" s="21">
        <v>0</v>
      </c>
      <c r="I427" s="21">
        <f t="shared" ca="1" si="30"/>
        <v>2026</v>
      </c>
      <c r="J427" s="21">
        <v>3</v>
      </c>
      <c r="K427" s="25" t="str">
        <f t="shared" ca="1" si="31"/>
        <v>Activo</v>
      </c>
      <c r="Q427" s="34">
        <v>365</v>
      </c>
      <c r="R427" s="25" t="s">
        <v>64</v>
      </c>
      <c r="S427" s="28">
        <v>46198</v>
      </c>
      <c r="T427" s="28">
        <f t="shared" si="32"/>
        <v>46563</v>
      </c>
      <c r="U427" s="25">
        <f t="shared" ca="1" si="33"/>
        <v>302</v>
      </c>
      <c r="V427" s="25" t="str">
        <f t="shared" ca="1" si="34"/>
        <v>AL DÍA</v>
      </c>
      <c r="W427" s="25" t="s">
        <v>24</v>
      </c>
      <c r="X427" s="25" t="s">
        <v>271</v>
      </c>
      <c r="Y427" s="25">
        <v>2</v>
      </c>
    </row>
    <row r="428" spans="1:26" ht="14.25" hidden="1" customHeight="1" x14ac:dyDescent="0.15">
      <c r="A428" s="24" t="s">
        <v>296</v>
      </c>
      <c r="B428" s="24" t="s">
        <v>188</v>
      </c>
      <c r="C428" s="25">
        <v>606</v>
      </c>
      <c r="D428" s="24" t="s">
        <v>65</v>
      </c>
      <c r="F428" s="24" t="s">
        <v>220</v>
      </c>
      <c r="G428" s="21">
        <v>1987</v>
      </c>
      <c r="H428" s="21">
        <v>0</v>
      </c>
      <c r="I428" s="21">
        <f t="shared" ca="1" si="30"/>
        <v>39</v>
      </c>
      <c r="J428" s="21">
        <v>3</v>
      </c>
      <c r="K428" s="25" t="str">
        <f t="shared" ca="1" si="31"/>
        <v>Activo</v>
      </c>
      <c r="L428" s="25" t="s">
        <v>49</v>
      </c>
      <c r="O428" s="26" t="s">
        <v>222</v>
      </c>
      <c r="P428" s="26"/>
      <c r="Q428" s="34">
        <v>365</v>
      </c>
      <c r="R428" s="25" t="s">
        <v>64</v>
      </c>
      <c r="S428" s="28">
        <v>46198</v>
      </c>
      <c r="T428" s="28">
        <f t="shared" si="32"/>
        <v>46563</v>
      </c>
      <c r="U428" s="25">
        <f t="shared" ca="1" si="33"/>
        <v>302</v>
      </c>
      <c r="V428" s="25" t="str">
        <f t="shared" ca="1" si="34"/>
        <v>AL DÍA</v>
      </c>
      <c r="W428" s="25" t="s">
        <v>24</v>
      </c>
      <c r="X428" s="25" t="s">
        <v>262</v>
      </c>
      <c r="Y428" s="25">
        <v>2</v>
      </c>
    </row>
    <row r="429" spans="1:26" ht="14.25" hidden="1" customHeight="1" x14ac:dyDescent="0.15">
      <c r="A429" s="24" t="s">
        <v>296</v>
      </c>
      <c r="B429" s="24" t="s">
        <v>188</v>
      </c>
      <c r="C429" s="25">
        <v>607</v>
      </c>
      <c r="D429" s="24" t="s">
        <v>65</v>
      </c>
      <c r="F429" s="24" t="s">
        <v>215</v>
      </c>
      <c r="G429" s="21">
        <v>1987</v>
      </c>
      <c r="H429" s="21">
        <v>0</v>
      </c>
      <c r="I429" s="21">
        <f t="shared" ca="1" si="30"/>
        <v>39</v>
      </c>
      <c r="J429" s="21">
        <v>3</v>
      </c>
      <c r="K429" s="25" t="str">
        <f t="shared" ca="1" si="31"/>
        <v>Activo</v>
      </c>
      <c r="L429" s="25" t="s">
        <v>49</v>
      </c>
      <c r="M429" s="25" t="s">
        <v>49</v>
      </c>
      <c r="P429" s="25" t="s">
        <v>22</v>
      </c>
      <c r="Q429" s="34">
        <v>365</v>
      </c>
      <c r="R429" s="25" t="s">
        <v>64</v>
      </c>
      <c r="S429" s="28">
        <v>46198</v>
      </c>
      <c r="T429" s="28">
        <f t="shared" si="32"/>
        <v>46563</v>
      </c>
      <c r="U429" s="25">
        <f t="shared" ca="1" si="33"/>
        <v>302</v>
      </c>
      <c r="V429" s="25" t="str">
        <f t="shared" ca="1" si="34"/>
        <v>AL DÍA</v>
      </c>
      <c r="W429" s="25" t="s">
        <v>24</v>
      </c>
      <c r="X429" s="25" t="s">
        <v>271</v>
      </c>
      <c r="Y429" s="25">
        <v>2</v>
      </c>
    </row>
    <row r="430" spans="1:26" ht="14.25" hidden="1" customHeight="1" x14ac:dyDescent="0.15">
      <c r="A430" s="24" t="s">
        <v>296</v>
      </c>
      <c r="B430" s="24" t="s">
        <v>188</v>
      </c>
      <c r="C430" s="25">
        <v>607</v>
      </c>
      <c r="D430" s="24" t="s">
        <v>65</v>
      </c>
      <c r="F430" s="24" t="s">
        <v>216</v>
      </c>
      <c r="G430" s="21">
        <v>1987</v>
      </c>
      <c r="H430" s="21">
        <v>0</v>
      </c>
      <c r="I430" s="21">
        <f t="shared" ca="1" si="30"/>
        <v>39</v>
      </c>
      <c r="J430" s="21">
        <v>3</v>
      </c>
      <c r="K430" s="25" t="str">
        <f t="shared" ca="1" si="31"/>
        <v>Activo</v>
      </c>
      <c r="L430" s="25" t="s">
        <v>49</v>
      </c>
      <c r="O430" s="26"/>
      <c r="P430" s="25" t="s">
        <v>22</v>
      </c>
      <c r="Q430" s="32">
        <v>365</v>
      </c>
      <c r="R430" s="25" t="s">
        <v>69</v>
      </c>
      <c r="S430" s="29">
        <v>46198</v>
      </c>
      <c r="T430" s="28">
        <f t="shared" si="32"/>
        <v>46563</v>
      </c>
      <c r="U430" s="25">
        <f t="shared" ca="1" si="33"/>
        <v>302</v>
      </c>
      <c r="V430" s="25" t="str">
        <f t="shared" ca="1" si="34"/>
        <v>AL DÍA</v>
      </c>
      <c r="W430" s="25" t="s">
        <v>24</v>
      </c>
      <c r="X430" s="25" t="s">
        <v>277</v>
      </c>
      <c r="Y430" s="25">
        <v>1</v>
      </c>
    </row>
    <row r="431" spans="1:26" ht="14.25" hidden="1" customHeight="1" x14ac:dyDescent="0.15">
      <c r="A431" s="24" t="s">
        <v>296</v>
      </c>
      <c r="B431" s="24" t="s">
        <v>188</v>
      </c>
      <c r="C431" s="25">
        <v>607</v>
      </c>
      <c r="D431" s="24" t="s">
        <v>65</v>
      </c>
      <c r="F431" s="24" t="s">
        <v>217</v>
      </c>
      <c r="G431" s="21">
        <v>1987</v>
      </c>
      <c r="H431" s="21">
        <v>0</v>
      </c>
      <c r="I431" s="21">
        <f t="shared" ca="1" si="30"/>
        <v>39</v>
      </c>
      <c r="J431" s="21">
        <v>3</v>
      </c>
      <c r="K431" s="25" t="str">
        <f t="shared" ca="1" si="31"/>
        <v>Activo</v>
      </c>
      <c r="L431" s="25" t="s">
        <v>49</v>
      </c>
      <c r="O431" s="26">
        <v>62.64</v>
      </c>
      <c r="Q431" s="34">
        <v>365</v>
      </c>
      <c r="R431" s="25" t="s">
        <v>64</v>
      </c>
      <c r="S431" s="28">
        <v>46198</v>
      </c>
      <c r="T431" s="28">
        <f t="shared" si="32"/>
        <v>46563</v>
      </c>
      <c r="U431" s="25">
        <f t="shared" ca="1" si="33"/>
        <v>302</v>
      </c>
      <c r="V431" s="25" t="str">
        <f t="shared" ca="1" si="34"/>
        <v>AL DÍA</v>
      </c>
      <c r="W431" s="25" t="s">
        <v>24</v>
      </c>
      <c r="X431" s="25" t="s">
        <v>262</v>
      </c>
      <c r="Y431" s="25">
        <v>2</v>
      </c>
    </row>
    <row r="432" spans="1:26" ht="14.25" hidden="1" customHeight="1" x14ac:dyDescent="0.15">
      <c r="A432" s="24" t="s">
        <v>296</v>
      </c>
      <c r="B432" s="24" t="s">
        <v>188</v>
      </c>
      <c r="C432" s="25">
        <v>607</v>
      </c>
      <c r="D432" s="24" t="s">
        <v>65</v>
      </c>
      <c r="F432" s="24" t="s">
        <v>218</v>
      </c>
      <c r="G432" s="21">
        <v>1987</v>
      </c>
      <c r="H432" s="21">
        <v>0</v>
      </c>
      <c r="I432" s="21">
        <f t="shared" ca="1" si="30"/>
        <v>39</v>
      </c>
      <c r="J432" s="21">
        <v>3</v>
      </c>
      <c r="K432" s="25" t="str">
        <f t="shared" ca="1" si="31"/>
        <v>Activo</v>
      </c>
      <c r="L432" s="25" t="s">
        <v>49</v>
      </c>
      <c r="O432" s="26" t="s">
        <v>227</v>
      </c>
      <c r="P432" s="26"/>
      <c r="Q432" s="34">
        <v>365</v>
      </c>
      <c r="R432" s="25" t="s">
        <v>64</v>
      </c>
      <c r="S432" s="28">
        <v>46198</v>
      </c>
      <c r="T432" s="28">
        <f t="shared" si="32"/>
        <v>46563</v>
      </c>
      <c r="U432" s="25">
        <f t="shared" ca="1" si="33"/>
        <v>302</v>
      </c>
      <c r="V432" s="25" t="str">
        <f t="shared" ca="1" si="34"/>
        <v>AL DÍA</v>
      </c>
      <c r="W432" s="25" t="s">
        <v>24</v>
      </c>
      <c r="X432" s="25" t="s">
        <v>262</v>
      </c>
      <c r="Y432" s="25">
        <v>2</v>
      </c>
    </row>
    <row r="433" spans="1:26" ht="14.25" hidden="1" customHeight="1" x14ac:dyDescent="0.15">
      <c r="A433" s="24" t="s">
        <v>296</v>
      </c>
      <c r="B433" s="24" t="s">
        <v>188</v>
      </c>
      <c r="C433" s="25">
        <v>607</v>
      </c>
      <c r="D433" s="24" t="s">
        <v>16</v>
      </c>
      <c r="F433" s="24" t="s">
        <v>219</v>
      </c>
      <c r="G433" s="21">
        <v>2018</v>
      </c>
      <c r="H433" s="21">
        <v>15</v>
      </c>
      <c r="I433" s="21">
        <f t="shared" ca="1" si="30"/>
        <v>8</v>
      </c>
      <c r="J433" s="21">
        <v>3</v>
      </c>
      <c r="K433" s="25" t="str">
        <f t="shared" ca="1" si="31"/>
        <v>Activo</v>
      </c>
      <c r="L433" s="25" t="s">
        <v>223</v>
      </c>
      <c r="M433" s="25" t="s">
        <v>233</v>
      </c>
      <c r="O433" s="26" t="s">
        <v>221</v>
      </c>
      <c r="P433" s="26" t="s">
        <v>49</v>
      </c>
      <c r="Q433" s="34">
        <v>365</v>
      </c>
      <c r="R433" s="25" t="s">
        <v>64</v>
      </c>
      <c r="S433" s="28">
        <v>46198</v>
      </c>
      <c r="T433" s="28">
        <f t="shared" si="32"/>
        <v>46563</v>
      </c>
      <c r="U433" s="25">
        <f t="shared" ca="1" si="33"/>
        <v>302</v>
      </c>
      <c r="V433" s="25" t="str">
        <f t="shared" ca="1" si="34"/>
        <v>AL DÍA</v>
      </c>
      <c r="W433" s="25" t="s">
        <v>24</v>
      </c>
      <c r="X433" s="25" t="s">
        <v>271</v>
      </c>
      <c r="Y433" s="25">
        <v>2</v>
      </c>
      <c r="Z433" s="1" t="s">
        <v>303</v>
      </c>
    </row>
    <row r="434" spans="1:26" ht="14.25" hidden="1" customHeight="1" x14ac:dyDescent="0.15">
      <c r="A434" s="24" t="s">
        <v>296</v>
      </c>
      <c r="B434" s="24" t="s">
        <v>188</v>
      </c>
      <c r="C434" s="25">
        <v>607</v>
      </c>
      <c r="D434" s="24" t="s">
        <v>16</v>
      </c>
      <c r="F434" s="24" t="s">
        <v>224</v>
      </c>
      <c r="G434" s="71"/>
      <c r="H434" s="21">
        <v>0</v>
      </c>
      <c r="I434" s="21">
        <f t="shared" ca="1" si="30"/>
        <v>2026</v>
      </c>
      <c r="J434" s="21">
        <v>3</v>
      </c>
      <c r="K434" s="25" t="str">
        <f t="shared" ca="1" si="31"/>
        <v>Activo</v>
      </c>
      <c r="O434" s="26"/>
      <c r="P434" s="26"/>
      <c r="Q434" s="34">
        <v>365</v>
      </c>
      <c r="R434" s="25" t="s">
        <v>64</v>
      </c>
      <c r="S434" s="28">
        <v>46198</v>
      </c>
      <c r="T434" s="28">
        <f t="shared" si="32"/>
        <v>46563</v>
      </c>
      <c r="U434" s="25">
        <f t="shared" ca="1" si="33"/>
        <v>302</v>
      </c>
      <c r="V434" s="25" t="str">
        <f t="shared" ca="1" si="34"/>
        <v>AL DÍA</v>
      </c>
      <c r="W434" s="25" t="s">
        <v>24</v>
      </c>
      <c r="X434" s="25" t="s">
        <v>271</v>
      </c>
      <c r="Y434" s="25">
        <v>2</v>
      </c>
    </row>
    <row r="435" spans="1:26" ht="14.25" hidden="1" customHeight="1" x14ac:dyDescent="0.15">
      <c r="A435" s="24" t="s">
        <v>296</v>
      </c>
      <c r="B435" s="24" t="s">
        <v>188</v>
      </c>
      <c r="C435" s="25">
        <v>607</v>
      </c>
      <c r="D435" s="24" t="s">
        <v>65</v>
      </c>
      <c r="F435" s="24" t="s">
        <v>220</v>
      </c>
      <c r="G435" s="21">
        <v>1987</v>
      </c>
      <c r="H435" s="21">
        <v>0</v>
      </c>
      <c r="I435" s="21">
        <f t="shared" ca="1" si="30"/>
        <v>39</v>
      </c>
      <c r="J435" s="21">
        <v>3</v>
      </c>
      <c r="K435" s="25" t="str">
        <f t="shared" ca="1" si="31"/>
        <v>Activo</v>
      </c>
      <c r="L435" s="25" t="s">
        <v>49</v>
      </c>
      <c r="O435" s="26" t="s">
        <v>222</v>
      </c>
      <c r="P435" s="26"/>
      <c r="Q435" s="34">
        <v>365</v>
      </c>
      <c r="R435" s="25" t="s">
        <v>64</v>
      </c>
      <c r="S435" s="28">
        <v>46198</v>
      </c>
      <c r="T435" s="28">
        <f t="shared" si="32"/>
        <v>46563</v>
      </c>
      <c r="U435" s="25">
        <f t="shared" ca="1" si="33"/>
        <v>302</v>
      </c>
      <c r="V435" s="25" t="str">
        <f t="shared" ca="1" si="34"/>
        <v>AL DÍA</v>
      </c>
      <c r="W435" s="25" t="s">
        <v>24</v>
      </c>
      <c r="X435" s="25" t="s">
        <v>262</v>
      </c>
      <c r="Y435" s="25">
        <v>2</v>
      </c>
    </row>
    <row r="436" spans="1:26" ht="14.25" hidden="1" customHeight="1" x14ac:dyDescent="0.15">
      <c r="A436" s="24" t="s">
        <v>296</v>
      </c>
      <c r="B436" s="24" t="s">
        <v>188</v>
      </c>
      <c r="C436" s="25">
        <v>608</v>
      </c>
      <c r="D436" s="24" t="s">
        <v>65</v>
      </c>
      <c r="F436" s="24" t="s">
        <v>215</v>
      </c>
      <c r="G436" s="21">
        <v>1987</v>
      </c>
      <c r="H436" s="21">
        <v>0</v>
      </c>
      <c r="I436" s="21">
        <f t="shared" ca="1" si="30"/>
        <v>39</v>
      </c>
      <c r="J436" s="21">
        <v>3</v>
      </c>
      <c r="K436" s="25" t="str">
        <f t="shared" ca="1" si="31"/>
        <v>Activo</v>
      </c>
      <c r="L436" s="25" t="s">
        <v>49</v>
      </c>
      <c r="M436" s="25" t="s">
        <v>49</v>
      </c>
      <c r="P436" s="25" t="s">
        <v>22</v>
      </c>
      <c r="Q436" s="34">
        <v>365</v>
      </c>
      <c r="R436" s="25" t="s">
        <v>64</v>
      </c>
      <c r="S436" s="28">
        <v>46198</v>
      </c>
      <c r="T436" s="28">
        <f t="shared" si="32"/>
        <v>46563</v>
      </c>
      <c r="U436" s="25">
        <f t="shared" ca="1" si="33"/>
        <v>302</v>
      </c>
      <c r="V436" s="25" t="str">
        <f t="shared" ca="1" si="34"/>
        <v>AL DÍA</v>
      </c>
      <c r="W436" s="25" t="s">
        <v>24</v>
      </c>
      <c r="X436" s="25" t="s">
        <v>271</v>
      </c>
      <c r="Y436" s="25">
        <v>2</v>
      </c>
    </row>
    <row r="437" spans="1:26" ht="14.25" hidden="1" customHeight="1" x14ac:dyDescent="0.15">
      <c r="A437" s="24" t="s">
        <v>296</v>
      </c>
      <c r="B437" s="24" t="s">
        <v>188</v>
      </c>
      <c r="C437" s="25">
        <v>608</v>
      </c>
      <c r="D437" s="24" t="s">
        <v>65</v>
      </c>
      <c r="F437" s="24" t="s">
        <v>216</v>
      </c>
      <c r="G437" s="21">
        <v>1987</v>
      </c>
      <c r="H437" s="21">
        <v>0</v>
      </c>
      <c r="I437" s="21">
        <f t="shared" ca="1" si="30"/>
        <v>39</v>
      </c>
      <c r="J437" s="21">
        <v>3</v>
      </c>
      <c r="K437" s="25" t="str">
        <f t="shared" ca="1" si="31"/>
        <v>Activo</v>
      </c>
      <c r="L437" s="25" t="s">
        <v>49</v>
      </c>
      <c r="P437" s="25" t="s">
        <v>22</v>
      </c>
      <c r="Q437" s="32">
        <v>365</v>
      </c>
      <c r="R437" s="25" t="s">
        <v>69</v>
      </c>
      <c r="S437" s="29">
        <v>46198</v>
      </c>
      <c r="T437" s="28">
        <f t="shared" si="32"/>
        <v>46563</v>
      </c>
      <c r="U437" s="25">
        <f t="shared" ca="1" si="33"/>
        <v>302</v>
      </c>
      <c r="V437" s="25" t="str">
        <f t="shared" ca="1" si="34"/>
        <v>AL DÍA</v>
      </c>
      <c r="W437" s="25" t="s">
        <v>24</v>
      </c>
      <c r="X437" s="25" t="s">
        <v>277</v>
      </c>
      <c r="Y437" s="25">
        <v>1</v>
      </c>
    </row>
    <row r="438" spans="1:26" ht="14.25" hidden="1" customHeight="1" x14ac:dyDescent="0.15">
      <c r="A438" s="24" t="s">
        <v>296</v>
      </c>
      <c r="B438" s="24" t="s">
        <v>188</v>
      </c>
      <c r="C438" s="25">
        <v>608</v>
      </c>
      <c r="D438" s="24" t="s">
        <v>65</v>
      </c>
      <c r="F438" s="24" t="s">
        <v>217</v>
      </c>
      <c r="G438" s="21">
        <v>1987</v>
      </c>
      <c r="H438" s="21">
        <v>0</v>
      </c>
      <c r="I438" s="21">
        <f t="shared" ca="1" si="30"/>
        <v>39</v>
      </c>
      <c r="J438" s="21">
        <v>3</v>
      </c>
      <c r="K438" s="25" t="str">
        <f t="shared" ca="1" si="31"/>
        <v>Activo</v>
      </c>
      <c r="L438" s="25" t="s">
        <v>49</v>
      </c>
      <c r="O438" s="26">
        <v>62.64</v>
      </c>
      <c r="P438" s="26"/>
      <c r="Q438" s="34">
        <v>365</v>
      </c>
      <c r="R438" s="25" t="s">
        <v>64</v>
      </c>
      <c r="S438" s="28">
        <v>46198</v>
      </c>
      <c r="T438" s="28">
        <f t="shared" si="32"/>
        <v>46563</v>
      </c>
      <c r="U438" s="25">
        <f t="shared" ca="1" si="33"/>
        <v>302</v>
      </c>
      <c r="V438" s="25" t="str">
        <f t="shared" ca="1" si="34"/>
        <v>AL DÍA</v>
      </c>
      <c r="W438" s="25" t="s">
        <v>24</v>
      </c>
      <c r="X438" s="25" t="s">
        <v>262</v>
      </c>
      <c r="Y438" s="25">
        <v>2</v>
      </c>
    </row>
    <row r="439" spans="1:26" ht="14.25" hidden="1" customHeight="1" x14ac:dyDescent="0.15">
      <c r="A439" s="24" t="s">
        <v>296</v>
      </c>
      <c r="B439" s="24" t="s">
        <v>188</v>
      </c>
      <c r="C439" s="25">
        <v>608</v>
      </c>
      <c r="D439" s="24" t="s">
        <v>65</v>
      </c>
      <c r="F439" s="24" t="s">
        <v>218</v>
      </c>
      <c r="G439" s="21">
        <v>1987</v>
      </c>
      <c r="H439" s="21">
        <v>0</v>
      </c>
      <c r="I439" s="21">
        <f t="shared" ca="1" si="30"/>
        <v>39</v>
      </c>
      <c r="J439" s="21">
        <v>3</v>
      </c>
      <c r="K439" s="25" t="str">
        <f t="shared" ca="1" si="31"/>
        <v>Activo</v>
      </c>
      <c r="L439" s="25" t="s">
        <v>49</v>
      </c>
      <c r="O439" s="25" t="s">
        <v>227</v>
      </c>
      <c r="P439" s="26"/>
      <c r="Q439" s="34">
        <v>365</v>
      </c>
      <c r="R439" s="25" t="s">
        <v>64</v>
      </c>
      <c r="S439" s="28">
        <v>46198</v>
      </c>
      <c r="T439" s="28">
        <f t="shared" si="32"/>
        <v>46563</v>
      </c>
      <c r="U439" s="25">
        <f t="shared" ca="1" si="33"/>
        <v>302</v>
      </c>
      <c r="V439" s="25" t="str">
        <f t="shared" ca="1" si="34"/>
        <v>AL DÍA</v>
      </c>
      <c r="W439" s="25" t="s">
        <v>24</v>
      </c>
      <c r="X439" s="25" t="s">
        <v>262</v>
      </c>
      <c r="Y439" s="25">
        <v>2</v>
      </c>
    </row>
    <row r="440" spans="1:26" ht="14.25" hidden="1" customHeight="1" x14ac:dyDescent="0.15">
      <c r="A440" s="24" t="s">
        <v>296</v>
      </c>
      <c r="B440" s="24" t="s">
        <v>188</v>
      </c>
      <c r="C440" s="25">
        <v>608</v>
      </c>
      <c r="D440" s="24" t="s">
        <v>16</v>
      </c>
      <c r="F440" s="24" t="s">
        <v>219</v>
      </c>
      <c r="G440" s="21">
        <v>2018</v>
      </c>
      <c r="H440" s="21">
        <v>15</v>
      </c>
      <c r="I440" s="21">
        <f t="shared" ca="1" si="30"/>
        <v>8</v>
      </c>
      <c r="J440" s="21">
        <v>3</v>
      </c>
      <c r="K440" s="25" t="str">
        <f t="shared" ca="1" si="31"/>
        <v>Activo</v>
      </c>
      <c r="L440" s="25" t="s">
        <v>223</v>
      </c>
      <c r="M440" s="25" t="s">
        <v>233</v>
      </c>
      <c r="O440" s="25" t="s">
        <v>221</v>
      </c>
      <c r="P440" s="26" t="s">
        <v>49</v>
      </c>
      <c r="Q440" s="34">
        <v>365</v>
      </c>
      <c r="R440" s="25" t="s">
        <v>64</v>
      </c>
      <c r="S440" s="28">
        <v>46198</v>
      </c>
      <c r="T440" s="28">
        <f t="shared" si="32"/>
        <v>46563</v>
      </c>
      <c r="U440" s="25">
        <f t="shared" ca="1" si="33"/>
        <v>302</v>
      </c>
      <c r="V440" s="25" t="str">
        <f t="shared" ca="1" si="34"/>
        <v>AL DÍA</v>
      </c>
      <c r="W440" s="25" t="s">
        <v>24</v>
      </c>
      <c r="X440" s="25" t="s">
        <v>271</v>
      </c>
      <c r="Y440" s="25">
        <v>2</v>
      </c>
      <c r="Z440" s="1" t="s">
        <v>303</v>
      </c>
    </row>
    <row r="441" spans="1:26" ht="14.25" hidden="1" customHeight="1" x14ac:dyDescent="0.15">
      <c r="A441" s="24" t="s">
        <v>296</v>
      </c>
      <c r="B441" s="24" t="s">
        <v>188</v>
      </c>
      <c r="C441" s="26">
        <v>608</v>
      </c>
      <c r="D441" s="24" t="s">
        <v>16</v>
      </c>
      <c r="F441" s="24" t="s">
        <v>224</v>
      </c>
      <c r="G441" s="71"/>
      <c r="H441" s="21">
        <v>0</v>
      </c>
      <c r="I441" s="21">
        <f t="shared" ca="1" si="30"/>
        <v>2026</v>
      </c>
      <c r="J441" s="21">
        <v>3</v>
      </c>
      <c r="K441" s="25" t="str">
        <f t="shared" ca="1" si="31"/>
        <v>Activo</v>
      </c>
      <c r="O441" s="26"/>
      <c r="P441" s="26"/>
      <c r="Q441" s="34">
        <v>365</v>
      </c>
      <c r="R441" s="25" t="s">
        <v>64</v>
      </c>
      <c r="S441" s="28">
        <v>46198</v>
      </c>
      <c r="T441" s="28">
        <f t="shared" si="32"/>
        <v>46563</v>
      </c>
      <c r="U441" s="25">
        <f t="shared" ca="1" si="33"/>
        <v>302</v>
      </c>
      <c r="V441" s="25" t="str">
        <f t="shared" ca="1" si="34"/>
        <v>AL DÍA</v>
      </c>
      <c r="W441" s="25" t="s">
        <v>24</v>
      </c>
      <c r="X441" s="25" t="s">
        <v>271</v>
      </c>
      <c r="Y441" s="25">
        <v>2</v>
      </c>
    </row>
    <row r="442" spans="1:26" ht="14.25" hidden="1" customHeight="1" x14ac:dyDescent="0.15">
      <c r="A442" s="24" t="s">
        <v>296</v>
      </c>
      <c r="B442" s="24" t="s">
        <v>188</v>
      </c>
      <c r="C442" s="26">
        <v>608</v>
      </c>
      <c r="D442" s="24" t="s">
        <v>65</v>
      </c>
      <c r="F442" s="24" t="s">
        <v>220</v>
      </c>
      <c r="G442" s="21">
        <v>1987</v>
      </c>
      <c r="H442" s="21">
        <v>0</v>
      </c>
      <c r="I442" s="21">
        <f t="shared" ca="1" si="30"/>
        <v>39</v>
      </c>
      <c r="J442" s="21">
        <v>3</v>
      </c>
      <c r="K442" s="25" t="str">
        <f t="shared" ca="1" si="31"/>
        <v>Activo</v>
      </c>
      <c r="L442" s="25" t="s">
        <v>49</v>
      </c>
      <c r="O442" s="25" t="s">
        <v>222</v>
      </c>
      <c r="P442" s="26"/>
      <c r="Q442" s="34">
        <v>365</v>
      </c>
      <c r="R442" s="25" t="s">
        <v>64</v>
      </c>
      <c r="S442" s="28">
        <v>46198</v>
      </c>
      <c r="T442" s="28">
        <f t="shared" si="32"/>
        <v>46563</v>
      </c>
      <c r="U442" s="25">
        <f t="shared" ca="1" si="33"/>
        <v>302</v>
      </c>
      <c r="V442" s="25" t="str">
        <f t="shared" ca="1" si="34"/>
        <v>AL DÍA</v>
      </c>
      <c r="W442" s="25" t="s">
        <v>24</v>
      </c>
      <c r="X442" s="25" t="s">
        <v>262</v>
      </c>
      <c r="Y442" s="25">
        <v>2</v>
      </c>
    </row>
    <row r="443" spans="1:26" ht="14.25" hidden="1" customHeight="1" x14ac:dyDescent="0.15">
      <c r="A443" s="24" t="s">
        <v>296</v>
      </c>
      <c r="B443" s="24" t="s">
        <v>188</v>
      </c>
      <c r="C443" s="26">
        <v>609</v>
      </c>
      <c r="D443" s="24" t="s">
        <v>65</v>
      </c>
      <c r="F443" s="24" t="s">
        <v>215</v>
      </c>
      <c r="G443" s="21">
        <v>1987</v>
      </c>
      <c r="H443" s="21">
        <v>0</v>
      </c>
      <c r="I443" s="21">
        <f t="shared" ca="1" si="30"/>
        <v>39</v>
      </c>
      <c r="J443" s="21">
        <v>3</v>
      </c>
      <c r="K443" s="25" t="str">
        <f t="shared" ca="1" si="31"/>
        <v>Activo</v>
      </c>
      <c r="L443" s="25" t="s">
        <v>49</v>
      </c>
      <c r="M443" s="25" t="s">
        <v>49</v>
      </c>
      <c r="P443" s="25" t="s">
        <v>22</v>
      </c>
      <c r="Q443" s="34">
        <v>365</v>
      </c>
      <c r="R443" s="25" t="s">
        <v>64</v>
      </c>
      <c r="S443" s="28">
        <v>46198</v>
      </c>
      <c r="T443" s="28">
        <f t="shared" si="32"/>
        <v>46563</v>
      </c>
      <c r="U443" s="25">
        <f t="shared" ca="1" si="33"/>
        <v>302</v>
      </c>
      <c r="V443" s="25" t="str">
        <f t="shared" ca="1" si="34"/>
        <v>AL DÍA</v>
      </c>
      <c r="W443" s="25" t="s">
        <v>24</v>
      </c>
      <c r="X443" s="25" t="s">
        <v>271</v>
      </c>
      <c r="Y443" s="25">
        <v>2</v>
      </c>
    </row>
    <row r="444" spans="1:26" ht="14.25" hidden="1" customHeight="1" x14ac:dyDescent="0.15">
      <c r="A444" s="24" t="s">
        <v>296</v>
      </c>
      <c r="B444" s="24" t="s">
        <v>188</v>
      </c>
      <c r="C444" s="26">
        <v>609</v>
      </c>
      <c r="D444" s="24" t="s">
        <v>65</v>
      </c>
      <c r="F444" s="24" t="s">
        <v>216</v>
      </c>
      <c r="G444" s="21">
        <v>1987</v>
      </c>
      <c r="H444" s="21">
        <v>0</v>
      </c>
      <c r="I444" s="21">
        <f t="shared" ca="1" si="30"/>
        <v>39</v>
      </c>
      <c r="J444" s="21">
        <v>3</v>
      </c>
      <c r="K444" s="25" t="str">
        <f t="shared" ca="1" si="31"/>
        <v>Activo</v>
      </c>
      <c r="L444" s="25" t="s">
        <v>49</v>
      </c>
      <c r="P444" s="25" t="s">
        <v>22</v>
      </c>
      <c r="Q444" s="32">
        <v>365</v>
      </c>
      <c r="R444" s="25" t="s">
        <v>69</v>
      </c>
      <c r="S444" s="29">
        <v>46198</v>
      </c>
      <c r="T444" s="28">
        <f t="shared" si="32"/>
        <v>46563</v>
      </c>
      <c r="U444" s="25">
        <f t="shared" ca="1" si="33"/>
        <v>302</v>
      </c>
      <c r="V444" s="25" t="str">
        <f t="shared" ca="1" si="34"/>
        <v>AL DÍA</v>
      </c>
      <c r="W444" s="25" t="s">
        <v>24</v>
      </c>
      <c r="X444" s="25" t="s">
        <v>277</v>
      </c>
      <c r="Y444" s="25">
        <v>1</v>
      </c>
    </row>
    <row r="445" spans="1:26" ht="14.25" hidden="1" customHeight="1" x14ac:dyDescent="0.15">
      <c r="A445" s="24" t="s">
        <v>296</v>
      </c>
      <c r="B445" s="24" t="s">
        <v>188</v>
      </c>
      <c r="C445" s="26">
        <v>609</v>
      </c>
      <c r="D445" s="24" t="s">
        <v>65</v>
      </c>
      <c r="F445" s="24" t="s">
        <v>217</v>
      </c>
      <c r="G445" s="21">
        <v>1987</v>
      </c>
      <c r="H445" s="21">
        <v>0</v>
      </c>
      <c r="I445" s="21">
        <f t="shared" ca="1" si="30"/>
        <v>39</v>
      </c>
      <c r="J445" s="21">
        <v>3</v>
      </c>
      <c r="K445" s="25" t="str">
        <f t="shared" ca="1" si="31"/>
        <v>Activo</v>
      </c>
      <c r="L445" s="25" t="s">
        <v>49</v>
      </c>
      <c r="O445" s="25">
        <v>62.64</v>
      </c>
      <c r="Q445" s="34">
        <v>365</v>
      </c>
      <c r="R445" s="25" t="s">
        <v>64</v>
      </c>
      <c r="S445" s="28">
        <v>46198</v>
      </c>
      <c r="T445" s="28">
        <f t="shared" si="32"/>
        <v>46563</v>
      </c>
      <c r="U445" s="25">
        <f t="shared" ca="1" si="33"/>
        <v>302</v>
      </c>
      <c r="V445" s="25" t="str">
        <f t="shared" ca="1" si="34"/>
        <v>AL DÍA</v>
      </c>
      <c r="W445" s="25" t="s">
        <v>24</v>
      </c>
      <c r="X445" s="25" t="s">
        <v>262</v>
      </c>
      <c r="Y445" s="25">
        <v>2</v>
      </c>
    </row>
    <row r="446" spans="1:26" ht="14.25" hidden="1" customHeight="1" x14ac:dyDescent="0.15">
      <c r="A446" s="24" t="s">
        <v>296</v>
      </c>
      <c r="B446" s="24" t="s">
        <v>188</v>
      </c>
      <c r="C446" s="26">
        <v>609</v>
      </c>
      <c r="D446" s="24" t="s">
        <v>65</v>
      </c>
      <c r="F446" s="24" t="s">
        <v>218</v>
      </c>
      <c r="G446" s="21">
        <v>1987</v>
      </c>
      <c r="H446" s="21">
        <v>0</v>
      </c>
      <c r="I446" s="21">
        <f t="shared" ca="1" si="30"/>
        <v>39</v>
      </c>
      <c r="J446" s="21">
        <v>3</v>
      </c>
      <c r="K446" s="25" t="str">
        <f t="shared" ca="1" si="31"/>
        <v>Activo</v>
      </c>
      <c r="L446" s="25" t="s">
        <v>49</v>
      </c>
      <c r="O446" s="25" t="s">
        <v>227</v>
      </c>
      <c r="Q446" s="34">
        <v>365</v>
      </c>
      <c r="R446" s="25" t="s">
        <v>64</v>
      </c>
      <c r="S446" s="28">
        <v>46198</v>
      </c>
      <c r="T446" s="28">
        <f t="shared" si="32"/>
        <v>46563</v>
      </c>
      <c r="U446" s="25">
        <f t="shared" ca="1" si="33"/>
        <v>302</v>
      </c>
      <c r="V446" s="25" t="str">
        <f t="shared" ca="1" si="34"/>
        <v>AL DÍA</v>
      </c>
      <c r="W446" s="25" t="s">
        <v>24</v>
      </c>
      <c r="X446" s="25" t="s">
        <v>262</v>
      </c>
      <c r="Y446" s="25">
        <v>2</v>
      </c>
    </row>
    <row r="447" spans="1:26" ht="14.25" hidden="1" customHeight="1" x14ac:dyDescent="0.15">
      <c r="A447" s="24" t="s">
        <v>296</v>
      </c>
      <c r="B447" s="24" t="s">
        <v>188</v>
      </c>
      <c r="C447" s="25">
        <v>609</v>
      </c>
      <c r="D447" s="24" t="s">
        <v>16</v>
      </c>
      <c r="F447" s="24" t="s">
        <v>219</v>
      </c>
      <c r="G447" s="21">
        <v>2018</v>
      </c>
      <c r="H447" s="21">
        <v>15</v>
      </c>
      <c r="I447" s="21">
        <f t="shared" ca="1" si="30"/>
        <v>8</v>
      </c>
      <c r="J447" s="21">
        <v>3</v>
      </c>
      <c r="K447" s="25" t="str">
        <f t="shared" ca="1" si="31"/>
        <v>Activo</v>
      </c>
      <c r="L447" s="25" t="s">
        <v>223</v>
      </c>
      <c r="M447" s="25" t="s">
        <v>233</v>
      </c>
      <c r="O447" s="25" t="s">
        <v>221</v>
      </c>
      <c r="P447" s="25" t="s">
        <v>49</v>
      </c>
      <c r="Q447" s="34">
        <v>365</v>
      </c>
      <c r="R447" s="25" t="s">
        <v>64</v>
      </c>
      <c r="S447" s="28">
        <v>46198</v>
      </c>
      <c r="T447" s="28">
        <f t="shared" si="32"/>
        <v>46563</v>
      </c>
      <c r="U447" s="25">
        <f t="shared" ca="1" si="33"/>
        <v>302</v>
      </c>
      <c r="V447" s="25" t="str">
        <f t="shared" ca="1" si="34"/>
        <v>AL DÍA</v>
      </c>
      <c r="W447" s="25" t="s">
        <v>24</v>
      </c>
      <c r="X447" s="25" t="s">
        <v>271</v>
      </c>
      <c r="Y447" s="25">
        <v>2</v>
      </c>
      <c r="Z447" s="1" t="s">
        <v>303</v>
      </c>
    </row>
    <row r="448" spans="1:26" ht="14.25" hidden="1" customHeight="1" x14ac:dyDescent="0.15">
      <c r="A448" s="24" t="s">
        <v>296</v>
      </c>
      <c r="B448" s="24" t="s">
        <v>188</v>
      </c>
      <c r="C448" s="25">
        <v>609</v>
      </c>
      <c r="D448" s="24" t="s">
        <v>16</v>
      </c>
      <c r="F448" s="24" t="s">
        <v>224</v>
      </c>
      <c r="G448" s="71"/>
      <c r="H448" s="21">
        <v>0</v>
      </c>
      <c r="I448" s="21">
        <f t="shared" ca="1" si="30"/>
        <v>2026</v>
      </c>
      <c r="J448" s="21">
        <v>3</v>
      </c>
      <c r="K448" s="25" t="str">
        <f t="shared" ca="1" si="31"/>
        <v>Activo</v>
      </c>
      <c r="P448" s="26"/>
      <c r="Q448" s="34">
        <v>365</v>
      </c>
      <c r="R448" s="25" t="s">
        <v>64</v>
      </c>
      <c r="S448" s="28">
        <v>46198</v>
      </c>
      <c r="T448" s="28">
        <f t="shared" si="32"/>
        <v>46563</v>
      </c>
      <c r="U448" s="25">
        <f t="shared" ca="1" si="33"/>
        <v>302</v>
      </c>
      <c r="V448" s="25" t="str">
        <f t="shared" ca="1" si="34"/>
        <v>AL DÍA</v>
      </c>
      <c r="W448" s="25" t="s">
        <v>24</v>
      </c>
      <c r="X448" s="25" t="s">
        <v>271</v>
      </c>
      <c r="Y448" s="25">
        <v>2</v>
      </c>
    </row>
    <row r="449" spans="1:26" ht="14.25" hidden="1" customHeight="1" x14ac:dyDescent="0.15">
      <c r="A449" s="24" t="s">
        <v>296</v>
      </c>
      <c r="B449" s="24" t="s">
        <v>188</v>
      </c>
      <c r="C449" s="25">
        <v>609</v>
      </c>
      <c r="D449" s="24" t="s">
        <v>65</v>
      </c>
      <c r="F449" s="24" t="s">
        <v>220</v>
      </c>
      <c r="G449" s="21">
        <v>1987</v>
      </c>
      <c r="H449" s="21">
        <v>0</v>
      </c>
      <c r="I449" s="21">
        <f t="shared" ca="1" si="30"/>
        <v>39</v>
      </c>
      <c r="J449" s="21">
        <v>3</v>
      </c>
      <c r="K449" s="25" t="str">
        <f t="shared" ca="1" si="31"/>
        <v>Activo</v>
      </c>
      <c r="L449" s="25" t="s">
        <v>49</v>
      </c>
      <c r="O449" s="25" t="s">
        <v>222</v>
      </c>
      <c r="P449" s="26"/>
      <c r="Q449" s="34">
        <v>365</v>
      </c>
      <c r="R449" s="25" t="s">
        <v>64</v>
      </c>
      <c r="S449" s="28">
        <v>46198</v>
      </c>
      <c r="T449" s="28">
        <f t="shared" si="32"/>
        <v>46563</v>
      </c>
      <c r="U449" s="25">
        <f t="shared" ca="1" si="33"/>
        <v>302</v>
      </c>
      <c r="V449" s="25" t="str">
        <f t="shared" ca="1" si="34"/>
        <v>AL DÍA</v>
      </c>
      <c r="W449" s="25" t="s">
        <v>24</v>
      </c>
      <c r="X449" s="25" t="s">
        <v>262</v>
      </c>
      <c r="Y449" s="25">
        <v>2</v>
      </c>
    </row>
    <row r="450" spans="1:26" ht="14.25" hidden="1" customHeight="1" x14ac:dyDescent="0.15">
      <c r="A450" s="24" t="s">
        <v>296</v>
      </c>
      <c r="B450" s="24" t="s">
        <v>188</v>
      </c>
      <c r="C450" s="25">
        <v>610</v>
      </c>
      <c r="D450" s="24" t="s">
        <v>65</v>
      </c>
      <c r="F450" s="24" t="s">
        <v>215</v>
      </c>
      <c r="G450" s="21">
        <v>1987</v>
      </c>
      <c r="H450" s="21">
        <v>0</v>
      </c>
      <c r="I450" s="21">
        <f t="shared" ref="I450:I513" ca="1" si="35">YEAR(TODAY())-G450</f>
        <v>39</v>
      </c>
      <c r="J450" s="21">
        <v>3</v>
      </c>
      <c r="K450" s="25" t="str">
        <f t="shared" ref="K450:K513" ca="1" si="36">IF(J450=1,"Cambiar",IF(J450=2,"Presupuestar",IF(H450=0,"Activo",IF(G450+H450&lt;YEAR(TODAY()),"Cambiar o Inspección externa",IF(G450+H450-1&lt;YEAR(TODAY()),"Presupuestar","Activo")))))</f>
        <v>Activo</v>
      </c>
      <c r="L450" s="25" t="s">
        <v>49</v>
      </c>
      <c r="M450" s="25" t="s">
        <v>49</v>
      </c>
      <c r="P450" s="26" t="s">
        <v>22</v>
      </c>
      <c r="Q450" s="34">
        <v>365</v>
      </c>
      <c r="R450" s="25" t="s">
        <v>64</v>
      </c>
      <c r="S450" s="28">
        <v>46198</v>
      </c>
      <c r="T450" s="28">
        <f t="shared" ref="T450:T513" si="37">+S450+Q450</f>
        <v>46563</v>
      </c>
      <c r="U450" s="25">
        <f t="shared" ref="U450:U513" ca="1" si="38">T450-TODAY()</f>
        <v>302</v>
      </c>
      <c r="V450" s="25" t="str">
        <f t="shared" ref="V450:V513" ca="1" si="39">IF(U450&lt;0, "VENCIDO", "AL DÍA")</f>
        <v>AL DÍA</v>
      </c>
      <c r="W450" s="25" t="s">
        <v>24</v>
      </c>
      <c r="X450" s="25" t="s">
        <v>271</v>
      </c>
      <c r="Y450" s="25">
        <v>2</v>
      </c>
    </row>
    <row r="451" spans="1:26" ht="14.25" hidden="1" customHeight="1" x14ac:dyDescent="0.15">
      <c r="A451" s="24" t="s">
        <v>296</v>
      </c>
      <c r="B451" s="24" t="s">
        <v>188</v>
      </c>
      <c r="C451" s="25">
        <v>610</v>
      </c>
      <c r="D451" s="24" t="s">
        <v>65</v>
      </c>
      <c r="F451" s="24" t="s">
        <v>216</v>
      </c>
      <c r="G451" s="21">
        <v>1987</v>
      </c>
      <c r="H451" s="21">
        <v>0</v>
      </c>
      <c r="I451" s="21">
        <f t="shared" ca="1" si="35"/>
        <v>39</v>
      </c>
      <c r="J451" s="21">
        <v>3</v>
      </c>
      <c r="K451" s="25" t="str">
        <f t="shared" ca="1" si="36"/>
        <v>Activo</v>
      </c>
      <c r="L451" s="25" t="s">
        <v>49</v>
      </c>
      <c r="P451" s="25" t="s">
        <v>22</v>
      </c>
      <c r="Q451" s="32">
        <v>365</v>
      </c>
      <c r="R451" s="25" t="s">
        <v>69</v>
      </c>
      <c r="S451" s="29">
        <v>46198</v>
      </c>
      <c r="T451" s="28">
        <f t="shared" si="37"/>
        <v>46563</v>
      </c>
      <c r="U451" s="25">
        <f t="shared" ca="1" si="38"/>
        <v>302</v>
      </c>
      <c r="V451" s="25" t="str">
        <f t="shared" ca="1" si="39"/>
        <v>AL DÍA</v>
      </c>
      <c r="W451" s="25" t="s">
        <v>24</v>
      </c>
      <c r="X451" s="25" t="s">
        <v>277</v>
      </c>
      <c r="Y451" s="25">
        <v>1</v>
      </c>
    </row>
    <row r="452" spans="1:26" ht="14.25" hidden="1" customHeight="1" x14ac:dyDescent="0.15">
      <c r="A452" s="24" t="s">
        <v>296</v>
      </c>
      <c r="B452" s="24" t="s">
        <v>188</v>
      </c>
      <c r="C452" s="25">
        <v>610</v>
      </c>
      <c r="D452" s="24" t="s">
        <v>65</v>
      </c>
      <c r="F452" s="24" t="s">
        <v>217</v>
      </c>
      <c r="G452" s="21">
        <v>1987</v>
      </c>
      <c r="H452" s="21">
        <v>0</v>
      </c>
      <c r="I452" s="21">
        <f t="shared" ca="1" si="35"/>
        <v>39</v>
      </c>
      <c r="J452" s="21">
        <v>3</v>
      </c>
      <c r="K452" s="25" t="str">
        <f t="shared" ca="1" si="36"/>
        <v>Activo</v>
      </c>
      <c r="L452" s="25" t="s">
        <v>49</v>
      </c>
      <c r="O452" s="25">
        <v>41.8</v>
      </c>
      <c r="Q452" s="34">
        <v>365</v>
      </c>
      <c r="R452" s="25" t="s">
        <v>64</v>
      </c>
      <c r="S452" s="28">
        <v>46198</v>
      </c>
      <c r="T452" s="28">
        <f t="shared" si="37"/>
        <v>46563</v>
      </c>
      <c r="U452" s="25">
        <f t="shared" ca="1" si="38"/>
        <v>302</v>
      </c>
      <c r="V452" s="25" t="str">
        <f t="shared" ca="1" si="39"/>
        <v>AL DÍA</v>
      </c>
      <c r="W452" s="25" t="s">
        <v>24</v>
      </c>
      <c r="X452" s="25" t="s">
        <v>262</v>
      </c>
      <c r="Y452" s="25">
        <v>2</v>
      </c>
    </row>
    <row r="453" spans="1:26" ht="14.25" hidden="1" customHeight="1" x14ac:dyDescent="0.15">
      <c r="A453" s="24" t="s">
        <v>296</v>
      </c>
      <c r="B453" s="24" t="s">
        <v>188</v>
      </c>
      <c r="C453" s="25">
        <v>610</v>
      </c>
      <c r="D453" s="24" t="s">
        <v>65</v>
      </c>
      <c r="F453" s="24" t="s">
        <v>218</v>
      </c>
      <c r="G453" s="21">
        <v>1987</v>
      </c>
      <c r="H453" s="21">
        <v>0</v>
      </c>
      <c r="I453" s="21">
        <f t="shared" ca="1" si="35"/>
        <v>39</v>
      </c>
      <c r="J453" s="21">
        <v>3</v>
      </c>
      <c r="K453" s="25" t="str">
        <f t="shared" ca="1" si="36"/>
        <v>Activo</v>
      </c>
      <c r="L453" s="25" t="s">
        <v>49</v>
      </c>
      <c r="O453" s="25" t="s">
        <v>227</v>
      </c>
      <c r="P453" s="26"/>
      <c r="Q453" s="34">
        <v>365</v>
      </c>
      <c r="R453" s="25" t="s">
        <v>64</v>
      </c>
      <c r="S453" s="28">
        <v>46198</v>
      </c>
      <c r="T453" s="28">
        <f t="shared" si="37"/>
        <v>46563</v>
      </c>
      <c r="U453" s="25">
        <f t="shared" ca="1" si="38"/>
        <v>302</v>
      </c>
      <c r="V453" s="25" t="str">
        <f t="shared" ca="1" si="39"/>
        <v>AL DÍA</v>
      </c>
      <c r="W453" s="25" t="s">
        <v>24</v>
      </c>
      <c r="X453" s="25" t="s">
        <v>262</v>
      </c>
      <c r="Y453" s="25">
        <v>2</v>
      </c>
    </row>
    <row r="454" spans="1:26" ht="14.25" hidden="1" customHeight="1" x14ac:dyDescent="0.15">
      <c r="A454" s="24" t="s">
        <v>296</v>
      </c>
      <c r="B454" s="24" t="s">
        <v>188</v>
      </c>
      <c r="C454" s="25">
        <v>610</v>
      </c>
      <c r="D454" s="24" t="s">
        <v>16</v>
      </c>
      <c r="F454" s="24" t="s">
        <v>219</v>
      </c>
      <c r="G454" s="21">
        <v>2018</v>
      </c>
      <c r="H454" s="21">
        <v>15</v>
      </c>
      <c r="I454" s="21">
        <f t="shared" ca="1" si="35"/>
        <v>8</v>
      </c>
      <c r="J454" s="21">
        <v>3</v>
      </c>
      <c r="K454" s="25" t="str">
        <f t="shared" ca="1" si="36"/>
        <v>Activo</v>
      </c>
      <c r="L454" s="25" t="s">
        <v>223</v>
      </c>
      <c r="M454" s="25" t="s">
        <v>233</v>
      </c>
      <c r="O454" s="25" t="s">
        <v>221</v>
      </c>
      <c r="P454" s="26" t="s">
        <v>49</v>
      </c>
      <c r="Q454" s="34">
        <v>365</v>
      </c>
      <c r="R454" s="25" t="s">
        <v>64</v>
      </c>
      <c r="S454" s="28">
        <v>46198</v>
      </c>
      <c r="T454" s="28">
        <f t="shared" si="37"/>
        <v>46563</v>
      </c>
      <c r="U454" s="25">
        <f t="shared" ca="1" si="38"/>
        <v>302</v>
      </c>
      <c r="V454" s="25" t="str">
        <f t="shared" ca="1" si="39"/>
        <v>AL DÍA</v>
      </c>
      <c r="W454" s="25" t="s">
        <v>24</v>
      </c>
      <c r="X454" s="25" t="s">
        <v>271</v>
      </c>
      <c r="Y454" s="25">
        <v>2</v>
      </c>
      <c r="Z454" s="1" t="s">
        <v>303</v>
      </c>
    </row>
    <row r="455" spans="1:26" ht="14.25" hidden="1" customHeight="1" x14ac:dyDescent="0.15">
      <c r="A455" s="24" t="s">
        <v>296</v>
      </c>
      <c r="B455" s="24" t="s">
        <v>188</v>
      </c>
      <c r="C455" s="25">
        <v>610</v>
      </c>
      <c r="D455" s="24" t="s">
        <v>16</v>
      </c>
      <c r="F455" s="24" t="s">
        <v>224</v>
      </c>
      <c r="G455" s="71"/>
      <c r="H455" s="21">
        <v>0</v>
      </c>
      <c r="I455" s="21">
        <f t="shared" ca="1" si="35"/>
        <v>2026</v>
      </c>
      <c r="J455" s="21">
        <v>3</v>
      </c>
      <c r="K455" s="25" t="str">
        <f t="shared" ca="1" si="36"/>
        <v>Activo</v>
      </c>
      <c r="P455" s="26"/>
      <c r="Q455" s="34">
        <v>365</v>
      </c>
      <c r="R455" s="25" t="s">
        <v>64</v>
      </c>
      <c r="S455" s="28">
        <v>46198</v>
      </c>
      <c r="T455" s="28">
        <f t="shared" si="37"/>
        <v>46563</v>
      </c>
      <c r="U455" s="25">
        <f t="shared" ca="1" si="38"/>
        <v>302</v>
      </c>
      <c r="V455" s="25" t="str">
        <f t="shared" ca="1" si="39"/>
        <v>AL DÍA</v>
      </c>
      <c r="W455" s="25" t="s">
        <v>24</v>
      </c>
      <c r="X455" s="25" t="s">
        <v>271</v>
      </c>
      <c r="Y455" s="25">
        <v>2</v>
      </c>
    </row>
    <row r="456" spans="1:26" ht="14.25" hidden="1" customHeight="1" x14ac:dyDescent="0.15">
      <c r="A456" s="24" t="s">
        <v>296</v>
      </c>
      <c r="B456" s="24" t="s">
        <v>188</v>
      </c>
      <c r="C456" s="25">
        <v>610</v>
      </c>
      <c r="D456" s="24" t="s">
        <v>65</v>
      </c>
      <c r="F456" s="24" t="s">
        <v>220</v>
      </c>
      <c r="G456" s="21">
        <v>1987</v>
      </c>
      <c r="H456" s="21">
        <v>0</v>
      </c>
      <c r="I456" s="21">
        <f t="shared" ca="1" si="35"/>
        <v>39</v>
      </c>
      <c r="J456" s="21">
        <v>3</v>
      </c>
      <c r="K456" s="25" t="str">
        <f t="shared" ca="1" si="36"/>
        <v>Activo</v>
      </c>
      <c r="L456" s="25" t="s">
        <v>49</v>
      </c>
      <c r="O456" s="25" t="s">
        <v>222</v>
      </c>
      <c r="Q456" s="34">
        <v>365</v>
      </c>
      <c r="R456" s="25" t="s">
        <v>64</v>
      </c>
      <c r="S456" s="28">
        <v>46198</v>
      </c>
      <c r="T456" s="28">
        <f t="shared" si="37"/>
        <v>46563</v>
      </c>
      <c r="U456" s="25">
        <f t="shared" ca="1" si="38"/>
        <v>302</v>
      </c>
      <c r="V456" s="25" t="str">
        <f t="shared" ca="1" si="39"/>
        <v>AL DÍA</v>
      </c>
      <c r="W456" s="25" t="s">
        <v>24</v>
      </c>
      <c r="X456" s="25" t="s">
        <v>262</v>
      </c>
      <c r="Y456" s="25">
        <v>2</v>
      </c>
    </row>
    <row r="457" spans="1:26" ht="14.25" hidden="1" customHeight="1" x14ac:dyDescent="0.15">
      <c r="A457" s="24" t="s">
        <v>296</v>
      </c>
      <c r="B457" s="24" t="s">
        <v>188</v>
      </c>
      <c r="C457" s="25">
        <v>611</v>
      </c>
      <c r="D457" s="24" t="s">
        <v>65</v>
      </c>
      <c r="F457" s="24" t="s">
        <v>215</v>
      </c>
      <c r="G457" s="21">
        <v>1987</v>
      </c>
      <c r="H457" s="21">
        <v>0</v>
      </c>
      <c r="I457" s="21">
        <f t="shared" ca="1" si="35"/>
        <v>39</v>
      </c>
      <c r="J457" s="21">
        <v>3</v>
      </c>
      <c r="K457" s="25" t="str">
        <f t="shared" ca="1" si="36"/>
        <v>Activo</v>
      </c>
      <c r="L457" s="25" t="s">
        <v>49</v>
      </c>
      <c r="M457" s="25" t="s">
        <v>49</v>
      </c>
      <c r="P457" s="25" t="s">
        <v>22</v>
      </c>
      <c r="Q457" s="34">
        <v>365</v>
      </c>
      <c r="R457" s="25" t="s">
        <v>64</v>
      </c>
      <c r="S457" s="28">
        <v>46198</v>
      </c>
      <c r="T457" s="28">
        <f t="shared" si="37"/>
        <v>46563</v>
      </c>
      <c r="U457" s="25">
        <f t="shared" ca="1" si="38"/>
        <v>302</v>
      </c>
      <c r="V457" s="25" t="str">
        <f t="shared" ca="1" si="39"/>
        <v>AL DÍA</v>
      </c>
      <c r="W457" s="25" t="s">
        <v>24</v>
      </c>
      <c r="X457" s="25" t="s">
        <v>271</v>
      </c>
      <c r="Y457" s="25">
        <v>2</v>
      </c>
    </row>
    <row r="458" spans="1:26" ht="14.25" hidden="1" customHeight="1" x14ac:dyDescent="0.15">
      <c r="A458" s="24" t="s">
        <v>296</v>
      </c>
      <c r="B458" s="24" t="s">
        <v>188</v>
      </c>
      <c r="C458" s="25">
        <v>611</v>
      </c>
      <c r="D458" s="24" t="s">
        <v>65</v>
      </c>
      <c r="F458" s="24" t="s">
        <v>216</v>
      </c>
      <c r="G458" s="21">
        <v>1987</v>
      </c>
      <c r="H458" s="21">
        <v>0</v>
      </c>
      <c r="I458" s="21">
        <f t="shared" ca="1" si="35"/>
        <v>39</v>
      </c>
      <c r="J458" s="21">
        <v>3</v>
      </c>
      <c r="K458" s="25" t="str">
        <f t="shared" ca="1" si="36"/>
        <v>Activo</v>
      </c>
      <c r="L458" s="25" t="s">
        <v>49</v>
      </c>
      <c r="P458" s="25" t="s">
        <v>22</v>
      </c>
      <c r="Q458" s="32">
        <v>365</v>
      </c>
      <c r="R458" s="25" t="s">
        <v>69</v>
      </c>
      <c r="S458" s="29">
        <v>46198</v>
      </c>
      <c r="T458" s="28">
        <f t="shared" si="37"/>
        <v>46563</v>
      </c>
      <c r="U458" s="25">
        <f t="shared" ca="1" si="38"/>
        <v>302</v>
      </c>
      <c r="V458" s="25" t="str">
        <f t="shared" ca="1" si="39"/>
        <v>AL DÍA</v>
      </c>
      <c r="W458" s="25" t="s">
        <v>24</v>
      </c>
      <c r="X458" s="25" t="s">
        <v>277</v>
      </c>
      <c r="Y458" s="25">
        <v>1</v>
      </c>
    </row>
    <row r="459" spans="1:26" ht="14.25" hidden="1" customHeight="1" x14ac:dyDescent="0.15">
      <c r="A459" s="24" t="s">
        <v>296</v>
      </c>
      <c r="B459" s="24" t="s">
        <v>188</v>
      </c>
      <c r="C459" s="25">
        <v>611</v>
      </c>
      <c r="D459" s="24" t="s">
        <v>65</v>
      </c>
      <c r="F459" s="24" t="s">
        <v>217</v>
      </c>
      <c r="G459" s="21">
        <v>1987</v>
      </c>
      <c r="H459" s="21">
        <v>0</v>
      </c>
      <c r="I459" s="21">
        <f t="shared" ca="1" si="35"/>
        <v>39</v>
      </c>
      <c r="J459" s="21">
        <v>3</v>
      </c>
      <c r="K459" s="25" t="str">
        <f t="shared" ca="1" si="36"/>
        <v>Activo</v>
      </c>
      <c r="L459" s="25" t="s">
        <v>49</v>
      </c>
      <c r="O459" s="25">
        <v>62.64</v>
      </c>
      <c r="Q459" s="34">
        <v>365</v>
      </c>
      <c r="R459" s="25" t="s">
        <v>64</v>
      </c>
      <c r="S459" s="28">
        <v>46198</v>
      </c>
      <c r="T459" s="28">
        <f t="shared" si="37"/>
        <v>46563</v>
      </c>
      <c r="U459" s="25">
        <f t="shared" ca="1" si="38"/>
        <v>302</v>
      </c>
      <c r="V459" s="25" t="str">
        <f t="shared" ca="1" si="39"/>
        <v>AL DÍA</v>
      </c>
      <c r="W459" s="25" t="s">
        <v>24</v>
      </c>
      <c r="X459" s="25" t="s">
        <v>262</v>
      </c>
      <c r="Y459" s="25">
        <v>2</v>
      </c>
    </row>
    <row r="460" spans="1:26" ht="14.25" hidden="1" customHeight="1" x14ac:dyDescent="0.15">
      <c r="A460" s="24" t="s">
        <v>296</v>
      </c>
      <c r="B460" s="24" t="s">
        <v>188</v>
      </c>
      <c r="C460" s="25">
        <v>611</v>
      </c>
      <c r="D460" s="24" t="s">
        <v>65</v>
      </c>
      <c r="F460" s="24" t="s">
        <v>218</v>
      </c>
      <c r="G460" s="21">
        <v>1987</v>
      </c>
      <c r="H460" s="21">
        <v>0</v>
      </c>
      <c r="I460" s="21">
        <f t="shared" ca="1" si="35"/>
        <v>39</v>
      </c>
      <c r="J460" s="21">
        <v>3</v>
      </c>
      <c r="K460" s="25" t="str">
        <f t="shared" ca="1" si="36"/>
        <v>Activo</v>
      </c>
      <c r="L460" s="25" t="s">
        <v>49</v>
      </c>
      <c r="O460" s="25" t="s">
        <v>227</v>
      </c>
      <c r="Q460" s="34">
        <v>365</v>
      </c>
      <c r="R460" s="25" t="s">
        <v>64</v>
      </c>
      <c r="S460" s="28">
        <v>46198</v>
      </c>
      <c r="T460" s="28">
        <f t="shared" si="37"/>
        <v>46563</v>
      </c>
      <c r="U460" s="25">
        <f t="shared" ca="1" si="38"/>
        <v>302</v>
      </c>
      <c r="V460" s="25" t="str">
        <f t="shared" ca="1" si="39"/>
        <v>AL DÍA</v>
      </c>
      <c r="W460" s="25" t="s">
        <v>24</v>
      </c>
      <c r="X460" s="25" t="s">
        <v>262</v>
      </c>
      <c r="Y460" s="25">
        <v>2</v>
      </c>
    </row>
    <row r="461" spans="1:26" ht="14.25" hidden="1" customHeight="1" x14ac:dyDescent="0.15">
      <c r="A461" s="24" t="s">
        <v>296</v>
      </c>
      <c r="B461" s="24" t="s">
        <v>188</v>
      </c>
      <c r="C461" s="25">
        <v>611</v>
      </c>
      <c r="D461" s="24" t="s">
        <v>16</v>
      </c>
      <c r="F461" s="24" t="s">
        <v>219</v>
      </c>
      <c r="G461" s="21">
        <v>2018</v>
      </c>
      <c r="H461" s="21">
        <v>15</v>
      </c>
      <c r="I461" s="21">
        <f t="shared" ca="1" si="35"/>
        <v>8</v>
      </c>
      <c r="J461" s="21">
        <v>3</v>
      </c>
      <c r="K461" s="25" t="str">
        <f t="shared" ca="1" si="36"/>
        <v>Activo</v>
      </c>
      <c r="L461" s="25" t="s">
        <v>223</v>
      </c>
      <c r="M461" s="25" t="s">
        <v>233</v>
      </c>
      <c r="O461" s="25" t="s">
        <v>221</v>
      </c>
      <c r="P461" s="25" t="s">
        <v>49</v>
      </c>
      <c r="Q461" s="34">
        <v>365</v>
      </c>
      <c r="R461" s="25" t="s">
        <v>64</v>
      </c>
      <c r="S461" s="28">
        <v>46198</v>
      </c>
      <c r="T461" s="28">
        <f t="shared" si="37"/>
        <v>46563</v>
      </c>
      <c r="U461" s="25">
        <f t="shared" ca="1" si="38"/>
        <v>302</v>
      </c>
      <c r="V461" s="25" t="str">
        <f t="shared" ca="1" si="39"/>
        <v>AL DÍA</v>
      </c>
      <c r="W461" s="25" t="s">
        <v>24</v>
      </c>
      <c r="X461" s="25" t="s">
        <v>271</v>
      </c>
      <c r="Y461" s="25">
        <v>2</v>
      </c>
      <c r="Z461" s="1" t="s">
        <v>303</v>
      </c>
    </row>
    <row r="462" spans="1:26" ht="14.25" hidden="1" customHeight="1" x14ac:dyDescent="0.15">
      <c r="A462" s="24" t="s">
        <v>296</v>
      </c>
      <c r="B462" s="24" t="s">
        <v>188</v>
      </c>
      <c r="C462" s="25">
        <v>611</v>
      </c>
      <c r="D462" s="24" t="s">
        <v>16</v>
      </c>
      <c r="F462" s="24" t="s">
        <v>224</v>
      </c>
      <c r="G462" s="71"/>
      <c r="H462" s="21">
        <v>0</v>
      </c>
      <c r="I462" s="21">
        <f t="shared" ca="1" si="35"/>
        <v>2026</v>
      </c>
      <c r="J462" s="21">
        <v>3</v>
      </c>
      <c r="K462" s="25" t="str">
        <f t="shared" ca="1" si="36"/>
        <v>Activo</v>
      </c>
      <c r="Q462" s="34">
        <v>365</v>
      </c>
      <c r="R462" s="25" t="s">
        <v>64</v>
      </c>
      <c r="S462" s="28">
        <v>46198</v>
      </c>
      <c r="T462" s="28">
        <f t="shared" si="37"/>
        <v>46563</v>
      </c>
      <c r="U462" s="25">
        <f t="shared" ca="1" si="38"/>
        <v>302</v>
      </c>
      <c r="V462" s="25" t="str">
        <f t="shared" ca="1" si="39"/>
        <v>AL DÍA</v>
      </c>
      <c r="W462" s="25" t="s">
        <v>24</v>
      </c>
      <c r="X462" s="25" t="s">
        <v>271</v>
      </c>
      <c r="Y462" s="25">
        <v>2</v>
      </c>
    </row>
    <row r="463" spans="1:26" ht="14.25" hidden="1" customHeight="1" x14ac:dyDescent="0.15">
      <c r="A463" s="24" t="s">
        <v>296</v>
      </c>
      <c r="B463" s="24" t="s">
        <v>188</v>
      </c>
      <c r="C463" s="25">
        <v>611</v>
      </c>
      <c r="D463" s="24" t="s">
        <v>65</v>
      </c>
      <c r="F463" s="24" t="s">
        <v>220</v>
      </c>
      <c r="G463" s="21">
        <v>1987</v>
      </c>
      <c r="H463" s="21">
        <v>0</v>
      </c>
      <c r="I463" s="21">
        <f t="shared" ca="1" si="35"/>
        <v>39</v>
      </c>
      <c r="J463" s="21">
        <v>3</v>
      </c>
      <c r="K463" s="25" t="str">
        <f t="shared" ca="1" si="36"/>
        <v>Activo</v>
      </c>
      <c r="L463" s="25" t="s">
        <v>49</v>
      </c>
      <c r="O463" s="25" t="s">
        <v>222</v>
      </c>
      <c r="Q463" s="34">
        <v>365</v>
      </c>
      <c r="R463" s="25" t="s">
        <v>64</v>
      </c>
      <c r="S463" s="28">
        <v>46198</v>
      </c>
      <c r="T463" s="28">
        <f t="shared" si="37"/>
        <v>46563</v>
      </c>
      <c r="U463" s="25">
        <f t="shared" ca="1" si="38"/>
        <v>302</v>
      </c>
      <c r="V463" s="25" t="str">
        <f t="shared" ca="1" si="39"/>
        <v>AL DÍA</v>
      </c>
      <c r="W463" s="25" t="s">
        <v>24</v>
      </c>
      <c r="X463" s="25" t="s">
        <v>262</v>
      </c>
      <c r="Y463" s="25">
        <v>2</v>
      </c>
    </row>
    <row r="464" spans="1:26" ht="14.25" hidden="1" customHeight="1" x14ac:dyDescent="0.15">
      <c r="A464" s="24" t="s">
        <v>296</v>
      </c>
      <c r="B464" s="24" t="s">
        <v>188</v>
      </c>
      <c r="C464" s="25">
        <v>612</v>
      </c>
      <c r="D464" s="24" t="s">
        <v>65</v>
      </c>
      <c r="F464" s="24" t="s">
        <v>215</v>
      </c>
      <c r="G464" s="21">
        <v>1987</v>
      </c>
      <c r="H464" s="21">
        <v>0</v>
      </c>
      <c r="I464" s="21">
        <f t="shared" ca="1" si="35"/>
        <v>39</v>
      </c>
      <c r="J464" s="21">
        <v>3</v>
      </c>
      <c r="K464" s="25" t="str">
        <f t="shared" ca="1" si="36"/>
        <v>Activo</v>
      </c>
      <c r="L464" s="25" t="s">
        <v>49</v>
      </c>
      <c r="M464" s="25" t="s">
        <v>49</v>
      </c>
      <c r="P464" s="25" t="s">
        <v>22</v>
      </c>
      <c r="Q464" s="34">
        <v>365</v>
      </c>
      <c r="R464" s="25" t="s">
        <v>64</v>
      </c>
      <c r="S464" s="28">
        <v>46198</v>
      </c>
      <c r="T464" s="28">
        <f t="shared" si="37"/>
        <v>46563</v>
      </c>
      <c r="U464" s="25">
        <f t="shared" ca="1" si="38"/>
        <v>302</v>
      </c>
      <c r="V464" s="25" t="str">
        <f t="shared" ca="1" si="39"/>
        <v>AL DÍA</v>
      </c>
      <c r="W464" s="25" t="s">
        <v>24</v>
      </c>
      <c r="X464" s="25" t="s">
        <v>271</v>
      </c>
      <c r="Y464" s="25">
        <v>2</v>
      </c>
    </row>
    <row r="465" spans="1:26" ht="14.25" hidden="1" customHeight="1" x14ac:dyDescent="0.15">
      <c r="A465" s="24" t="s">
        <v>296</v>
      </c>
      <c r="B465" s="24" t="s">
        <v>188</v>
      </c>
      <c r="C465" s="25">
        <v>612</v>
      </c>
      <c r="D465" s="24" t="s">
        <v>65</v>
      </c>
      <c r="F465" s="24" t="s">
        <v>216</v>
      </c>
      <c r="G465" s="21">
        <v>1987</v>
      </c>
      <c r="H465" s="21">
        <v>0</v>
      </c>
      <c r="I465" s="21">
        <f t="shared" ca="1" si="35"/>
        <v>39</v>
      </c>
      <c r="J465" s="21">
        <v>3</v>
      </c>
      <c r="K465" s="25" t="str">
        <f t="shared" ca="1" si="36"/>
        <v>Activo</v>
      </c>
      <c r="L465" s="25" t="s">
        <v>49</v>
      </c>
      <c r="P465" s="25" t="s">
        <v>22</v>
      </c>
      <c r="Q465" s="32">
        <v>365</v>
      </c>
      <c r="R465" s="25" t="s">
        <v>69</v>
      </c>
      <c r="S465" s="29">
        <v>46198</v>
      </c>
      <c r="T465" s="28">
        <f t="shared" si="37"/>
        <v>46563</v>
      </c>
      <c r="U465" s="25">
        <f t="shared" ca="1" si="38"/>
        <v>302</v>
      </c>
      <c r="V465" s="25" t="str">
        <f t="shared" ca="1" si="39"/>
        <v>AL DÍA</v>
      </c>
      <c r="W465" s="25" t="s">
        <v>24</v>
      </c>
      <c r="X465" s="25" t="s">
        <v>277</v>
      </c>
      <c r="Y465" s="25">
        <v>1</v>
      </c>
    </row>
    <row r="466" spans="1:26" ht="14.25" hidden="1" customHeight="1" x14ac:dyDescent="0.15">
      <c r="A466" s="24" t="s">
        <v>296</v>
      </c>
      <c r="B466" s="24" t="s">
        <v>188</v>
      </c>
      <c r="C466" s="25">
        <v>612</v>
      </c>
      <c r="D466" s="24" t="s">
        <v>65</v>
      </c>
      <c r="F466" s="24" t="s">
        <v>217</v>
      </c>
      <c r="G466" s="21">
        <v>1987</v>
      </c>
      <c r="H466" s="21">
        <v>0</v>
      </c>
      <c r="I466" s="21">
        <f t="shared" ca="1" si="35"/>
        <v>39</v>
      </c>
      <c r="J466" s="21">
        <v>3</v>
      </c>
      <c r="K466" s="25" t="str">
        <f t="shared" ca="1" si="36"/>
        <v>Activo</v>
      </c>
      <c r="L466" s="25" t="s">
        <v>49</v>
      </c>
      <c r="O466" s="25">
        <v>62.64</v>
      </c>
      <c r="Q466" s="34">
        <v>365</v>
      </c>
      <c r="R466" s="25" t="s">
        <v>64</v>
      </c>
      <c r="S466" s="28">
        <v>46198</v>
      </c>
      <c r="T466" s="28">
        <f t="shared" si="37"/>
        <v>46563</v>
      </c>
      <c r="U466" s="25">
        <f t="shared" ca="1" si="38"/>
        <v>302</v>
      </c>
      <c r="V466" s="25" t="str">
        <f t="shared" ca="1" si="39"/>
        <v>AL DÍA</v>
      </c>
      <c r="W466" s="25" t="s">
        <v>24</v>
      </c>
      <c r="X466" s="25" t="s">
        <v>262</v>
      </c>
      <c r="Y466" s="25">
        <v>2</v>
      </c>
    </row>
    <row r="467" spans="1:26" ht="14.25" hidden="1" customHeight="1" x14ac:dyDescent="0.15">
      <c r="A467" s="24" t="s">
        <v>296</v>
      </c>
      <c r="B467" s="24" t="s">
        <v>188</v>
      </c>
      <c r="C467" s="25">
        <v>612</v>
      </c>
      <c r="D467" s="24" t="s">
        <v>65</v>
      </c>
      <c r="F467" s="24" t="s">
        <v>218</v>
      </c>
      <c r="G467" s="21">
        <v>1987</v>
      </c>
      <c r="H467" s="21">
        <v>0</v>
      </c>
      <c r="I467" s="21">
        <f t="shared" ca="1" si="35"/>
        <v>39</v>
      </c>
      <c r="J467" s="21">
        <v>3</v>
      </c>
      <c r="K467" s="25" t="str">
        <f t="shared" ca="1" si="36"/>
        <v>Activo</v>
      </c>
      <c r="L467" s="25" t="s">
        <v>49</v>
      </c>
      <c r="O467" s="25" t="s">
        <v>227</v>
      </c>
      <c r="Q467" s="34">
        <v>365</v>
      </c>
      <c r="R467" s="25" t="s">
        <v>64</v>
      </c>
      <c r="S467" s="28">
        <v>46198</v>
      </c>
      <c r="T467" s="28">
        <f t="shared" si="37"/>
        <v>46563</v>
      </c>
      <c r="U467" s="25">
        <f t="shared" ca="1" si="38"/>
        <v>302</v>
      </c>
      <c r="V467" s="25" t="str">
        <f t="shared" ca="1" si="39"/>
        <v>AL DÍA</v>
      </c>
      <c r="W467" s="25" t="s">
        <v>24</v>
      </c>
      <c r="X467" s="25" t="s">
        <v>262</v>
      </c>
      <c r="Y467" s="25">
        <v>2</v>
      </c>
    </row>
    <row r="468" spans="1:26" ht="14.25" hidden="1" customHeight="1" x14ac:dyDescent="0.15">
      <c r="A468" s="24" t="s">
        <v>296</v>
      </c>
      <c r="B468" s="24" t="s">
        <v>188</v>
      </c>
      <c r="C468" s="25">
        <v>612</v>
      </c>
      <c r="D468" s="24" t="s">
        <v>16</v>
      </c>
      <c r="F468" s="24" t="s">
        <v>219</v>
      </c>
      <c r="G468" s="21">
        <v>2018</v>
      </c>
      <c r="H468" s="21">
        <v>15</v>
      </c>
      <c r="I468" s="21">
        <f t="shared" ca="1" si="35"/>
        <v>8</v>
      </c>
      <c r="J468" s="21">
        <v>3</v>
      </c>
      <c r="K468" s="25" t="str">
        <f t="shared" ca="1" si="36"/>
        <v>Activo</v>
      </c>
      <c r="L468" s="25" t="s">
        <v>223</v>
      </c>
      <c r="M468" s="25" t="s">
        <v>233</v>
      </c>
      <c r="O468" s="25" t="s">
        <v>221</v>
      </c>
      <c r="P468" s="25" t="s">
        <v>49</v>
      </c>
      <c r="Q468" s="34">
        <v>365</v>
      </c>
      <c r="R468" s="25" t="s">
        <v>64</v>
      </c>
      <c r="S468" s="28">
        <v>46198</v>
      </c>
      <c r="T468" s="28">
        <f t="shared" si="37"/>
        <v>46563</v>
      </c>
      <c r="U468" s="25">
        <f t="shared" ca="1" si="38"/>
        <v>302</v>
      </c>
      <c r="V468" s="25" t="str">
        <f t="shared" ca="1" si="39"/>
        <v>AL DÍA</v>
      </c>
      <c r="W468" s="25" t="s">
        <v>24</v>
      </c>
      <c r="X468" s="25" t="s">
        <v>271</v>
      </c>
      <c r="Y468" s="25">
        <v>2</v>
      </c>
      <c r="Z468" s="1" t="s">
        <v>303</v>
      </c>
    </row>
    <row r="469" spans="1:26" ht="14.25" hidden="1" customHeight="1" x14ac:dyDescent="0.15">
      <c r="A469" s="24" t="s">
        <v>296</v>
      </c>
      <c r="B469" s="24" t="s">
        <v>188</v>
      </c>
      <c r="C469" s="25">
        <v>612</v>
      </c>
      <c r="D469" s="24" t="s">
        <v>16</v>
      </c>
      <c r="F469" s="24" t="s">
        <v>224</v>
      </c>
      <c r="G469" s="71"/>
      <c r="H469" s="21">
        <v>0</v>
      </c>
      <c r="I469" s="21">
        <f t="shared" ca="1" si="35"/>
        <v>2026</v>
      </c>
      <c r="J469" s="21">
        <v>3</v>
      </c>
      <c r="K469" s="25" t="str">
        <f t="shared" ca="1" si="36"/>
        <v>Activo</v>
      </c>
      <c r="Q469" s="34">
        <v>365</v>
      </c>
      <c r="R469" s="25" t="s">
        <v>64</v>
      </c>
      <c r="S469" s="28">
        <v>46198</v>
      </c>
      <c r="T469" s="28">
        <f t="shared" si="37"/>
        <v>46563</v>
      </c>
      <c r="U469" s="25">
        <f t="shared" ca="1" si="38"/>
        <v>302</v>
      </c>
      <c r="V469" s="25" t="str">
        <f t="shared" ca="1" si="39"/>
        <v>AL DÍA</v>
      </c>
      <c r="W469" s="25" t="s">
        <v>24</v>
      </c>
      <c r="X469" s="25" t="s">
        <v>271</v>
      </c>
      <c r="Y469" s="25">
        <v>2</v>
      </c>
    </row>
    <row r="470" spans="1:26" ht="14.25" hidden="1" customHeight="1" x14ac:dyDescent="0.15">
      <c r="A470" s="24" t="s">
        <v>296</v>
      </c>
      <c r="B470" s="24" t="s">
        <v>188</v>
      </c>
      <c r="C470" s="25">
        <v>612</v>
      </c>
      <c r="D470" s="24" t="s">
        <v>65</v>
      </c>
      <c r="F470" s="24" t="s">
        <v>220</v>
      </c>
      <c r="G470" s="21">
        <v>1987</v>
      </c>
      <c r="H470" s="21">
        <v>0</v>
      </c>
      <c r="I470" s="21">
        <f t="shared" ca="1" si="35"/>
        <v>39</v>
      </c>
      <c r="J470" s="21">
        <v>3</v>
      </c>
      <c r="K470" s="25" t="str">
        <f t="shared" ca="1" si="36"/>
        <v>Activo</v>
      </c>
      <c r="L470" s="25" t="s">
        <v>49</v>
      </c>
      <c r="O470" s="25" t="s">
        <v>222</v>
      </c>
      <c r="Q470" s="34">
        <v>365</v>
      </c>
      <c r="R470" s="25" t="s">
        <v>64</v>
      </c>
      <c r="S470" s="28">
        <v>46198</v>
      </c>
      <c r="T470" s="28">
        <f t="shared" si="37"/>
        <v>46563</v>
      </c>
      <c r="U470" s="25">
        <f t="shared" ca="1" si="38"/>
        <v>302</v>
      </c>
      <c r="V470" s="25" t="str">
        <f t="shared" ca="1" si="39"/>
        <v>AL DÍA</v>
      </c>
      <c r="W470" s="25" t="s">
        <v>24</v>
      </c>
      <c r="X470" s="25" t="s">
        <v>262</v>
      </c>
      <c r="Y470" s="25">
        <v>2</v>
      </c>
    </row>
    <row r="471" spans="1:26" ht="14.25" hidden="1" customHeight="1" x14ac:dyDescent="0.15">
      <c r="A471" s="24" t="s">
        <v>296</v>
      </c>
      <c r="B471" s="24" t="s">
        <v>188</v>
      </c>
      <c r="C471" s="25">
        <v>613</v>
      </c>
      <c r="D471" s="24" t="s">
        <v>65</v>
      </c>
      <c r="F471" s="24" t="s">
        <v>215</v>
      </c>
      <c r="G471" s="21">
        <v>1987</v>
      </c>
      <c r="H471" s="21">
        <v>0</v>
      </c>
      <c r="I471" s="21">
        <f t="shared" ca="1" si="35"/>
        <v>39</v>
      </c>
      <c r="J471" s="21">
        <v>3</v>
      </c>
      <c r="K471" s="25" t="str">
        <f t="shared" ca="1" si="36"/>
        <v>Activo</v>
      </c>
      <c r="L471" s="25" t="s">
        <v>49</v>
      </c>
      <c r="M471" s="25" t="s">
        <v>49</v>
      </c>
      <c r="P471" s="25" t="s">
        <v>22</v>
      </c>
      <c r="Q471" s="34">
        <v>365</v>
      </c>
      <c r="R471" s="25" t="s">
        <v>64</v>
      </c>
      <c r="S471" s="28">
        <v>46198</v>
      </c>
      <c r="T471" s="28">
        <f t="shared" si="37"/>
        <v>46563</v>
      </c>
      <c r="U471" s="25">
        <f t="shared" ca="1" si="38"/>
        <v>302</v>
      </c>
      <c r="V471" s="25" t="str">
        <f t="shared" ca="1" si="39"/>
        <v>AL DÍA</v>
      </c>
      <c r="W471" s="25" t="s">
        <v>24</v>
      </c>
      <c r="X471" s="25" t="s">
        <v>271</v>
      </c>
      <c r="Y471" s="25">
        <v>2</v>
      </c>
    </row>
    <row r="472" spans="1:26" ht="14.25" hidden="1" customHeight="1" x14ac:dyDescent="0.15">
      <c r="A472" s="24" t="s">
        <v>296</v>
      </c>
      <c r="B472" s="24" t="s">
        <v>188</v>
      </c>
      <c r="C472" s="25">
        <v>613</v>
      </c>
      <c r="D472" s="24" t="s">
        <v>65</v>
      </c>
      <c r="F472" s="24" t="s">
        <v>216</v>
      </c>
      <c r="G472" s="21">
        <v>1987</v>
      </c>
      <c r="H472" s="21">
        <v>0</v>
      </c>
      <c r="I472" s="21">
        <f t="shared" ca="1" si="35"/>
        <v>39</v>
      </c>
      <c r="J472" s="21">
        <v>3</v>
      </c>
      <c r="K472" s="25" t="str">
        <f t="shared" ca="1" si="36"/>
        <v>Activo</v>
      </c>
      <c r="L472" s="25" t="s">
        <v>49</v>
      </c>
      <c r="P472" s="26" t="s">
        <v>22</v>
      </c>
      <c r="Q472" s="34">
        <v>365</v>
      </c>
      <c r="R472" s="25" t="s">
        <v>69</v>
      </c>
      <c r="S472" s="31">
        <v>46198</v>
      </c>
      <c r="T472" s="28">
        <f t="shared" si="37"/>
        <v>46563</v>
      </c>
      <c r="U472" s="25">
        <f t="shared" ca="1" si="38"/>
        <v>302</v>
      </c>
      <c r="V472" s="25" t="str">
        <f t="shared" ca="1" si="39"/>
        <v>AL DÍA</v>
      </c>
      <c r="W472" s="25" t="s">
        <v>24</v>
      </c>
      <c r="X472" s="25" t="s">
        <v>277</v>
      </c>
      <c r="Y472" s="25">
        <v>1</v>
      </c>
    </row>
    <row r="473" spans="1:26" ht="14.25" hidden="1" customHeight="1" x14ac:dyDescent="0.15">
      <c r="A473" s="24" t="s">
        <v>296</v>
      </c>
      <c r="B473" s="24" t="s">
        <v>188</v>
      </c>
      <c r="C473" s="25">
        <v>613</v>
      </c>
      <c r="D473" s="24" t="s">
        <v>65</v>
      </c>
      <c r="F473" s="24" t="s">
        <v>217</v>
      </c>
      <c r="G473" s="21">
        <v>1987</v>
      </c>
      <c r="H473" s="21">
        <v>0</v>
      </c>
      <c r="I473" s="21">
        <f t="shared" ca="1" si="35"/>
        <v>39</v>
      </c>
      <c r="J473" s="21">
        <v>3</v>
      </c>
      <c r="K473" s="25" t="str">
        <f t="shared" ca="1" si="36"/>
        <v>Activo</v>
      </c>
      <c r="L473" s="25" t="s">
        <v>49</v>
      </c>
      <c r="O473" s="25">
        <v>62.64</v>
      </c>
      <c r="P473" s="26"/>
      <c r="Q473" s="34">
        <v>365</v>
      </c>
      <c r="R473" s="25" t="s">
        <v>64</v>
      </c>
      <c r="S473" s="28">
        <v>46198</v>
      </c>
      <c r="T473" s="28">
        <f t="shared" si="37"/>
        <v>46563</v>
      </c>
      <c r="U473" s="25">
        <f t="shared" ca="1" si="38"/>
        <v>302</v>
      </c>
      <c r="V473" s="25" t="str">
        <f t="shared" ca="1" si="39"/>
        <v>AL DÍA</v>
      </c>
      <c r="W473" s="25" t="s">
        <v>24</v>
      </c>
      <c r="X473" s="25" t="s">
        <v>262</v>
      </c>
      <c r="Y473" s="25">
        <v>2</v>
      </c>
    </row>
    <row r="474" spans="1:26" ht="14.25" hidden="1" customHeight="1" x14ac:dyDescent="0.15">
      <c r="A474" s="24" t="s">
        <v>296</v>
      </c>
      <c r="B474" s="24" t="s">
        <v>188</v>
      </c>
      <c r="C474" s="25">
        <v>613</v>
      </c>
      <c r="D474" s="24" t="s">
        <v>65</v>
      </c>
      <c r="F474" s="24" t="s">
        <v>218</v>
      </c>
      <c r="G474" s="21">
        <v>1987</v>
      </c>
      <c r="H474" s="21">
        <v>0</v>
      </c>
      <c r="I474" s="21">
        <f t="shared" ca="1" si="35"/>
        <v>39</v>
      </c>
      <c r="J474" s="21">
        <v>3</v>
      </c>
      <c r="K474" s="25" t="str">
        <f t="shared" ca="1" si="36"/>
        <v>Activo</v>
      </c>
      <c r="L474" s="25" t="s">
        <v>49</v>
      </c>
      <c r="O474" s="25" t="s">
        <v>227</v>
      </c>
      <c r="P474" s="26"/>
      <c r="Q474" s="34">
        <v>365</v>
      </c>
      <c r="R474" s="25" t="s">
        <v>64</v>
      </c>
      <c r="S474" s="28">
        <v>46198</v>
      </c>
      <c r="T474" s="28">
        <f t="shared" si="37"/>
        <v>46563</v>
      </c>
      <c r="U474" s="25">
        <f t="shared" ca="1" si="38"/>
        <v>302</v>
      </c>
      <c r="V474" s="25" t="str">
        <f t="shared" ca="1" si="39"/>
        <v>AL DÍA</v>
      </c>
      <c r="W474" s="25" t="s">
        <v>24</v>
      </c>
      <c r="X474" s="25" t="s">
        <v>262</v>
      </c>
      <c r="Y474" s="25">
        <v>2</v>
      </c>
    </row>
    <row r="475" spans="1:26" ht="14.25" hidden="1" customHeight="1" x14ac:dyDescent="0.15">
      <c r="A475" s="24" t="s">
        <v>296</v>
      </c>
      <c r="B475" s="24" t="s">
        <v>188</v>
      </c>
      <c r="C475" s="25">
        <v>613</v>
      </c>
      <c r="D475" s="24" t="s">
        <v>16</v>
      </c>
      <c r="F475" s="24" t="s">
        <v>219</v>
      </c>
      <c r="G475" s="21">
        <v>2018</v>
      </c>
      <c r="H475" s="21">
        <v>15</v>
      </c>
      <c r="I475" s="21">
        <f t="shared" ca="1" si="35"/>
        <v>8</v>
      </c>
      <c r="J475" s="21">
        <v>3</v>
      </c>
      <c r="K475" s="25" t="str">
        <f t="shared" ca="1" si="36"/>
        <v>Activo</v>
      </c>
      <c r="L475" s="25" t="s">
        <v>223</v>
      </c>
      <c r="M475" s="25" t="s">
        <v>233</v>
      </c>
      <c r="O475" s="25" t="s">
        <v>221</v>
      </c>
      <c r="P475" s="26" t="s">
        <v>49</v>
      </c>
      <c r="Q475" s="34">
        <v>365</v>
      </c>
      <c r="R475" s="25" t="s">
        <v>64</v>
      </c>
      <c r="S475" s="28">
        <v>46198</v>
      </c>
      <c r="T475" s="28">
        <f t="shared" si="37"/>
        <v>46563</v>
      </c>
      <c r="U475" s="25">
        <f t="shared" ca="1" si="38"/>
        <v>302</v>
      </c>
      <c r="V475" s="25" t="str">
        <f t="shared" ca="1" si="39"/>
        <v>AL DÍA</v>
      </c>
      <c r="W475" s="25" t="s">
        <v>24</v>
      </c>
      <c r="X475" s="25" t="s">
        <v>271</v>
      </c>
      <c r="Y475" s="25">
        <v>2</v>
      </c>
      <c r="Z475" s="1" t="s">
        <v>303</v>
      </c>
    </row>
    <row r="476" spans="1:26" ht="14.25" hidden="1" customHeight="1" x14ac:dyDescent="0.15">
      <c r="A476" s="24" t="s">
        <v>296</v>
      </c>
      <c r="B476" s="24" t="s">
        <v>188</v>
      </c>
      <c r="C476" s="25">
        <v>613</v>
      </c>
      <c r="D476" s="24" t="s">
        <v>16</v>
      </c>
      <c r="F476" s="24" t="s">
        <v>224</v>
      </c>
      <c r="G476" s="71"/>
      <c r="H476" s="21">
        <v>0</v>
      </c>
      <c r="I476" s="21">
        <f t="shared" ca="1" si="35"/>
        <v>2026</v>
      </c>
      <c r="J476" s="21">
        <v>3</v>
      </c>
      <c r="K476" s="25" t="str">
        <f t="shared" ca="1" si="36"/>
        <v>Activo</v>
      </c>
      <c r="Q476" s="34">
        <v>365</v>
      </c>
      <c r="R476" s="25" t="s">
        <v>64</v>
      </c>
      <c r="S476" s="28">
        <v>46198</v>
      </c>
      <c r="T476" s="28">
        <f t="shared" si="37"/>
        <v>46563</v>
      </c>
      <c r="U476" s="25">
        <f t="shared" ca="1" si="38"/>
        <v>302</v>
      </c>
      <c r="V476" s="25" t="str">
        <f t="shared" ca="1" si="39"/>
        <v>AL DÍA</v>
      </c>
      <c r="W476" s="25" t="s">
        <v>24</v>
      </c>
      <c r="X476" s="25" t="s">
        <v>271</v>
      </c>
      <c r="Y476" s="25">
        <v>2</v>
      </c>
    </row>
    <row r="477" spans="1:26" ht="14.25" hidden="1" customHeight="1" x14ac:dyDescent="0.15">
      <c r="A477" s="24" t="s">
        <v>296</v>
      </c>
      <c r="B477" s="24" t="s">
        <v>188</v>
      </c>
      <c r="C477" s="25">
        <v>613</v>
      </c>
      <c r="D477" s="24" t="s">
        <v>65</v>
      </c>
      <c r="F477" s="24" t="s">
        <v>220</v>
      </c>
      <c r="G477" s="21">
        <v>1987</v>
      </c>
      <c r="H477" s="21">
        <v>0</v>
      </c>
      <c r="I477" s="21">
        <f t="shared" ca="1" si="35"/>
        <v>39</v>
      </c>
      <c r="J477" s="21">
        <v>3</v>
      </c>
      <c r="K477" s="25" t="str">
        <f t="shared" ca="1" si="36"/>
        <v>Activo</v>
      </c>
      <c r="L477" s="25" t="s">
        <v>49</v>
      </c>
      <c r="O477" s="25" t="s">
        <v>222</v>
      </c>
      <c r="Q477" s="34">
        <v>365</v>
      </c>
      <c r="R477" s="25" t="s">
        <v>64</v>
      </c>
      <c r="S477" s="28">
        <v>46198</v>
      </c>
      <c r="T477" s="28">
        <f t="shared" si="37"/>
        <v>46563</v>
      </c>
      <c r="U477" s="25">
        <f t="shared" ca="1" si="38"/>
        <v>302</v>
      </c>
      <c r="V477" s="25" t="str">
        <f t="shared" ca="1" si="39"/>
        <v>AL DÍA</v>
      </c>
      <c r="W477" s="25" t="s">
        <v>24</v>
      </c>
      <c r="X477" s="25" t="s">
        <v>262</v>
      </c>
      <c r="Y477" s="25">
        <v>2</v>
      </c>
    </row>
    <row r="478" spans="1:26" ht="14.25" hidden="1" customHeight="1" x14ac:dyDescent="0.15">
      <c r="A478" s="24" t="s">
        <v>296</v>
      </c>
      <c r="B478" s="24" t="s">
        <v>188</v>
      </c>
      <c r="C478" s="25">
        <v>614</v>
      </c>
      <c r="D478" s="24" t="s">
        <v>65</v>
      </c>
      <c r="F478" s="24" t="s">
        <v>215</v>
      </c>
      <c r="G478" s="21">
        <v>1987</v>
      </c>
      <c r="H478" s="21">
        <v>0</v>
      </c>
      <c r="I478" s="21">
        <f t="shared" ca="1" si="35"/>
        <v>39</v>
      </c>
      <c r="J478" s="21">
        <v>3</v>
      </c>
      <c r="K478" s="25" t="str">
        <f t="shared" ca="1" si="36"/>
        <v>Activo</v>
      </c>
      <c r="L478" s="25" t="s">
        <v>49</v>
      </c>
      <c r="M478" s="25" t="s">
        <v>49</v>
      </c>
      <c r="P478" s="25" t="s">
        <v>22</v>
      </c>
      <c r="Q478" s="34">
        <v>365</v>
      </c>
      <c r="R478" s="25" t="s">
        <v>64</v>
      </c>
      <c r="S478" s="28">
        <v>46198</v>
      </c>
      <c r="T478" s="28">
        <f t="shared" si="37"/>
        <v>46563</v>
      </c>
      <c r="U478" s="25">
        <f t="shared" ca="1" si="38"/>
        <v>302</v>
      </c>
      <c r="V478" s="25" t="str">
        <f t="shared" ca="1" si="39"/>
        <v>AL DÍA</v>
      </c>
      <c r="W478" s="25" t="s">
        <v>24</v>
      </c>
      <c r="X478" s="25" t="s">
        <v>271</v>
      </c>
      <c r="Y478" s="25">
        <v>2</v>
      </c>
    </row>
    <row r="479" spans="1:26" ht="14.25" hidden="1" customHeight="1" x14ac:dyDescent="0.15">
      <c r="A479" s="24" t="s">
        <v>296</v>
      </c>
      <c r="B479" s="24" t="s">
        <v>188</v>
      </c>
      <c r="C479" s="25">
        <v>614</v>
      </c>
      <c r="D479" s="24" t="s">
        <v>65</v>
      </c>
      <c r="F479" s="24" t="s">
        <v>216</v>
      </c>
      <c r="G479" s="21">
        <v>1987</v>
      </c>
      <c r="H479" s="21">
        <v>0</v>
      </c>
      <c r="I479" s="21">
        <f t="shared" ca="1" si="35"/>
        <v>39</v>
      </c>
      <c r="J479" s="21">
        <v>3</v>
      </c>
      <c r="K479" s="25" t="str">
        <f t="shared" ca="1" si="36"/>
        <v>Activo</v>
      </c>
      <c r="L479" s="25" t="s">
        <v>49</v>
      </c>
      <c r="P479" s="25" t="s">
        <v>22</v>
      </c>
      <c r="Q479" s="32">
        <v>365</v>
      </c>
      <c r="R479" s="25" t="s">
        <v>69</v>
      </c>
      <c r="S479" s="29">
        <v>46198</v>
      </c>
      <c r="T479" s="28">
        <f t="shared" si="37"/>
        <v>46563</v>
      </c>
      <c r="U479" s="25">
        <f t="shared" ca="1" si="38"/>
        <v>302</v>
      </c>
      <c r="V479" s="25" t="str">
        <f t="shared" ca="1" si="39"/>
        <v>AL DÍA</v>
      </c>
      <c r="W479" s="25" t="s">
        <v>24</v>
      </c>
      <c r="X479" s="25" t="s">
        <v>277</v>
      </c>
      <c r="Y479" s="25">
        <v>1</v>
      </c>
    </row>
    <row r="480" spans="1:26" ht="14.25" hidden="1" customHeight="1" x14ac:dyDescent="0.15">
      <c r="A480" s="24" t="s">
        <v>296</v>
      </c>
      <c r="B480" s="24" t="s">
        <v>188</v>
      </c>
      <c r="C480" s="25">
        <v>614</v>
      </c>
      <c r="D480" s="24" t="s">
        <v>65</v>
      </c>
      <c r="F480" s="24" t="s">
        <v>217</v>
      </c>
      <c r="G480" s="21">
        <v>1987</v>
      </c>
      <c r="H480" s="21">
        <v>0</v>
      </c>
      <c r="I480" s="21">
        <f t="shared" ca="1" si="35"/>
        <v>39</v>
      </c>
      <c r="J480" s="21">
        <v>3</v>
      </c>
      <c r="K480" s="25" t="str">
        <f t="shared" ca="1" si="36"/>
        <v>Activo</v>
      </c>
      <c r="L480" s="25" t="s">
        <v>49</v>
      </c>
      <c r="O480" s="25">
        <v>41.8</v>
      </c>
      <c r="P480" s="26"/>
      <c r="Q480" s="34">
        <v>365</v>
      </c>
      <c r="R480" s="25" t="s">
        <v>64</v>
      </c>
      <c r="S480" s="28">
        <v>46198</v>
      </c>
      <c r="T480" s="28">
        <f t="shared" si="37"/>
        <v>46563</v>
      </c>
      <c r="U480" s="25">
        <f t="shared" ca="1" si="38"/>
        <v>302</v>
      </c>
      <c r="V480" s="25" t="str">
        <f t="shared" ca="1" si="39"/>
        <v>AL DÍA</v>
      </c>
      <c r="W480" s="25" t="s">
        <v>24</v>
      </c>
      <c r="X480" s="25" t="s">
        <v>262</v>
      </c>
      <c r="Y480" s="25">
        <v>2</v>
      </c>
    </row>
    <row r="481" spans="1:26" ht="14.25" hidden="1" customHeight="1" x14ac:dyDescent="0.15">
      <c r="A481" s="24" t="s">
        <v>296</v>
      </c>
      <c r="B481" s="24" t="s">
        <v>188</v>
      </c>
      <c r="C481" s="25">
        <v>614</v>
      </c>
      <c r="D481" s="24" t="s">
        <v>65</v>
      </c>
      <c r="F481" s="24" t="s">
        <v>218</v>
      </c>
      <c r="G481" s="21">
        <v>1987</v>
      </c>
      <c r="H481" s="21">
        <v>0</v>
      </c>
      <c r="I481" s="21">
        <f t="shared" ca="1" si="35"/>
        <v>39</v>
      </c>
      <c r="J481" s="21">
        <v>3</v>
      </c>
      <c r="K481" s="25" t="str">
        <f t="shared" ca="1" si="36"/>
        <v>Activo</v>
      </c>
      <c r="L481" s="25" t="s">
        <v>49</v>
      </c>
      <c r="O481" s="25" t="s">
        <v>227</v>
      </c>
      <c r="P481" s="26"/>
      <c r="Q481" s="34">
        <v>365</v>
      </c>
      <c r="R481" s="25" t="s">
        <v>64</v>
      </c>
      <c r="S481" s="28">
        <v>46198</v>
      </c>
      <c r="T481" s="28">
        <f t="shared" si="37"/>
        <v>46563</v>
      </c>
      <c r="U481" s="25">
        <f t="shared" ca="1" si="38"/>
        <v>302</v>
      </c>
      <c r="V481" s="25" t="str">
        <f t="shared" ca="1" si="39"/>
        <v>AL DÍA</v>
      </c>
      <c r="W481" s="25" t="s">
        <v>24</v>
      </c>
      <c r="X481" s="25" t="s">
        <v>262</v>
      </c>
      <c r="Y481" s="25">
        <v>2</v>
      </c>
    </row>
    <row r="482" spans="1:26" ht="14.25" hidden="1" customHeight="1" x14ac:dyDescent="0.15">
      <c r="A482" s="24" t="s">
        <v>296</v>
      </c>
      <c r="B482" s="24" t="s">
        <v>188</v>
      </c>
      <c r="C482" s="25">
        <v>614</v>
      </c>
      <c r="D482" s="24" t="s">
        <v>16</v>
      </c>
      <c r="F482" s="24" t="s">
        <v>219</v>
      </c>
      <c r="G482" s="21">
        <v>2018</v>
      </c>
      <c r="H482" s="21">
        <v>15</v>
      </c>
      <c r="I482" s="21">
        <f t="shared" ca="1" si="35"/>
        <v>8</v>
      </c>
      <c r="J482" s="21">
        <v>3</v>
      </c>
      <c r="K482" s="25" t="str">
        <f t="shared" ca="1" si="36"/>
        <v>Activo</v>
      </c>
      <c r="L482" s="25" t="s">
        <v>223</v>
      </c>
      <c r="M482" s="25" t="s">
        <v>233</v>
      </c>
      <c r="O482" s="25" t="s">
        <v>221</v>
      </c>
      <c r="P482" s="25" t="s">
        <v>49</v>
      </c>
      <c r="Q482" s="34">
        <v>365</v>
      </c>
      <c r="R482" s="25" t="s">
        <v>64</v>
      </c>
      <c r="S482" s="28">
        <v>46198</v>
      </c>
      <c r="T482" s="28">
        <f t="shared" si="37"/>
        <v>46563</v>
      </c>
      <c r="U482" s="25">
        <f t="shared" ca="1" si="38"/>
        <v>302</v>
      </c>
      <c r="V482" s="25" t="str">
        <f t="shared" ca="1" si="39"/>
        <v>AL DÍA</v>
      </c>
      <c r="W482" s="25" t="s">
        <v>24</v>
      </c>
      <c r="X482" s="25" t="s">
        <v>271</v>
      </c>
      <c r="Y482" s="25">
        <v>2</v>
      </c>
      <c r="Z482" s="1" t="s">
        <v>303</v>
      </c>
    </row>
    <row r="483" spans="1:26" ht="14.25" hidden="1" customHeight="1" x14ac:dyDescent="0.15">
      <c r="A483" s="24" t="s">
        <v>296</v>
      </c>
      <c r="B483" s="24" t="s">
        <v>188</v>
      </c>
      <c r="C483" s="25">
        <v>614</v>
      </c>
      <c r="D483" s="24" t="s">
        <v>16</v>
      </c>
      <c r="F483" s="24" t="s">
        <v>224</v>
      </c>
      <c r="G483" s="71"/>
      <c r="H483" s="21">
        <v>0</v>
      </c>
      <c r="I483" s="21">
        <f t="shared" ca="1" si="35"/>
        <v>2026</v>
      </c>
      <c r="J483" s="21">
        <v>3</v>
      </c>
      <c r="K483" s="25" t="str">
        <f t="shared" ca="1" si="36"/>
        <v>Activo</v>
      </c>
      <c r="Q483" s="34">
        <v>365</v>
      </c>
      <c r="R483" s="25" t="s">
        <v>64</v>
      </c>
      <c r="S483" s="28">
        <v>46198</v>
      </c>
      <c r="T483" s="28">
        <f t="shared" si="37"/>
        <v>46563</v>
      </c>
      <c r="U483" s="25">
        <f t="shared" ca="1" si="38"/>
        <v>302</v>
      </c>
      <c r="V483" s="25" t="str">
        <f t="shared" ca="1" si="39"/>
        <v>AL DÍA</v>
      </c>
      <c r="W483" s="25" t="s">
        <v>24</v>
      </c>
      <c r="X483" s="25" t="s">
        <v>271</v>
      </c>
      <c r="Y483" s="25">
        <v>2</v>
      </c>
    </row>
    <row r="484" spans="1:26" ht="14.25" hidden="1" customHeight="1" x14ac:dyDescent="0.15">
      <c r="A484" s="24" t="s">
        <v>296</v>
      </c>
      <c r="B484" s="24" t="s">
        <v>188</v>
      </c>
      <c r="C484" s="25">
        <v>614</v>
      </c>
      <c r="D484" s="24" t="s">
        <v>65</v>
      </c>
      <c r="F484" s="24" t="s">
        <v>220</v>
      </c>
      <c r="G484" s="21">
        <v>1987</v>
      </c>
      <c r="H484" s="21">
        <v>0</v>
      </c>
      <c r="I484" s="21">
        <f t="shared" ca="1" si="35"/>
        <v>39</v>
      </c>
      <c r="J484" s="21">
        <v>3</v>
      </c>
      <c r="K484" s="25" t="str">
        <f t="shared" ca="1" si="36"/>
        <v>Activo</v>
      </c>
      <c r="L484" s="25" t="s">
        <v>49</v>
      </c>
      <c r="O484" s="25" t="s">
        <v>222</v>
      </c>
      <c r="Q484" s="34">
        <v>365</v>
      </c>
      <c r="R484" s="25" t="s">
        <v>64</v>
      </c>
      <c r="S484" s="28">
        <v>46198</v>
      </c>
      <c r="T484" s="28">
        <f t="shared" si="37"/>
        <v>46563</v>
      </c>
      <c r="U484" s="25">
        <f t="shared" ca="1" si="38"/>
        <v>302</v>
      </c>
      <c r="V484" s="25" t="str">
        <f t="shared" ca="1" si="39"/>
        <v>AL DÍA</v>
      </c>
      <c r="W484" s="25" t="s">
        <v>24</v>
      </c>
      <c r="X484" s="25" t="s">
        <v>262</v>
      </c>
      <c r="Y484" s="25">
        <v>2</v>
      </c>
    </row>
    <row r="485" spans="1:26" ht="14.25" hidden="1" customHeight="1" x14ac:dyDescent="0.15">
      <c r="A485" s="24" t="s">
        <v>296</v>
      </c>
      <c r="B485" s="24" t="s">
        <v>188</v>
      </c>
      <c r="C485" s="25">
        <v>615</v>
      </c>
      <c r="D485" s="24" t="s">
        <v>65</v>
      </c>
      <c r="F485" s="24" t="s">
        <v>215</v>
      </c>
      <c r="G485" s="21">
        <v>1987</v>
      </c>
      <c r="H485" s="21">
        <v>0</v>
      </c>
      <c r="I485" s="21">
        <f t="shared" ca="1" si="35"/>
        <v>39</v>
      </c>
      <c r="J485" s="21">
        <v>3</v>
      </c>
      <c r="K485" s="25" t="str">
        <f t="shared" ca="1" si="36"/>
        <v>Activo</v>
      </c>
      <c r="L485" s="25" t="s">
        <v>49</v>
      </c>
      <c r="M485" s="25" t="s">
        <v>49</v>
      </c>
      <c r="P485" s="25" t="s">
        <v>22</v>
      </c>
      <c r="Q485" s="34">
        <v>365</v>
      </c>
      <c r="R485" s="25" t="s">
        <v>64</v>
      </c>
      <c r="S485" s="28">
        <v>46198</v>
      </c>
      <c r="T485" s="28">
        <f t="shared" si="37"/>
        <v>46563</v>
      </c>
      <c r="U485" s="25">
        <f t="shared" ca="1" si="38"/>
        <v>302</v>
      </c>
      <c r="V485" s="25" t="str">
        <f t="shared" ca="1" si="39"/>
        <v>AL DÍA</v>
      </c>
      <c r="W485" s="25" t="s">
        <v>24</v>
      </c>
      <c r="X485" s="25" t="s">
        <v>271</v>
      </c>
      <c r="Y485" s="25">
        <v>2</v>
      </c>
    </row>
    <row r="486" spans="1:26" ht="14.25" hidden="1" customHeight="1" x14ac:dyDescent="0.15">
      <c r="A486" s="24" t="s">
        <v>296</v>
      </c>
      <c r="B486" s="24" t="s">
        <v>188</v>
      </c>
      <c r="C486" s="25">
        <v>615</v>
      </c>
      <c r="D486" s="24" t="s">
        <v>65</v>
      </c>
      <c r="F486" s="24" t="s">
        <v>216</v>
      </c>
      <c r="G486" s="21">
        <v>1987</v>
      </c>
      <c r="H486" s="21">
        <v>0</v>
      </c>
      <c r="I486" s="21">
        <f t="shared" ca="1" si="35"/>
        <v>39</v>
      </c>
      <c r="J486" s="21">
        <v>3</v>
      </c>
      <c r="K486" s="25" t="str">
        <f t="shared" ca="1" si="36"/>
        <v>Activo</v>
      </c>
      <c r="L486" s="25" t="s">
        <v>49</v>
      </c>
      <c r="P486" s="26" t="s">
        <v>22</v>
      </c>
      <c r="Q486" s="34">
        <v>365</v>
      </c>
      <c r="R486" s="25" t="s">
        <v>69</v>
      </c>
      <c r="S486" s="29">
        <v>46198</v>
      </c>
      <c r="T486" s="28">
        <f t="shared" si="37"/>
        <v>46563</v>
      </c>
      <c r="U486" s="25">
        <f t="shared" ca="1" si="38"/>
        <v>302</v>
      </c>
      <c r="V486" s="25" t="str">
        <f t="shared" ca="1" si="39"/>
        <v>AL DÍA</v>
      </c>
      <c r="W486" s="25" t="s">
        <v>24</v>
      </c>
      <c r="X486" s="25" t="s">
        <v>277</v>
      </c>
      <c r="Y486" s="25">
        <v>1</v>
      </c>
    </row>
    <row r="487" spans="1:26" ht="14.25" hidden="1" customHeight="1" x14ac:dyDescent="0.15">
      <c r="A487" s="24" t="s">
        <v>296</v>
      </c>
      <c r="B487" s="24" t="s">
        <v>188</v>
      </c>
      <c r="C487" s="25">
        <v>615</v>
      </c>
      <c r="D487" s="24" t="s">
        <v>65</v>
      </c>
      <c r="F487" s="24" t="s">
        <v>217</v>
      </c>
      <c r="G487" s="21">
        <v>1987</v>
      </c>
      <c r="H487" s="21">
        <v>0</v>
      </c>
      <c r="I487" s="21">
        <f t="shared" ca="1" si="35"/>
        <v>39</v>
      </c>
      <c r="J487" s="21">
        <v>3</v>
      </c>
      <c r="K487" s="25" t="str">
        <f t="shared" ca="1" si="36"/>
        <v>Activo</v>
      </c>
      <c r="L487" s="25" t="s">
        <v>49</v>
      </c>
      <c r="O487" s="25">
        <v>62.64</v>
      </c>
      <c r="Q487" s="34">
        <v>365</v>
      </c>
      <c r="R487" s="25" t="s">
        <v>64</v>
      </c>
      <c r="S487" s="28">
        <v>46198</v>
      </c>
      <c r="T487" s="28">
        <f t="shared" si="37"/>
        <v>46563</v>
      </c>
      <c r="U487" s="25">
        <f t="shared" ca="1" si="38"/>
        <v>302</v>
      </c>
      <c r="V487" s="25" t="str">
        <f t="shared" ca="1" si="39"/>
        <v>AL DÍA</v>
      </c>
      <c r="W487" s="25" t="s">
        <v>24</v>
      </c>
      <c r="X487" s="25" t="s">
        <v>262</v>
      </c>
      <c r="Y487" s="25">
        <v>2</v>
      </c>
    </row>
    <row r="488" spans="1:26" ht="14.25" hidden="1" customHeight="1" x14ac:dyDescent="0.15">
      <c r="A488" s="24" t="s">
        <v>296</v>
      </c>
      <c r="B488" s="24" t="s">
        <v>188</v>
      </c>
      <c r="C488" s="25">
        <v>615</v>
      </c>
      <c r="D488" s="24" t="s">
        <v>65</v>
      </c>
      <c r="F488" s="24" t="s">
        <v>218</v>
      </c>
      <c r="G488" s="21">
        <v>1987</v>
      </c>
      <c r="H488" s="21">
        <v>0</v>
      </c>
      <c r="I488" s="21">
        <f t="shared" ca="1" si="35"/>
        <v>39</v>
      </c>
      <c r="J488" s="21">
        <v>3</v>
      </c>
      <c r="K488" s="25" t="str">
        <f t="shared" ca="1" si="36"/>
        <v>Activo</v>
      </c>
      <c r="L488" s="25" t="s">
        <v>49</v>
      </c>
      <c r="O488" s="26" t="s">
        <v>227</v>
      </c>
      <c r="P488" s="26"/>
      <c r="Q488" s="34">
        <v>365</v>
      </c>
      <c r="R488" s="25" t="s">
        <v>64</v>
      </c>
      <c r="S488" s="28">
        <v>46198</v>
      </c>
      <c r="T488" s="28">
        <f t="shared" si="37"/>
        <v>46563</v>
      </c>
      <c r="U488" s="25">
        <f t="shared" ca="1" si="38"/>
        <v>302</v>
      </c>
      <c r="V488" s="25" t="str">
        <f t="shared" ca="1" si="39"/>
        <v>AL DÍA</v>
      </c>
      <c r="W488" s="25" t="s">
        <v>24</v>
      </c>
      <c r="X488" s="25" t="s">
        <v>262</v>
      </c>
      <c r="Y488" s="25">
        <v>2</v>
      </c>
    </row>
    <row r="489" spans="1:26" ht="14.25" hidden="1" customHeight="1" x14ac:dyDescent="0.15">
      <c r="A489" s="24" t="s">
        <v>296</v>
      </c>
      <c r="B489" s="24" t="s">
        <v>188</v>
      </c>
      <c r="C489" s="25">
        <v>615</v>
      </c>
      <c r="D489" s="24" t="s">
        <v>16</v>
      </c>
      <c r="F489" s="24" t="s">
        <v>219</v>
      </c>
      <c r="G489" s="21">
        <v>2018</v>
      </c>
      <c r="H489" s="21">
        <v>15</v>
      </c>
      <c r="I489" s="21">
        <f t="shared" ca="1" si="35"/>
        <v>8</v>
      </c>
      <c r="J489" s="21">
        <v>3</v>
      </c>
      <c r="K489" s="25" t="str">
        <f t="shared" ca="1" si="36"/>
        <v>Activo</v>
      </c>
      <c r="L489" s="25" t="s">
        <v>223</v>
      </c>
      <c r="M489" s="25" t="s">
        <v>233</v>
      </c>
      <c r="O489" s="25" t="s">
        <v>221</v>
      </c>
      <c r="P489" s="25" t="s">
        <v>49</v>
      </c>
      <c r="Q489" s="34">
        <v>365</v>
      </c>
      <c r="R489" s="25" t="s">
        <v>64</v>
      </c>
      <c r="S489" s="28">
        <v>46198</v>
      </c>
      <c r="T489" s="28">
        <f t="shared" si="37"/>
        <v>46563</v>
      </c>
      <c r="U489" s="25">
        <f t="shared" ca="1" si="38"/>
        <v>302</v>
      </c>
      <c r="V489" s="25" t="str">
        <f t="shared" ca="1" si="39"/>
        <v>AL DÍA</v>
      </c>
      <c r="W489" s="25" t="s">
        <v>24</v>
      </c>
      <c r="X489" s="25" t="s">
        <v>271</v>
      </c>
      <c r="Y489" s="25">
        <v>2</v>
      </c>
      <c r="Z489" s="1" t="s">
        <v>303</v>
      </c>
    </row>
    <row r="490" spans="1:26" ht="14.25" hidden="1" customHeight="1" x14ac:dyDescent="0.15">
      <c r="A490" s="24" t="s">
        <v>296</v>
      </c>
      <c r="B490" s="24" t="s">
        <v>188</v>
      </c>
      <c r="C490" s="26">
        <v>615</v>
      </c>
      <c r="D490" s="24" t="s">
        <v>16</v>
      </c>
      <c r="F490" s="24" t="s">
        <v>224</v>
      </c>
      <c r="G490" s="71"/>
      <c r="H490" s="21">
        <v>0</v>
      </c>
      <c r="I490" s="21">
        <f t="shared" ca="1" si="35"/>
        <v>2026</v>
      </c>
      <c r="J490" s="21">
        <v>3</v>
      </c>
      <c r="K490" s="25" t="str">
        <f t="shared" ca="1" si="36"/>
        <v>Activo</v>
      </c>
      <c r="Q490" s="34">
        <v>365</v>
      </c>
      <c r="R490" s="25" t="s">
        <v>64</v>
      </c>
      <c r="S490" s="28">
        <v>46198</v>
      </c>
      <c r="T490" s="28">
        <f t="shared" si="37"/>
        <v>46563</v>
      </c>
      <c r="U490" s="25">
        <f t="shared" ca="1" si="38"/>
        <v>302</v>
      </c>
      <c r="V490" s="25" t="str">
        <f t="shared" ca="1" si="39"/>
        <v>AL DÍA</v>
      </c>
      <c r="W490" s="25" t="s">
        <v>24</v>
      </c>
      <c r="X490" s="25" t="s">
        <v>271</v>
      </c>
      <c r="Y490" s="25">
        <v>2</v>
      </c>
    </row>
    <row r="491" spans="1:26" ht="14.25" hidden="1" customHeight="1" x14ac:dyDescent="0.15">
      <c r="A491" s="24" t="s">
        <v>296</v>
      </c>
      <c r="B491" s="24" t="s">
        <v>188</v>
      </c>
      <c r="C491" s="26">
        <v>615</v>
      </c>
      <c r="D491" s="24" t="s">
        <v>65</v>
      </c>
      <c r="F491" s="24" t="s">
        <v>220</v>
      </c>
      <c r="G491" s="21">
        <v>1987</v>
      </c>
      <c r="H491" s="21">
        <v>0</v>
      </c>
      <c r="I491" s="21">
        <f t="shared" ca="1" si="35"/>
        <v>39</v>
      </c>
      <c r="J491" s="21">
        <v>3</v>
      </c>
      <c r="K491" s="25" t="str">
        <f t="shared" ca="1" si="36"/>
        <v>Activo</v>
      </c>
      <c r="L491" s="25" t="s">
        <v>49</v>
      </c>
      <c r="O491" s="25" t="s">
        <v>222</v>
      </c>
      <c r="Q491" s="34">
        <v>365</v>
      </c>
      <c r="R491" s="25" t="s">
        <v>64</v>
      </c>
      <c r="S491" s="28">
        <v>46198</v>
      </c>
      <c r="T491" s="28">
        <f t="shared" si="37"/>
        <v>46563</v>
      </c>
      <c r="U491" s="25">
        <f t="shared" ca="1" si="38"/>
        <v>302</v>
      </c>
      <c r="V491" s="25" t="str">
        <f t="shared" ca="1" si="39"/>
        <v>AL DÍA</v>
      </c>
      <c r="W491" s="25" t="s">
        <v>24</v>
      </c>
      <c r="X491" s="25" t="s">
        <v>262</v>
      </c>
      <c r="Y491" s="25">
        <v>2</v>
      </c>
    </row>
    <row r="492" spans="1:26" ht="14.25" hidden="1" customHeight="1" x14ac:dyDescent="0.15">
      <c r="A492" s="24" t="s">
        <v>296</v>
      </c>
      <c r="B492" s="24" t="s">
        <v>188</v>
      </c>
      <c r="C492" s="26">
        <v>618</v>
      </c>
      <c r="D492" s="24" t="s">
        <v>65</v>
      </c>
      <c r="F492" s="24" t="s">
        <v>215</v>
      </c>
      <c r="G492" s="21">
        <v>1987</v>
      </c>
      <c r="H492" s="21">
        <v>0</v>
      </c>
      <c r="I492" s="21">
        <f t="shared" ca="1" si="35"/>
        <v>39</v>
      </c>
      <c r="J492" s="21">
        <v>3</v>
      </c>
      <c r="K492" s="25" t="str">
        <f t="shared" ca="1" si="36"/>
        <v>Activo</v>
      </c>
      <c r="L492" s="25" t="s">
        <v>49</v>
      </c>
      <c r="M492" s="25" t="s">
        <v>49</v>
      </c>
      <c r="P492" s="25" t="s">
        <v>22</v>
      </c>
      <c r="Q492" s="34">
        <v>365</v>
      </c>
      <c r="R492" s="25" t="s">
        <v>64</v>
      </c>
      <c r="S492" s="28">
        <v>46198</v>
      </c>
      <c r="T492" s="28">
        <f t="shared" si="37"/>
        <v>46563</v>
      </c>
      <c r="U492" s="25">
        <f t="shared" ca="1" si="38"/>
        <v>302</v>
      </c>
      <c r="V492" s="25" t="str">
        <f t="shared" ca="1" si="39"/>
        <v>AL DÍA</v>
      </c>
      <c r="W492" s="25" t="s">
        <v>24</v>
      </c>
      <c r="X492" s="25" t="s">
        <v>271</v>
      </c>
      <c r="Y492" s="25">
        <v>2</v>
      </c>
    </row>
    <row r="493" spans="1:26" ht="14.25" hidden="1" customHeight="1" x14ac:dyDescent="0.15">
      <c r="A493" s="24" t="s">
        <v>296</v>
      </c>
      <c r="B493" s="24" t="s">
        <v>188</v>
      </c>
      <c r="C493" s="26">
        <v>618</v>
      </c>
      <c r="D493" s="24" t="s">
        <v>65</v>
      </c>
      <c r="F493" s="24" t="s">
        <v>216</v>
      </c>
      <c r="G493" s="21">
        <v>1987</v>
      </c>
      <c r="H493" s="21">
        <v>0</v>
      </c>
      <c r="I493" s="21">
        <f t="shared" ca="1" si="35"/>
        <v>39</v>
      </c>
      <c r="J493" s="21">
        <v>3</v>
      </c>
      <c r="K493" s="25" t="str">
        <f t="shared" ca="1" si="36"/>
        <v>Activo</v>
      </c>
      <c r="L493" s="25" t="s">
        <v>49</v>
      </c>
      <c r="P493" s="26" t="s">
        <v>22</v>
      </c>
      <c r="Q493" s="34">
        <v>365</v>
      </c>
      <c r="R493" s="25" t="s">
        <v>69</v>
      </c>
      <c r="S493" s="29">
        <v>46198</v>
      </c>
      <c r="T493" s="28">
        <f t="shared" si="37"/>
        <v>46563</v>
      </c>
      <c r="U493" s="25">
        <f t="shared" ca="1" si="38"/>
        <v>302</v>
      </c>
      <c r="V493" s="25" t="str">
        <f t="shared" ca="1" si="39"/>
        <v>AL DÍA</v>
      </c>
      <c r="W493" s="25" t="s">
        <v>24</v>
      </c>
      <c r="X493" s="25" t="s">
        <v>277</v>
      </c>
      <c r="Y493" s="25">
        <v>1</v>
      </c>
    </row>
    <row r="494" spans="1:26" ht="14.25" hidden="1" customHeight="1" x14ac:dyDescent="0.15">
      <c r="A494" s="24" t="s">
        <v>296</v>
      </c>
      <c r="B494" s="24" t="s">
        <v>188</v>
      </c>
      <c r="C494" s="26">
        <v>618</v>
      </c>
      <c r="D494" s="24" t="s">
        <v>65</v>
      </c>
      <c r="F494" s="24" t="s">
        <v>217</v>
      </c>
      <c r="G494" s="21">
        <v>1987</v>
      </c>
      <c r="H494" s="21">
        <v>0</v>
      </c>
      <c r="I494" s="21">
        <f t="shared" ca="1" si="35"/>
        <v>39</v>
      </c>
      <c r="J494" s="21">
        <v>3</v>
      </c>
      <c r="K494" s="25" t="str">
        <f t="shared" ca="1" si="36"/>
        <v>Activo</v>
      </c>
      <c r="L494" s="25" t="s">
        <v>49</v>
      </c>
      <c r="O494" s="25">
        <v>62.64</v>
      </c>
      <c r="Q494" s="34">
        <v>365</v>
      </c>
      <c r="R494" s="25" t="s">
        <v>64</v>
      </c>
      <c r="S494" s="28">
        <v>46198</v>
      </c>
      <c r="T494" s="28">
        <f t="shared" si="37"/>
        <v>46563</v>
      </c>
      <c r="U494" s="25">
        <f t="shared" ca="1" si="38"/>
        <v>302</v>
      </c>
      <c r="V494" s="25" t="str">
        <f t="shared" ca="1" si="39"/>
        <v>AL DÍA</v>
      </c>
      <c r="W494" s="25" t="s">
        <v>24</v>
      </c>
      <c r="X494" s="25" t="s">
        <v>262</v>
      </c>
      <c r="Y494" s="25">
        <v>2</v>
      </c>
    </row>
    <row r="495" spans="1:26" ht="14.25" hidden="1" customHeight="1" x14ac:dyDescent="0.15">
      <c r="A495" s="24" t="s">
        <v>296</v>
      </c>
      <c r="B495" s="24" t="s">
        <v>188</v>
      </c>
      <c r="C495" s="26">
        <v>618</v>
      </c>
      <c r="D495" s="24" t="s">
        <v>65</v>
      </c>
      <c r="F495" s="24" t="s">
        <v>218</v>
      </c>
      <c r="G495" s="21">
        <v>1987</v>
      </c>
      <c r="H495" s="21">
        <v>0</v>
      </c>
      <c r="I495" s="21">
        <f t="shared" ca="1" si="35"/>
        <v>39</v>
      </c>
      <c r="J495" s="21">
        <v>3</v>
      </c>
      <c r="K495" s="25" t="str">
        <f t="shared" ca="1" si="36"/>
        <v>Activo</v>
      </c>
      <c r="L495" s="25" t="s">
        <v>49</v>
      </c>
      <c r="O495" s="26" t="s">
        <v>227</v>
      </c>
      <c r="P495" s="26"/>
      <c r="Q495" s="34">
        <v>365</v>
      </c>
      <c r="R495" s="25" t="s">
        <v>64</v>
      </c>
      <c r="S495" s="28">
        <v>46198</v>
      </c>
      <c r="T495" s="28">
        <f t="shared" si="37"/>
        <v>46563</v>
      </c>
      <c r="U495" s="25">
        <f t="shared" ca="1" si="38"/>
        <v>302</v>
      </c>
      <c r="V495" s="25" t="str">
        <f t="shared" ca="1" si="39"/>
        <v>AL DÍA</v>
      </c>
      <c r="W495" s="25" t="s">
        <v>24</v>
      </c>
      <c r="X495" s="25" t="s">
        <v>262</v>
      </c>
      <c r="Y495" s="25">
        <v>2</v>
      </c>
    </row>
    <row r="496" spans="1:26" ht="14.25" hidden="1" customHeight="1" x14ac:dyDescent="0.15">
      <c r="A496" s="24" t="s">
        <v>296</v>
      </c>
      <c r="B496" s="24" t="s">
        <v>188</v>
      </c>
      <c r="C496" s="26">
        <v>618</v>
      </c>
      <c r="D496" s="24" t="s">
        <v>16</v>
      </c>
      <c r="F496" s="24" t="s">
        <v>219</v>
      </c>
      <c r="G496" s="21">
        <v>2018</v>
      </c>
      <c r="H496" s="21">
        <v>15</v>
      </c>
      <c r="I496" s="21">
        <f t="shared" ca="1" si="35"/>
        <v>8</v>
      </c>
      <c r="J496" s="21">
        <v>3</v>
      </c>
      <c r="K496" s="25" t="str">
        <f t="shared" ca="1" si="36"/>
        <v>Activo</v>
      </c>
      <c r="L496" s="25" t="s">
        <v>223</v>
      </c>
      <c r="M496" s="25" t="s">
        <v>233</v>
      </c>
      <c r="O496" s="25" t="s">
        <v>221</v>
      </c>
      <c r="P496" s="25" t="s">
        <v>49</v>
      </c>
      <c r="Q496" s="34">
        <v>365</v>
      </c>
      <c r="R496" s="25" t="s">
        <v>64</v>
      </c>
      <c r="S496" s="28">
        <v>46198</v>
      </c>
      <c r="T496" s="28">
        <f t="shared" si="37"/>
        <v>46563</v>
      </c>
      <c r="U496" s="25">
        <f t="shared" ca="1" si="38"/>
        <v>302</v>
      </c>
      <c r="V496" s="25" t="str">
        <f t="shared" ca="1" si="39"/>
        <v>AL DÍA</v>
      </c>
      <c r="W496" s="25" t="s">
        <v>24</v>
      </c>
      <c r="X496" s="25" t="s">
        <v>271</v>
      </c>
      <c r="Y496" s="25">
        <v>2</v>
      </c>
      <c r="Z496" s="1" t="s">
        <v>303</v>
      </c>
    </row>
    <row r="497" spans="1:26" ht="14.25" hidden="1" customHeight="1" x14ac:dyDescent="0.15">
      <c r="A497" s="24" t="s">
        <v>296</v>
      </c>
      <c r="B497" s="24" t="s">
        <v>188</v>
      </c>
      <c r="C497" s="25">
        <v>618</v>
      </c>
      <c r="D497" s="24" t="s">
        <v>16</v>
      </c>
      <c r="F497" s="24" t="s">
        <v>224</v>
      </c>
      <c r="G497" s="71"/>
      <c r="H497" s="21">
        <v>0</v>
      </c>
      <c r="I497" s="21">
        <f t="shared" ca="1" si="35"/>
        <v>2026</v>
      </c>
      <c r="J497" s="21">
        <v>3</v>
      </c>
      <c r="K497" s="25" t="str">
        <f t="shared" ca="1" si="36"/>
        <v>Activo</v>
      </c>
      <c r="Q497" s="34">
        <v>365</v>
      </c>
      <c r="R497" s="25" t="s">
        <v>64</v>
      </c>
      <c r="S497" s="28">
        <v>46198</v>
      </c>
      <c r="T497" s="28">
        <f t="shared" si="37"/>
        <v>46563</v>
      </c>
      <c r="U497" s="25">
        <f t="shared" ca="1" si="38"/>
        <v>302</v>
      </c>
      <c r="V497" s="25" t="str">
        <f t="shared" ca="1" si="39"/>
        <v>AL DÍA</v>
      </c>
      <c r="W497" s="25" t="s">
        <v>24</v>
      </c>
      <c r="X497" s="25" t="s">
        <v>271</v>
      </c>
      <c r="Y497" s="25">
        <v>2</v>
      </c>
    </row>
    <row r="498" spans="1:26" ht="14.25" hidden="1" customHeight="1" x14ac:dyDescent="0.15">
      <c r="A498" s="24" t="s">
        <v>296</v>
      </c>
      <c r="B498" s="24" t="s">
        <v>188</v>
      </c>
      <c r="C498" s="26">
        <v>618</v>
      </c>
      <c r="D498" s="24" t="s">
        <v>65</v>
      </c>
      <c r="F498" s="24" t="s">
        <v>220</v>
      </c>
      <c r="G498" s="21">
        <v>1987</v>
      </c>
      <c r="H498" s="21">
        <v>0</v>
      </c>
      <c r="I498" s="21">
        <f t="shared" ca="1" si="35"/>
        <v>39</v>
      </c>
      <c r="J498" s="21">
        <v>3</v>
      </c>
      <c r="K498" s="25" t="str">
        <f t="shared" ca="1" si="36"/>
        <v>Activo</v>
      </c>
      <c r="L498" s="25" t="s">
        <v>49</v>
      </c>
      <c r="O498" s="25" t="s">
        <v>222</v>
      </c>
      <c r="Q498" s="34">
        <v>365</v>
      </c>
      <c r="R498" s="25" t="s">
        <v>64</v>
      </c>
      <c r="S498" s="28">
        <v>46198</v>
      </c>
      <c r="T498" s="28">
        <f t="shared" si="37"/>
        <v>46563</v>
      </c>
      <c r="U498" s="25">
        <f t="shared" ca="1" si="38"/>
        <v>302</v>
      </c>
      <c r="V498" s="25" t="str">
        <f t="shared" ca="1" si="39"/>
        <v>AL DÍA</v>
      </c>
      <c r="W498" s="25" t="s">
        <v>24</v>
      </c>
      <c r="X498" s="25" t="s">
        <v>262</v>
      </c>
      <c r="Y498" s="25">
        <v>2</v>
      </c>
    </row>
    <row r="499" spans="1:26" ht="14.25" hidden="1" customHeight="1" x14ac:dyDescent="0.15">
      <c r="A499" s="24" t="s">
        <v>296</v>
      </c>
      <c r="B499" s="24" t="s">
        <v>188</v>
      </c>
      <c r="C499" s="26">
        <v>623</v>
      </c>
      <c r="D499" s="24" t="s">
        <v>65</v>
      </c>
      <c r="F499" s="24" t="s">
        <v>215</v>
      </c>
      <c r="G499" s="21">
        <v>1987</v>
      </c>
      <c r="H499" s="21">
        <v>0</v>
      </c>
      <c r="I499" s="21">
        <f t="shared" ca="1" si="35"/>
        <v>39</v>
      </c>
      <c r="J499" s="21">
        <v>3</v>
      </c>
      <c r="K499" s="25" t="str">
        <f t="shared" ca="1" si="36"/>
        <v>Activo</v>
      </c>
      <c r="L499" s="25" t="s">
        <v>49</v>
      </c>
      <c r="M499" s="25" t="s">
        <v>49</v>
      </c>
      <c r="P499" s="25" t="s">
        <v>22</v>
      </c>
      <c r="Q499" s="34">
        <v>365</v>
      </c>
      <c r="R499" s="25" t="s">
        <v>64</v>
      </c>
      <c r="S499" s="28">
        <v>46198</v>
      </c>
      <c r="T499" s="28">
        <f t="shared" si="37"/>
        <v>46563</v>
      </c>
      <c r="U499" s="25">
        <f t="shared" ca="1" si="38"/>
        <v>302</v>
      </c>
      <c r="V499" s="25" t="str">
        <f t="shared" ca="1" si="39"/>
        <v>AL DÍA</v>
      </c>
      <c r="W499" s="25" t="s">
        <v>24</v>
      </c>
      <c r="X499" s="25" t="s">
        <v>271</v>
      </c>
      <c r="Y499" s="25">
        <v>2</v>
      </c>
    </row>
    <row r="500" spans="1:26" ht="14.25" hidden="1" customHeight="1" x14ac:dyDescent="0.15">
      <c r="A500" s="24" t="s">
        <v>296</v>
      </c>
      <c r="B500" s="24" t="s">
        <v>188</v>
      </c>
      <c r="C500" s="26">
        <v>623</v>
      </c>
      <c r="D500" s="24" t="s">
        <v>65</v>
      </c>
      <c r="F500" s="24" t="s">
        <v>216</v>
      </c>
      <c r="G500" s="21">
        <v>1987</v>
      </c>
      <c r="H500" s="21">
        <v>0</v>
      </c>
      <c r="I500" s="21">
        <f t="shared" ca="1" si="35"/>
        <v>39</v>
      </c>
      <c r="J500" s="21">
        <v>3</v>
      </c>
      <c r="K500" s="25" t="str">
        <f t="shared" ca="1" si="36"/>
        <v>Activo</v>
      </c>
      <c r="L500" s="25" t="s">
        <v>49</v>
      </c>
      <c r="P500" s="26" t="s">
        <v>22</v>
      </c>
      <c r="Q500" s="34">
        <v>365</v>
      </c>
      <c r="R500" s="25" t="s">
        <v>69</v>
      </c>
      <c r="S500" s="29">
        <v>46198</v>
      </c>
      <c r="T500" s="28">
        <f t="shared" si="37"/>
        <v>46563</v>
      </c>
      <c r="U500" s="25">
        <f t="shared" ca="1" si="38"/>
        <v>302</v>
      </c>
      <c r="V500" s="25" t="str">
        <f t="shared" ca="1" si="39"/>
        <v>AL DÍA</v>
      </c>
      <c r="W500" s="25" t="s">
        <v>24</v>
      </c>
      <c r="X500" s="25" t="s">
        <v>277</v>
      </c>
      <c r="Y500" s="25">
        <v>1</v>
      </c>
    </row>
    <row r="501" spans="1:26" ht="14.25" hidden="1" customHeight="1" x14ac:dyDescent="0.15">
      <c r="A501" s="24" t="s">
        <v>296</v>
      </c>
      <c r="B501" s="24" t="s">
        <v>188</v>
      </c>
      <c r="C501" s="26">
        <v>623</v>
      </c>
      <c r="D501" s="24" t="s">
        <v>65</v>
      </c>
      <c r="F501" s="24" t="s">
        <v>217</v>
      </c>
      <c r="G501" s="21">
        <v>1987</v>
      </c>
      <c r="H501" s="21">
        <v>0</v>
      </c>
      <c r="I501" s="21">
        <f t="shared" ca="1" si="35"/>
        <v>39</v>
      </c>
      <c r="J501" s="21">
        <v>3</v>
      </c>
      <c r="K501" s="25" t="str">
        <f t="shared" ca="1" si="36"/>
        <v>Activo</v>
      </c>
      <c r="L501" s="25" t="s">
        <v>49</v>
      </c>
      <c r="O501" s="25">
        <v>62.64</v>
      </c>
      <c r="Q501" s="34">
        <v>365</v>
      </c>
      <c r="R501" s="25" t="s">
        <v>64</v>
      </c>
      <c r="S501" s="28">
        <v>46198</v>
      </c>
      <c r="T501" s="28">
        <f t="shared" si="37"/>
        <v>46563</v>
      </c>
      <c r="U501" s="25">
        <f t="shared" ca="1" si="38"/>
        <v>302</v>
      </c>
      <c r="V501" s="25" t="str">
        <f t="shared" ca="1" si="39"/>
        <v>AL DÍA</v>
      </c>
      <c r="W501" s="25" t="s">
        <v>24</v>
      </c>
      <c r="X501" s="25" t="s">
        <v>262</v>
      </c>
      <c r="Y501" s="25">
        <v>2</v>
      </c>
    </row>
    <row r="502" spans="1:26" ht="14.25" hidden="1" customHeight="1" x14ac:dyDescent="0.15">
      <c r="A502" s="24" t="s">
        <v>296</v>
      </c>
      <c r="B502" s="24" t="s">
        <v>188</v>
      </c>
      <c r="C502" s="25">
        <v>623</v>
      </c>
      <c r="D502" s="24" t="s">
        <v>65</v>
      </c>
      <c r="F502" s="24" t="s">
        <v>218</v>
      </c>
      <c r="G502" s="21">
        <v>1987</v>
      </c>
      <c r="H502" s="21">
        <v>0</v>
      </c>
      <c r="I502" s="21">
        <f t="shared" ca="1" si="35"/>
        <v>39</v>
      </c>
      <c r="J502" s="21">
        <v>3</v>
      </c>
      <c r="K502" s="25" t="str">
        <f t="shared" ca="1" si="36"/>
        <v>Activo</v>
      </c>
      <c r="L502" s="25" t="s">
        <v>49</v>
      </c>
      <c r="O502" s="26" t="s">
        <v>227</v>
      </c>
      <c r="P502" s="26"/>
      <c r="Q502" s="34">
        <v>365</v>
      </c>
      <c r="R502" s="25" t="s">
        <v>64</v>
      </c>
      <c r="S502" s="28">
        <v>46198</v>
      </c>
      <c r="T502" s="28">
        <f t="shared" si="37"/>
        <v>46563</v>
      </c>
      <c r="U502" s="25">
        <f t="shared" ca="1" si="38"/>
        <v>302</v>
      </c>
      <c r="V502" s="25" t="str">
        <f t="shared" ca="1" si="39"/>
        <v>AL DÍA</v>
      </c>
      <c r="W502" s="25" t="s">
        <v>24</v>
      </c>
      <c r="X502" s="25" t="s">
        <v>262</v>
      </c>
      <c r="Y502" s="25">
        <v>2</v>
      </c>
    </row>
    <row r="503" spans="1:26" ht="14.25" hidden="1" customHeight="1" x14ac:dyDescent="0.15">
      <c r="A503" s="24" t="s">
        <v>296</v>
      </c>
      <c r="B503" s="24" t="s">
        <v>188</v>
      </c>
      <c r="C503" s="25">
        <v>623</v>
      </c>
      <c r="D503" s="24" t="s">
        <v>16</v>
      </c>
      <c r="F503" s="24" t="s">
        <v>219</v>
      </c>
      <c r="G503" s="21">
        <v>2018</v>
      </c>
      <c r="H503" s="21">
        <v>15</v>
      </c>
      <c r="I503" s="21">
        <f t="shared" ca="1" si="35"/>
        <v>8</v>
      </c>
      <c r="J503" s="21">
        <v>3</v>
      </c>
      <c r="K503" s="25" t="str">
        <f t="shared" ca="1" si="36"/>
        <v>Activo</v>
      </c>
      <c r="L503" s="25" t="s">
        <v>223</v>
      </c>
      <c r="M503" s="25" t="s">
        <v>233</v>
      </c>
      <c r="O503" s="25" t="s">
        <v>221</v>
      </c>
      <c r="P503" s="25" t="s">
        <v>49</v>
      </c>
      <c r="Q503" s="34">
        <v>365</v>
      </c>
      <c r="R503" s="25" t="s">
        <v>64</v>
      </c>
      <c r="S503" s="28">
        <v>46198</v>
      </c>
      <c r="T503" s="28">
        <f t="shared" si="37"/>
        <v>46563</v>
      </c>
      <c r="U503" s="25">
        <f t="shared" ca="1" si="38"/>
        <v>302</v>
      </c>
      <c r="V503" s="25" t="str">
        <f t="shared" ca="1" si="39"/>
        <v>AL DÍA</v>
      </c>
      <c r="W503" s="25" t="s">
        <v>24</v>
      </c>
      <c r="X503" s="25" t="s">
        <v>271</v>
      </c>
      <c r="Y503" s="25">
        <v>2</v>
      </c>
      <c r="Z503" s="1" t="s">
        <v>303</v>
      </c>
    </row>
    <row r="504" spans="1:26" ht="14.25" hidden="1" customHeight="1" x14ac:dyDescent="0.15">
      <c r="A504" s="24" t="s">
        <v>296</v>
      </c>
      <c r="B504" s="24" t="s">
        <v>188</v>
      </c>
      <c r="C504" s="26">
        <v>623</v>
      </c>
      <c r="D504" s="24" t="s">
        <v>16</v>
      </c>
      <c r="F504" s="24" t="s">
        <v>224</v>
      </c>
      <c r="G504" s="71"/>
      <c r="H504" s="21">
        <v>0</v>
      </c>
      <c r="I504" s="21">
        <f t="shared" ca="1" si="35"/>
        <v>2026</v>
      </c>
      <c r="J504" s="21">
        <v>3</v>
      </c>
      <c r="K504" s="25" t="str">
        <f t="shared" ca="1" si="36"/>
        <v>Activo</v>
      </c>
      <c r="Q504" s="34">
        <v>365</v>
      </c>
      <c r="R504" s="25" t="s">
        <v>64</v>
      </c>
      <c r="S504" s="28">
        <v>46198</v>
      </c>
      <c r="T504" s="28">
        <f t="shared" si="37"/>
        <v>46563</v>
      </c>
      <c r="U504" s="25">
        <f t="shared" ca="1" si="38"/>
        <v>302</v>
      </c>
      <c r="V504" s="25" t="str">
        <f t="shared" ca="1" si="39"/>
        <v>AL DÍA</v>
      </c>
      <c r="W504" s="25" t="s">
        <v>24</v>
      </c>
      <c r="X504" s="25" t="s">
        <v>271</v>
      </c>
      <c r="Y504" s="25">
        <v>2</v>
      </c>
    </row>
    <row r="505" spans="1:26" ht="14.25" hidden="1" customHeight="1" x14ac:dyDescent="0.15">
      <c r="A505" s="24" t="s">
        <v>296</v>
      </c>
      <c r="B505" s="24" t="s">
        <v>188</v>
      </c>
      <c r="C505" s="25">
        <v>623</v>
      </c>
      <c r="D505" s="24" t="s">
        <v>65</v>
      </c>
      <c r="F505" s="24" t="s">
        <v>220</v>
      </c>
      <c r="G505" s="21">
        <v>1987</v>
      </c>
      <c r="H505" s="21">
        <v>0</v>
      </c>
      <c r="I505" s="21">
        <f t="shared" ca="1" si="35"/>
        <v>39</v>
      </c>
      <c r="J505" s="21">
        <v>3</v>
      </c>
      <c r="K505" s="25" t="str">
        <f t="shared" ca="1" si="36"/>
        <v>Activo</v>
      </c>
      <c r="L505" s="25" t="s">
        <v>49</v>
      </c>
      <c r="O505" s="25" t="s">
        <v>222</v>
      </c>
      <c r="Q505" s="34">
        <v>365</v>
      </c>
      <c r="R505" s="25" t="s">
        <v>64</v>
      </c>
      <c r="S505" s="28">
        <v>46198</v>
      </c>
      <c r="T505" s="28">
        <f t="shared" si="37"/>
        <v>46563</v>
      </c>
      <c r="U505" s="25">
        <f t="shared" ca="1" si="38"/>
        <v>302</v>
      </c>
      <c r="V505" s="25" t="str">
        <f t="shared" ca="1" si="39"/>
        <v>AL DÍA</v>
      </c>
      <c r="W505" s="25" t="s">
        <v>24</v>
      </c>
      <c r="X505" s="25" t="s">
        <v>262</v>
      </c>
      <c r="Y505" s="25">
        <v>2</v>
      </c>
    </row>
    <row r="506" spans="1:26" ht="14.25" hidden="1" customHeight="1" x14ac:dyDescent="0.15">
      <c r="A506" s="24" t="s">
        <v>296</v>
      </c>
      <c r="B506" s="24" t="s">
        <v>188</v>
      </c>
      <c r="C506" s="25">
        <v>624</v>
      </c>
      <c r="D506" s="24" t="s">
        <v>65</v>
      </c>
      <c r="F506" s="24" t="s">
        <v>215</v>
      </c>
      <c r="G506" s="21">
        <v>1987</v>
      </c>
      <c r="H506" s="21">
        <v>0</v>
      </c>
      <c r="I506" s="21">
        <f t="shared" ca="1" si="35"/>
        <v>39</v>
      </c>
      <c r="J506" s="21">
        <v>3</v>
      </c>
      <c r="K506" s="25" t="str">
        <f t="shared" ca="1" si="36"/>
        <v>Activo</v>
      </c>
      <c r="L506" s="25" t="s">
        <v>49</v>
      </c>
      <c r="M506" s="25" t="s">
        <v>49</v>
      </c>
      <c r="P506" s="25" t="s">
        <v>22</v>
      </c>
      <c r="Q506" s="34">
        <v>365</v>
      </c>
      <c r="R506" s="25" t="s">
        <v>64</v>
      </c>
      <c r="S506" s="28">
        <v>46198</v>
      </c>
      <c r="T506" s="28">
        <f t="shared" si="37"/>
        <v>46563</v>
      </c>
      <c r="U506" s="25">
        <f t="shared" ca="1" si="38"/>
        <v>302</v>
      </c>
      <c r="V506" s="25" t="str">
        <f t="shared" ca="1" si="39"/>
        <v>AL DÍA</v>
      </c>
      <c r="W506" s="25" t="s">
        <v>24</v>
      </c>
      <c r="X506" s="25" t="s">
        <v>271</v>
      </c>
      <c r="Y506" s="25">
        <v>2</v>
      </c>
    </row>
    <row r="507" spans="1:26" ht="14.25" hidden="1" customHeight="1" x14ac:dyDescent="0.15">
      <c r="A507" s="24" t="s">
        <v>296</v>
      </c>
      <c r="B507" s="24" t="s">
        <v>188</v>
      </c>
      <c r="C507" s="25">
        <v>624</v>
      </c>
      <c r="D507" s="24" t="s">
        <v>65</v>
      </c>
      <c r="F507" s="24" t="s">
        <v>216</v>
      </c>
      <c r="G507" s="21">
        <v>1987</v>
      </c>
      <c r="H507" s="21">
        <v>0</v>
      </c>
      <c r="I507" s="21">
        <f t="shared" ca="1" si="35"/>
        <v>39</v>
      </c>
      <c r="J507" s="21">
        <v>3</v>
      </c>
      <c r="K507" s="25" t="str">
        <f t="shared" ca="1" si="36"/>
        <v>Activo</v>
      </c>
      <c r="L507" s="25" t="s">
        <v>49</v>
      </c>
      <c r="P507" s="26" t="s">
        <v>22</v>
      </c>
      <c r="Q507" s="34">
        <v>365</v>
      </c>
      <c r="R507" s="25" t="s">
        <v>69</v>
      </c>
      <c r="S507" s="29">
        <v>46198</v>
      </c>
      <c r="T507" s="28">
        <f t="shared" si="37"/>
        <v>46563</v>
      </c>
      <c r="U507" s="25">
        <f t="shared" ca="1" si="38"/>
        <v>302</v>
      </c>
      <c r="V507" s="25" t="str">
        <f t="shared" ca="1" si="39"/>
        <v>AL DÍA</v>
      </c>
      <c r="W507" s="25" t="s">
        <v>24</v>
      </c>
      <c r="X507" s="25" t="s">
        <v>277</v>
      </c>
      <c r="Y507" s="25">
        <v>1</v>
      </c>
    </row>
    <row r="508" spans="1:26" ht="14.25" hidden="1" customHeight="1" x14ac:dyDescent="0.15">
      <c r="A508" s="24" t="s">
        <v>296</v>
      </c>
      <c r="B508" s="24" t="s">
        <v>188</v>
      </c>
      <c r="C508" s="25">
        <v>624</v>
      </c>
      <c r="D508" s="24" t="s">
        <v>65</v>
      </c>
      <c r="F508" s="24" t="s">
        <v>217</v>
      </c>
      <c r="G508" s="21">
        <v>1987</v>
      </c>
      <c r="H508" s="21">
        <v>0</v>
      </c>
      <c r="I508" s="21">
        <f t="shared" ca="1" si="35"/>
        <v>39</v>
      </c>
      <c r="J508" s="21">
        <v>3</v>
      </c>
      <c r="K508" s="25" t="str">
        <f t="shared" ca="1" si="36"/>
        <v>Activo</v>
      </c>
      <c r="L508" s="25" t="s">
        <v>49</v>
      </c>
      <c r="O508" s="25">
        <v>62.64</v>
      </c>
      <c r="Q508" s="34">
        <v>365</v>
      </c>
      <c r="R508" s="25" t="s">
        <v>64</v>
      </c>
      <c r="S508" s="28">
        <v>46198</v>
      </c>
      <c r="T508" s="28">
        <f t="shared" si="37"/>
        <v>46563</v>
      </c>
      <c r="U508" s="25">
        <f t="shared" ca="1" si="38"/>
        <v>302</v>
      </c>
      <c r="V508" s="25" t="str">
        <f t="shared" ca="1" si="39"/>
        <v>AL DÍA</v>
      </c>
      <c r="W508" s="25" t="s">
        <v>24</v>
      </c>
      <c r="X508" s="25" t="s">
        <v>262</v>
      </c>
      <c r="Y508" s="25">
        <v>2</v>
      </c>
    </row>
    <row r="509" spans="1:26" ht="14.25" hidden="1" customHeight="1" x14ac:dyDescent="0.15">
      <c r="A509" s="24" t="s">
        <v>296</v>
      </c>
      <c r="B509" s="24" t="s">
        <v>188</v>
      </c>
      <c r="C509" s="26">
        <v>624</v>
      </c>
      <c r="D509" s="24" t="s">
        <v>65</v>
      </c>
      <c r="F509" s="24" t="s">
        <v>218</v>
      </c>
      <c r="G509" s="21">
        <v>1987</v>
      </c>
      <c r="H509" s="21">
        <v>0</v>
      </c>
      <c r="I509" s="21">
        <f t="shared" ca="1" si="35"/>
        <v>39</v>
      </c>
      <c r="J509" s="21">
        <v>3</v>
      </c>
      <c r="K509" s="25" t="str">
        <f t="shared" ca="1" si="36"/>
        <v>Activo</v>
      </c>
      <c r="L509" s="25" t="s">
        <v>49</v>
      </c>
      <c r="O509" s="26" t="s">
        <v>227</v>
      </c>
      <c r="P509" s="26"/>
      <c r="Q509" s="34">
        <v>365</v>
      </c>
      <c r="R509" s="25" t="s">
        <v>64</v>
      </c>
      <c r="S509" s="28">
        <v>46198</v>
      </c>
      <c r="T509" s="28">
        <f t="shared" si="37"/>
        <v>46563</v>
      </c>
      <c r="U509" s="25">
        <f t="shared" ca="1" si="38"/>
        <v>302</v>
      </c>
      <c r="V509" s="25" t="str">
        <f t="shared" ca="1" si="39"/>
        <v>AL DÍA</v>
      </c>
      <c r="W509" s="25" t="s">
        <v>24</v>
      </c>
      <c r="X509" s="25" t="s">
        <v>262</v>
      </c>
      <c r="Y509" s="25">
        <v>2</v>
      </c>
    </row>
    <row r="510" spans="1:26" ht="14.25" hidden="1" customHeight="1" x14ac:dyDescent="0.15">
      <c r="A510" s="24" t="s">
        <v>296</v>
      </c>
      <c r="B510" s="24" t="s">
        <v>188</v>
      </c>
      <c r="C510" s="26">
        <v>624</v>
      </c>
      <c r="D510" s="24" t="s">
        <v>16</v>
      </c>
      <c r="F510" s="24" t="s">
        <v>219</v>
      </c>
      <c r="G510" s="21">
        <v>2018</v>
      </c>
      <c r="H510" s="21">
        <v>15</v>
      </c>
      <c r="I510" s="21">
        <f t="shared" ca="1" si="35"/>
        <v>8</v>
      </c>
      <c r="J510" s="21">
        <v>3</v>
      </c>
      <c r="K510" s="25" t="str">
        <f t="shared" ca="1" si="36"/>
        <v>Activo</v>
      </c>
      <c r="L510" s="25" t="s">
        <v>223</v>
      </c>
      <c r="M510" s="25" t="s">
        <v>233</v>
      </c>
      <c r="O510" s="25" t="s">
        <v>221</v>
      </c>
      <c r="P510" s="25" t="s">
        <v>49</v>
      </c>
      <c r="Q510" s="34">
        <v>365</v>
      </c>
      <c r="R510" s="25" t="s">
        <v>64</v>
      </c>
      <c r="S510" s="28">
        <v>46198</v>
      </c>
      <c r="T510" s="28">
        <f t="shared" si="37"/>
        <v>46563</v>
      </c>
      <c r="U510" s="25">
        <f t="shared" ca="1" si="38"/>
        <v>302</v>
      </c>
      <c r="V510" s="25" t="str">
        <f t="shared" ca="1" si="39"/>
        <v>AL DÍA</v>
      </c>
      <c r="W510" s="25" t="s">
        <v>24</v>
      </c>
      <c r="X510" s="25" t="s">
        <v>271</v>
      </c>
      <c r="Y510" s="25">
        <v>2</v>
      </c>
      <c r="Z510" s="1" t="s">
        <v>303</v>
      </c>
    </row>
    <row r="511" spans="1:26" ht="14.25" hidden="1" customHeight="1" x14ac:dyDescent="0.15">
      <c r="A511" s="24" t="s">
        <v>296</v>
      </c>
      <c r="B511" s="24" t="s">
        <v>188</v>
      </c>
      <c r="C511" s="26">
        <v>624</v>
      </c>
      <c r="D511" s="24" t="s">
        <v>16</v>
      </c>
      <c r="F511" s="24" t="s">
        <v>224</v>
      </c>
      <c r="G511" s="71"/>
      <c r="H511" s="21">
        <v>0</v>
      </c>
      <c r="I511" s="21">
        <f t="shared" ca="1" si="35"/>
        <v>2026</v>
      </c>
      <c r="J511" s="21">
        <v>3</v>
      </c>
      <c r="K511" s="25" t="str">
        <f t="shared" ca="1" si="36"/>
        <v>Activo</v>
      </c>
      <c r="Q511" s="34">
        <v>365</v>
      </c>
      <c r="R511" s="25" t="s">
        <v>64</v>
      </c>
      <c r="S511" s="28">
        <v>46198</v>
      </c>
      <c r="T511" s="28">
        <f t="shared" si="37"/>
        <v>46563</v>
      </c>
      <c r="U511" s="25">
        <f t="shared" ca="1" si="38"/>
        <v>302</v>
      </c>
      <c r="V511" s="25" t="str">
        <f t="shared" ca="1" si="39"/>
        <v>AL DÍA</v>
      </c>
      <c r="W511" s="25" t="s">
        <v>24</v>
      </c>
      <c r="X511" s="25" t="s">
        <v>271</v>
      </c>
      <c r="Y511" s="25">
        <v>2</v>
      </c>
    </row>
    <row r="512" spans="1:26" ht="14.25" hidden="1" customHeight="1" x14ac:dyDescent="0.15">
      <c r="A512" s="24" t="s">
        <v>296</v>
      </c>
      <c r="B512" s="24" t="s">
        <v>188</v>
      </c>
      <c r="C512" s="26">
        <v>624</v>
      </c>
      <c r="D512" s="24" t="s">
        <v>65</v>
      </c>
      <c r="F512" s="24" t="s">
        <v>220</v>
      </c>
      <c r="G512" s="21">
        <v>1987</v>
      </c>
      <c r="H512" s="21">
        <v>0</v>
      </c>
      <c r="I512" s="21">
        <f t="shared" ca="1" si="35"/>
        <v>39</v>
      </c>
      <c r="J512" s="21">
        <v>3</v>
      </c>
      <c r="K512" s="25" t="str">
        <f t="shared" ca="1" si="36"/>
        <v>Activo</v>
      </c>
      <c r="L512" s="25" t="s">
        <v>49</v>
      </c>
      <c r="O512" s="25" t="s">
        <v>222</v>
      </c>
      <c r="Q512" s="34">
        <v>365</v>
      </c>
      <c r="R512" s="25" t="s">
        <v>64</v>
      </c>
      <c r="S512" s="28">
        <v>46198</v>
      </c>
      <c r="T512" s="28">
        <f t="shared" si="37"/>
        <v>46563</v>
      </c>
      <c r="U512" s="25">
        <f t="shared" ca="1" si="38"/>
        <v>302</v>
      </c>
      <c r="V512" s="25" t="str">
        <f t="shared" ca="1" si="39"/>
        <v>AL DÍA</v>
      </c>
      <c r="W512" s="25" t="s">
        <v>24</v>
      </c>
      <c r="X512" s="25" t="s">
        <v>262</v>
      </c>
      <c r="Y512" s="25">
        <v>2</v>
      </c>
    </row>
    <row r="513" spans="1:26" ht="14.25" hidden="1" customHeight="1" x14ac:dyDescent="0.15">
      <c r="A513" s="24" t="s">
        <v>296</v>
      </c>
      <c r="B513" s="24" t="s">
        <v>188</v>
      </c>
      <c r="C513" s="26">
        <v>625</v>
      </c>
      <c r="D513" s="24" t="s">
        <v>65</v>
      </c>
      <c r="F513" s="24" t="s">
        <v>215</v>
      </c>
      <c r="G513" s="21">
        <v>1987</v>
      </c>
      <c r="H513" s="21">
        <v>0</v>
      </c>
      <c r="I513" s="21">
        <f t="shared" ca="1" si="35"/>
        <v>39</v>
      </c>
      <c r="J513" s="21">
        <v>3</v>
      </c>
      <c r="K513" s="25" t="str">
        <f t="shared" ca="1" si="36"/>
        <v>Activo</v>
      </c>
      <c r="L513" s="25" t="s">
        <v>49</v>
      </c>
      <c r="M513" s="25" t="s">
        <v>49</v>
      </c>
      <c r="P513" s="25" t="s">
        <v>22</v>
      </c>
      <c r="Q513" s="34">
        <v>365</v>
      </c>
      <c r="R513" s="25" t="s">
        <v>64</v>
      </c>
      <c r="S513" s="28">
        <v>46198</v>
      </c>
      <c r="T513" s="28">
        <f t="shared" si="37"/>
        <v>46563</v>
      </c>
      <c r="U513" s="25">
        <f t="shared" ca="1" si="38"/>
        <v>302</v>
      </c>
      <c r="V513" s="25" t="str">
        <f t="shared" ca="1" si="39"/>
        <v>AL DÍA</v>
      </c>
      <c r="W513" s="25" t="s">
        <v>24</v>
      </c>
      <c r="X513" s="25" t="s">
        <v>271</v>
      </c>
      <c r="Y513" s="25">
        <v>2</v>
      </c>
    </row>
    <row r="514" spans="1:26" ht="14.25" hidden="1" customHeight="1" x14ac:dyDescent="0.15">
      <c r="A514" s="24" t="s">
        <v>296</v>
      </c>
      <c r="B514" s="24" t="s">
        <v>188</v>
      </c>
      <c r="C514" s="26">
        <v>625</v>
      </c>
      <c r="D514" s="24" t="s">
        <v>65</v>
      </c>
      <c r="F514" s="24" t="s">
        <v>216</v>
      </c>
      <c r="G514" s="21">
        <v>1987</v>
      </c>
      <c r="H514" s="21">
        <v>0</v>
      </c>
      <c r="I514" s="21">
        <f t="shared" ref="I514:I565" ca="1" si="40">YEAR(TODAY())-G514</f>
        <v>39</v>
      </c>
      <c r="J514" s="21">
        <v>3</v>
      </c>
      <c r="K514" s="25" t="str">
        <f t="shared" ref="K514:K577" ca="1" si="41">IF(J514=1,"Cambiar",IF(J514=2,"Presupuestar",IF(H514=0,"Activo",IF(G514+H514&lt;YEAR(TODAY()),"Cambiar o Inspección externa",IF(G514+H514-1&lt;YEAR(TODAY()),"Presupuestar","Activo")))))</f>
        <v>Activo</v>
      </c>
      <c r="L514" s="25" t="s">
        <v>49</v>
      </c>
      <c r="P514" s="26" t="s">
        <v>22</v>
      </c>
      <c r="Q514" s="34">
        <v>365</v>
      </c>
      <c r="R514" s="25" t="s">
        <v>69</v>
      </c>
      <c r="S514" s="29">
        <v>46198</v>
      </c>
      <c r="T514" s="28">
        <f t="shared" ref="T514:T577" si="42">+S514+Q514</f>
        <v>46563</v>
      </c>
      <c r="U514" s="25">
        <f t="shared" ref="U514:U577" ca="1" si="43">T514-TODAY()</f>
        <v>302</v>
      </c>
      <c r="V514" s="25" t="str">
        <f t="shared" ref="V514:V577" ca="1" si="44">IF(U514&lt;0, "VENCIDO", "AL DÍA")</f>
        <v>AL DÍA</v>
      </c>
      <c r="W514" s="25" t="s">
        <v>24</v>
      </c>
      <c r="X514" s="25" t="s">
        <v>277</v>
      </c>
      <c r="Y514" s="25">
        <v>1</v>
      </c>
    </row>
    <row r="515" spans="1:26" ht="14.25" hidden="1" customHeight="1" x14ac:dyDescent="0.15">
      <c r="A515" s="24" t="s">
        <v>296</v>
      </c>
      <c r="B515" s="24" t="s">
        <v>188</v>
      </c>
      <c r="C515" s="26">
        <v>625</v>
      </c>
      <c r="D515" s="24" t="s">
        <v>65</v>
      </c>
      <c r="F515" s="24" t="s">
        <v>217</v>
      </c>
      <c r="G515" s="21">
        <v>1987</v>
      </c>
      <c r="H515" s="21">
        <v>0</v>
      </c>
      <c r="I515" s="21">
        <f t="shared" ca="1" si="40"/>
        <v>39</v>
      </c>
      <c r="J515" s="21">
        <v>3</v>
      </c>
      <c r="K515" s="25" t="str">
        <f t="shared" ca="1" si="41"/>
        <v>Activo</v>
      </c>
      <c r="L515" s="25" t="s">
        <v>49</v>
      </c>
      <c r="O515" s="25">
        <v>62.64</v>
      </c>
      <c r="Q515" s="34">
        <v>365</v>
      </c>
      <c r="R515" s="25" t="s">
        <v>64</v>
      </c>
      <c r="S515" s="28">
        <v>46198</v>
      </c>
      <c r="T515" s="28">
        <f t="shared" si="42"/>
        <v>46563</v>
      </c>
      <c r="U515" s="25">
        <f t="shared" ca="1" si="43"/>
        <v>302</v>
      </c>
      <c r="V515" s="25" t="str">
        <f t="shared" ca="1" si="44"/>
        <v>AL DÍA</v>
      </c>
      <c r="W515" s="25" t="s">
        <v>24</v>
      </c>
      <c r="X515" s="25" t="s">
        <v>262</v>
      </c>
      <c r="Y515" s="25">
        <v>2</v>
      </c>
    </row>
    <row r="516" spans="1:26" ht="14.25" hidden="1" customHeight="1" x14ac:dyDescent="0.15">
      <c r="A516" s="24" t="s">
        <v>296</v>
      </c>
      <c r="B516" s="24" t="s">
        <v>188</v>
      </c>
      <c r="C516" s="26">
        <v>625</v>
      </c>
      <c r="D516" s="24" t="s">
        <v>65</v>
      </c>
      <c r="F516" s="24" t="s">
        <v>218</v>
      </c>
      <c r="G516" s="21">
        <v>1987</v>
      </c>
      <c r="H516" s="21">
        <v>0</v>
      </c>
      <c r="I516" s="21">
        <f t="shared" ca="1" si="40"/>
        <v>39</v>
      </c>
      <c r="J516" s="21">
        <v>3</v>
      </c>
      <c r="K516" s="25" t="str">
        <f t="shared" ca="1" si="41"/>
        <v>Activo</v>
      </c>
      <c r="L516" s="25" t="s">
        <v>49</v>
      </c>
      <c r="O516" s="26" t="s">
        <v>227</v>
      </c>
      <c r="P516" s="26"/>
      <c r="Q516" s="34">
        <v>365</v>
      </c>
      <c r="R516" s="25" t="s">
        <v>64</v>
      </c>
      <c r="S516" s="28">
        <v>46198</v>
      </c>
      <c r="T516" s="28">
        <f t="shared" si="42"/>
        <v>46563</v>
      </c>
      <c r="U516" s="25">
        <f t="shared" ca="1" si="43"/>
        <v>302</v>
      </c>
      <c r="V516" s="25" t="str">
        <f t="shared" ca="1" si="44"/>
        <v>AL DÍA</v>
      </c>
      <c r="W516" s="25" t="s">
        <v>24</v>
      </c>
      <c r="X516" s="25" t="s">
        <v>262</v>
      </c>
      <c r="Y516" s="25">
        <v>2</v>
      </c>
    </row>
    <row r="517" spans="1:26" ht="14.25" hidden="1" customHeight="1" x14ac:dyDescent="0.15">
      <c r="A517" s="24" t="s">
        <v>296</v>
      </c>
      <c r="B517" s="24" t="s">
        <v>188</v>
      </c>
      <c r="C517" s="26">
        <v>625</v>
      </c>
      <c r="D517" s="24" t="s">
        <v>16</v>
      </c>
      <c r="F517" s="24" t="s">
        <v>219</v>
      </c>
      <c r="G517" s="21">
        <v>2018</v>
      </c>
      <c r="H517" s="21">
        <v>15</v>
      </c>
      <c r="I517" s="21">
        <f t="shared" ca="1" si="40"/>
        <v>8</v>
      </c>
      <c r="J517" s="21">
        <v>3</v>
      </c>
      <c r="K517" s="25" t="str">
        <f t="shared" ca="1" si="41"/>
        <v>Activo</v>
      </c>
      <c r="L517" s="25" t="s">
        <v>223</v>
      </c>
      <c r="M517" s="25" t="s">
        <v>233</v>
      </c>
      <c r="O517" s="25" t="s">
        <v>221</v>
      </c>
      <c r="P517" s="25" t="s">
        <v>49</v>
      </c>
      <c r="Q517" s="34">
        <v>365</v>
      </c>
      <c r="R517" s="25" t="s">
        <v>64</v>
      </c>
      <c r="S517" s="28">
        <v>46198</v>
      </c>
      <c r="T517" s="28">
        <f t="shared" si="42"/>
        <v>46563</v>
      </c>
      <c r="U517" s="25">
        <f t="shared" ca="1" si="43"/>
        <v>302</v>
      </c>
      <c r="V517" s="25" t="str">
        <f t="shared" ca="1" si="44"/>
        <v>AL DÍA</v>
      </c>
      <c r="W517" s="25" t="s">
        <v>24</v>
      </c>
      <c r="X517" s="25" t="s">
        <v>271</v>
      </c>
      <c r="Y517" s="25">
        <v>2</v>
      </c>
      <c r="Z517" s="1" t="s">
        <v>303</v>
      </c>
    </row>
    <row r="518" spans="1:26" ht="14.25" hidden="1" customHeight="1" x14ac:dyDescent="0.15">
      <c r="A518" s="24" t="s">
        <v>296</v>
      </c>
      <c r="B518" s="24" t="s">
        <v>188</v>
      </c>
      <c r="C518" s="26">
        <v>625</v>
      </c>
      <c r="D518" s="24" t="s">
        <v>16</v>
      </c>
      <c r="F518" s="24" t="s">
        <v>224</v>
      </c>
      <c r="G518" s="71"/>
      <c r="H518" s="21">
        <v>0</v>
      </c>
      <c r="I518" s="21">
        <f t="shared" ca="1" si="40"/>
        <v>2026</v>
      </c>
      <c r="J518" s="21">
        <v>3</v>
      </c>
      <c r="K518" s="25" t="str">
        <f t="shared" ca="1" si="41"/>
        <v>Activo</v>
      </c>
      <c r="Q518" s="34">
        <v>365</v>
      </c>
      <c r="R518" s="25" t="s">
        <v>64</v>
      </c>
      <c r="S518" s="28">
        <v>46198</v>
      </c>
      <c r="T518" s="28">
        <f t="shared" si="42"/>
        <v>46563</v>
      </c>
      <c r="U518" s="25">
        <f t="shared" ca="1" si="43"/>
        <v>302</v>
      </c>
      <c r="V518" s="25" t="str">
        <f t="shared" ca="1" si="44"/>
        <v>AL DÍA</v>
      </c>
      <c r="W518" s="25" t="s">
        <v>24</v>
      </c>
      <c r="X518" s="25" t="s">
        <v>271</v>
      </c>
      <c r="Y518" s="25">
        <v>2</v>
      </c>
    </row>
    <row r="519" spans="1:26" ht="14.25" hidden="1" customHeight="1" x14ac:dyDescent="0.15">
      <c r="A519" s="24" t="s">
        <v>296</v>
      </c>
      <c r="B519" s="24" t="s">
        <v>188</v>
      </c>
      <c r="C519" s="26">
        <v>625</v>
      </c>
      <c r="D519" s="24" t="s">
        <v>65</v>
      </c>
      <c r="F519" s="24" t="s">
        <v>220</v>
      </c>
      <c r="G519" s="21">
        <v>1987</v>
      </c>
      <c r="H519" s="21">
        <v>0</v>
      </c>
      <c r="I519" s="21">
        <f t="shared" ca="1" si="40"/>
        <v>39</v>
      </c>
      <c r="J519" s="21">
        <v>3</v>
      </c>
      <c r="K519" s="25" t="str">
        <f t="shared" ca="1" si="41"/>
        <v>Activo</v>
      </c>
      <c r="L519" s="25" t="s">
        <v>49</v>
      </c>
      <c r="O519" s="25" t="s">
        <v>222</v>
      </c>
      <c r="Q519" s="34">
        <v>365</v>
      </c>
      <c r="R519" s="25" t="s">
        <v>64</v>
      </c>
      <c r="S519" s="28">
        <v>46198</v>
      </c>
      <c r="T519" s="28">
        <f t="shared" si="42"/>
        <v>46563</v>
      </c>
      <c r="U519" s="25">
        <f t="shared" ca="1" si="43"/>
        <v>302</v>
      </c>
      <c r="V519" s="25" t="str">
        <f t="shared" ca="1" si="44"/>
        <v>AL DÍA</v>
      </c>
      <c r="W519" s="25" t="s">
        <v>24</v>
      </c>
      <c r="X519" s="25" t="s">
        <v>262</v>
      </c>
      <c r="Y519" s="25">
        <v>2</v>
      </c>
    </row>
    <row r="520" spans="1:26" ht="14.25" hidden="1" customHeight="1" x14ac:dyDescent="0.15">
      <c r="A520" s="24" t="s">
        <v>296</v>
      </c>
      <c r="B520" s="24" t="s">
        <v>188</v>
      </c>
      <c r="C520" s="26">
        <v>626</v>
      </c>
      <c r="D520" s="24" t="s">
        <v>65</v>
      </c>
      <c r="F520" s="24" t="s">
        <v>215</v>
      </c>
      <c r="G520" s="21">
        <v>1987</v>
      </c>
      <c r="H520" s="21">
        <v>0</v>
      </c>
      <c r="I520" s="21">
        <f t="shared" ca="1" si="40"/>
        <v>39</v>
      </c>
      <c r="J520" s="21">
        <v>3</v>
      </c>
      <c r="K520" s="25" t="str">
        <f t="shared" ca="1" si="41"/>
        <v>Activo</v>
      </c>
      <c r="L520" s="25" t="s">
        <v>49</v>
      </c>
      <c r="M520" s="25" t="s">
        <v>49</v>
      </c>
      <c r="P520" s="25" t="s">
        <v>22</v>
      </c>
      <c r="Q520" s="34">
        <v>365</v>
      </c>
      <c r="R520" s="25" t="s">
        <v>64</v>
      </c>
      <c r="S520" s="28">
        <v>46198</v>
      </c>
      <c r="T520" s="28">
        <f t="shared" si="42"/>
        <v>46563</v>
      </c>
      <c r="U520" s="25">
        <f t="shared" ca="1" si="43"/>
        <v>302</v>
      </c>
      <c r="V520" s="25" t="str">
        <f t="shared" ca="1" si="44"/>
        <v>AL DÍA</v>
      </c>
      <c r="W520" s="25" t="s">
        <v>24</v>
      </c>
      <c r="X520" s="25" t="s">
        <v>271</v>
      </c>
      <c r="Y520" s="25">
        <v>2</v>
      </c>
    </row>
    <row r="521" spans="1:26" ht="14.25" hidden="1" customHeight="1" x14ac:dyDescent="0.15">
      <c r="A521" s="24" t="s">
        <v>296</v>
      </c>
      <c r="B521" s="24" t="s">
        <v>188</v>
      </c>
      <c r="C521" s="26">
        <v>626</v>
      </c>
      <c r="D521" s="24" t="s">
        <v>65</v>
      </c>
      <c r="F521" s="24" t="s">
        <v>216</v>
      </c>
      <c r="G521" s="21">
        <v>1987</v>
      </c>
      <c r="H521" s="21">
        <v>0</v>
      </c>
      <c r="I521" s="21">
        <f t="shared" ca="1" si="40"/>
        <v>39</v>
      </c>
      <c r="J521" s="21">
        <v>3</v>
      </c>
      <c r="K521" s="25" t="str">
        <f t="shared" ca="1" si="41"/>
        <v>Activo</v>
      </c>
      <c r="L521" s="25" t="s">
        <v>49</v>
      </c>
      <c r="P521" s="26" t="s">
        <v>22</v>
      </c>
      <c r="Q521" s="34">
        <v>365</v>
      </c>
      <c r="R521" s="25" t="s">
        <v>69</v>
      </c>
      <c r="S521" s="29">
        <v>46198</v>
      </c>
      <c r="T521" s="28">
        <f t="shared" si="42"/>
        <v>46563</v>
      </c>
      <c r="U521" s="25">
        <f t="shared" ca="1" si="43"/>
        <v>302</v>
      </c>
      <c r="V521" s="25" t="str">
        <f t="shared" ca="1" si="44"/>
        <v>AL DÍA</v>
      </c>
      <c r="W521" s="25" t="s">
        <v>24</v>
      </c>
      <c r="X521" s="25" t="s">
        <v>277</v>
      </c>
      <c r="Y521" s="25">
        <v>1</v>
      </c>
    </row>
    <row r="522" spans="1:26" ht="14.25" hidden="1" customHeight="1" x14ac:dyDescent="0.15">
      <c r="A522" s="24" t="s">
        <v>296</v>
      </c>
      <c r="B522" s="24" t="s">
        <v>188</v>
      </c>
      <c r="C522" s="26">
        <v>626</v>
      </c>
      <c r="D522" s="24" t="s">
        <v>65</v>
      </c>
      <c r="F522" s="24" t="s">
        <v>217</v>
      </c>
      <c r="G522" s="21">
        <v>1987</v>
      </c>
      <c r="H522" s="21">
        <v>0</v>
      </c>
      <c r="I522" s="21">
        <f t="shared" ca="1" si="40"/>
        <v>39</v>
      </c>
      <c r="J522" s="21">
        <v>3</v>
      </c>
      <c r="K522" s="25" t="str">
        <f t="shared" ca="1" si="41"/>
        <v>Activo</v>
      </c>
      <c r="L522" s="25" t="s">
        <v>49</v>
      </c>
      <c r="O522" s="25">
        <v>62.64</v>
      </c>
      <c r="Q522" s="34">
        <v>365</v>
      </c>
      <c r="R522" s="25" t="s">
        <v>64</v>
      </c>
      <c r="S522" s="28">
        <v>46198</v>
      </c>
      <c r="T522" s="28">
        <f t="shared" si="42"/>
        <v>46563</v>
      </c>
      <c r="U522" s="25">
        <f t="shared" ca="1" si="43"/>
        <v>302</v>
      </c>
      <c r="V522" s="25" t="str">
        <f t="shared" ca="1" si="44"/>
        <v>AL DÍA</v>
      </c>
      <c r="W522" s="25" t="s">
        <v>24</v>
      </c>
      <c r="X522" s="25" t="s">
        <v>262</v>
      </c>
      <c r="Y522" s="25">
        <v>2</v>
      </c>
    </row>
    <row r="523" spans="1:26" ht="14.25" hidden="1" customHeight="1" x14ac:dyDescent="0.15">
      <c r="A523" s="24" t="s">
        <v>296</v>
      </c>
      <c r="B523" s="24" t="s">
        <v>188</v>
      </c>
      <c r="C523" s="26">
        <v>626</v>
      </c>
      <c r="D523" s="24" t="s">
        <v>65</v>
      </c>
      <c r="F523" s="24" t="s">
        <v>218</v>
      </c>
      <c r="G523" s="21">
        <v>1987</v>
      </c>
      <c r="H523" s="21">
        <v>0</v>
      </c>
      <c r="I523" s="21">
        <f t="shared" ca="1" si="40"/>
        <v>39</v>
      </c>
      <c r="J523" s="21">
        <v>3</v>
      </c>
      <c r="K523" s="25" t="str">
        <f t="shared" ca="1" si="41"/>
        <v>Activo</v>
      </c>
      <c r="L523" s="25" t="s">
        <v>49</v>
      </c>
      <c r="O523" s="26" t="s">
        <v>227</v>
      </c>
      <c r="P523" s="26"/>
      <c r="Q523" s="34">
        <v>365</v>
      </c>
      <c r="R523" s="25" t="s">
        <v>64</v>
      </c>
      <c r="S523" s="28">
        <v>46198</v>
      </c>
      <c r="T523" s="28">
        <f t="shared" si="42"/>
        <v>46563</v>
      </c>
      <c r="U523" s="25">
        <f t="shared" ca="1" si="43"/>
        <v>302</v>
      </c>
      <c r="V523" s="25" t="str">
        <f t="shared" ca="1" si="44"/>
        <v>AL DÍA</v>
      </c>
      <c r="W523" s="25" t="s">
        <v>24</v>
      </c>
      <c r="X523" s="25" t="s">
        <v>262</v>
      </c>
      <c r="Y523" s="25">
        <v>2</v>
      </c>
    </row>
    <row r="524" spans="1:26" ht="14.25" hidden="1" customHeight="1" x14ac:dyDescent="0.15">
      <c r="A524" s="24" t="s">
        <v>296</v>
      </c>
      <c r="B524" s="24" t="s">
        <v>188</v>
      </c>
      <c r="C524" s="26">
        <v>626</v>
      </c>
      <c r="D524" s="24" t="s">
        <v>16</v>
      </c>
      <c r="F524" s="24" t="s">
        <v>219</v>
      </c>
      <c r="G524" s="21">
        <v>2018</v>
      </c>
      <c r="H524" s="21">
        <v>15</v>
      </c>
      <c r="I524" s="21">
        <f t="shared" ca="1" si="40"/>
        <v>8</v>
      </c>
      <c r="J524" s="21">
        <v>3</v>
      </c>
      <c r="K524" s="25" t="str">
        <f t="shared" ca="1" si="41"/>
        <v>Activo</v>
      </c>
      <c r="L524" s="25" t="s">
        <v>223</v>
      </c>
      <c r="M524" s="25" t="s">
        <v>233</v>
      </c>
      <c r="O524" s="25" t="s">
        <v>221</v>
      </c>
      <c r="P524" s="25" t="s">
        <v>49</v>
      </c>
      <c r="Q524" s="34">
        <v>365</v>
      </c>
      <c r="R524" s="25" t="s">
        <v>64</v>
      </c>
      <c r="S524" s="28">
        <v>46198</v>
      </c>
      <c r="T524" s="28">
        <f t="shared" si="42"/>
        <v>46563</v>
      </c>
      <c r="U524" s="25">
        <f t="shared" ca="1" si="43"/>
        <v>302</v>
      </c>
      <c r="V524" s="25" t="str">
        <f t="shared" ca="1" si="44"/>
        <v>AL DÍA</v>
      </c>
      <c r="W524" s="25" t="s">
        <v>24</v>
      </c>
      <c r="X524" s="25" t="s">
        <v>271</v>
      </c>
      <c r="Y524" s="25">
        <v>2</v>
      </c>
      <c r="Z524" s="1" t="s">
        <v>303</v>
      </c>
    </row>
    <row r="525" spans="1:26" ht="14.25" hidden="1" customHeight="1" x14ac:dyDescent="0.15">
      <c r="A525" s="24" t="s">
        <v>296</v>
      </c>
      <c r="B525" s="24" t="s">
        <v>188</v>
      </c>
      <c r="C525" s="26">
        <v>626</v>
      </c>
      <c r="D525" s="24" t="s">
        <v>65</v>
      </c>
      <c r="F525" s="24" t="s">
        <v>220</v>
      </c>
      <c r="G525" s="21">
        <v>2022</v>
      </c>
      <c r="H525" s="21">
        <v>0</v>
      </c>
      <c r="I525" s="21">
        <f t="shared" ca="1" si="40"/>
        <v>4</v>
      </c>
      <c r="J525" s="21">
        <v>3</v>
      </c>
      <c r="K525" s="25" t="str">
        <f t="shared" ca="1" si="41"/>
        <v>Activo</v>
      </c>
      <c r="L525" s="25" t="s">
        <v>49</v>
      </c>
      <c r="O525" s="25" t="s">
        <v>222</v>
      </c>
      <c r="Q525" s="34">
        <v>365</v>
      </c>
      <c r="R525" s="25" t="s">
        <v>64</v>
      </c>
      <c r="S525" s="28">
        <v>46198</v>
      </c>
      <c r="T525" s="28">
        <f t="shared" si="42"/>
        <v>46563</v>
      </c>
      <c r="U525" s="25">
        <f t="shared" ca="1" si="43"/>
        <v>302</v>
      </c>
      <c r="V525" s="25" t="str">
        <f t="shared" ca="1" si="44"/>
        <v>AL DÍA</v>
      </c>
      <c r="W525" s="25" t="s">
        <v>24</v>
      </c>
      <c r="X525" s="25" t="s">
        <v>262</v>
      </c>
      <c r="Y525" s="25">
        <v>2</v>
      </c>
    </row>
    <row r="526" spans="1:26" ht="14.25" hidden="1" customHeight="1" x14ac:dyDescent="0.15">
      <c r="A526" s="24" t="s">
        <v>296</v>
      </c>
      <c r="B526" s="24" t="s">
        <v>188</v>
      </c>
      <c r="C526" s="26" t="s">
        <v>225</v>
      </c>
      <c r="D526" s="24" t="s">
        <v>65</v>
      </c>
      <c r="F526" s="24" t="s">
        <v>220</v>
      </c>
      <c r="G526" s="21">
        <v>2022</v>
      </c>
      <c r="H526" s="21">
        <v>0</v>
      </c>
      <c r="I526" s="21">
        <f t="shared" ca="1" si="40"/>
        <v>4</v>
      </c>
      <c r="J526" s="21">
        <v>3</v>
      </c>
      <c r="K526" s="25" t="str">
        <f t="shared" ca="1" si="41"/>
        <v>Activo</v>
      </c>
      <c r="L526" s="25" t="s">
        <v>49</v>
      </c>
      <c r="O526" s="25" t="s">
        <v>222</v>
      </c>
      <c r="Q526" s="34">
        <v>365</v>
      </c>
      <c r="R526" s="25" t="s">
        <v>64</v>
      </c>
      <c r="S526" s="28">
        <v>46198</v>
      </c>
      <c r="T526" s="28">
        <f t="shared" si="42"/>
        <v>46563</v>
      </c>
      <c r="U526" s="25">
        <f t="shared" ca="1" si="43"/>
        <v>302</v>
      </c>
      <c r="V526" s="25" t="str">
        <f t="shared" ca="1" si="44"/>
        <v>AL DÍA</v>
      </c>
      <c r="W526" s="25" t="s">
        <v>24</v>
      </c>
      <c r="X526" s="25" t="s">
        <v>262</v>
      </c>
      <c r="Y526" s="25">
        <v>2</v>
      </c>
    </row>
    <row r="527" spans="1:26" ht="14.25" hidden="1" customHeight="1" x14ac:dyDescent="0.15">
      <c r="A527" s="24" t="s">
        <v>296</v>
      </c>
      <c r="B527" s="24" t="s">
        <v>188</v>
      </c>
      <c r="C527" s="26" t="s">
        <v>225</v>
      </c>
      <c r="D527" s="24" t="s">
        <v>65</v>
      </c>
      <c r="F527" s="24" t="s">
        <v>215</v>
      </c>
      <c r="G527" s="21">
        <v>2022</v>
      </c>
      <c r="H527" s="21">
        <v>0</v>
      </c>
      <c r="I527" s="21">
        <f t="shared" ca="1" si="40"/>
        <v>4</v>
      </c>
      <c r="J527" s="21">
        <v>3</v>
      </c>
      <c r="K527" s="25" t="str">
        <f t="shared" ca="1" si="41"/>
        <v>Activo</v>
      </c>
      <c r="L527" s="25" t="s">
        <v>49</v>
      </c>
      <c r="M527" s="25" t="s">
        <v>49</v>
      </c>
      <c r="N527" s="25" t="s">
        <v>49</v>
      </c>
      <c r="P527" s="25" t="s">
        <v>22</v>
      </c>
      <c r="Q527" s="34">
        <v>365</v>
      </c>
      <c r="R527" s="25" t="s">
        <v>64</v>
      </c>
      <c r="S527" s="28">
        <v>46198</v>
      </c>
      <c r="T527" s="28">
        <f t="shared" si="42"/>
        <v>46563</v>
      </c>
      <c r="U527" s="25">
        <f t="shared" ca="1" si="43"/>
        <v>302</v>
      </c>
      <c r="V527" s="25" t="str">
        <f t="shared" ca="1" si="44"/>
        <v>AL DÍA</v>
      </c>
      <c r="W527" s="25" t="s">
        <v>24</v>
      </c>
      <c r="X527" s="25" t="s">
        <v>271</v>
      </c>
      <c r="Y527" s="25">
        <v>2</v>
      </c>
    </row>
    <row r="528" spans="1:26" ht="14.25" hidden="1" customHeight="1" x14ac:dyDescent="0.15">
      <c r="A528" s="24" t="s">
        <v>296</v>
      </c>
      <c r="B528" s="24" t="s">
        <v>188</v>
      </c>
      <c r="C528" s="26" t="s">
        <v>225</v>
      </c>
      <c r="D528" s="24" t="s">
        <v>65</v>
      </c>
      <c r="F528" s="24" t="s">
        <v>216</v>
      </c>
      <c r="G528" s="21">
        <v>2022</v>
      </c>
      <c r="H528" s="21">
        <v>0</v>
      </c>
      <c r="I528" s="21">
        <f t="shared" ca="1" si="40"/>
        <v>4</v>
      </c>
      <c r="J528" s="21">
        <v>3</v>
      </c>
      <c r="K528" s="25" t="str">
        <f t="shared" ca="1" si="41"/>
        <v>Activo</v>
      </c>
      <c r="L528" s="25" t="s">
        <v>49</v>
      </c>
      <c r="P528" s="26" t="s">
        <v>22</v>
      </c>
      <c r="Q528" s="34">
        <v>365</v>
      </c>
      <c r="R528" s="25" t="s">
        <v>69</v>
      </c>
      <c r="S528" s="29">
        <v>46198</v>
      </c>
      <c r="T528" s="28">
        <f t="shared" si="42"/>
        <v>46563</v>
      </c>
      <c r="U528" s="25">
        <f t="shared" ca="1" si="43"/>
        <v>302</v>
      </c>
      <c r="V528" s="25" t="str">
        <f t="shared" ca="1" si="44"/>
        <v>AL DÍA</v>
      </c>
      <c r="W528" s="25" t="s">
        <v>24</v>
      </c>
      <c r="X528" s="25" t="s">
        <v>277</v>
      </c>
      <c r="Y528" s="25">
        <v>1</v>
      </c>
    </row>
    <row r="529" spans="1:26" ht="14.25" hidden="1" customHeight="1" x14ac:dyDescent="0.15">
      <c r="A529" s="24" t="s">
        <v>296</v>
      </c>
      <c r="B529" s="24" t="s">
        <v>188</v>
      </c>
      <c r="C529" s="26" t="s">
        <v>225</v>
      </c>
      <c r="D529" s="24" t="s">
        <v>65</v>
      </c>
      <c r="F529" s="24" t="s">
        <v>217</v>
      </c>
      <c r="G529" s="21">
        <v>2022</v>
      </c>
      <c r="H529" s="21">
        <v>0</v>
      </c>
      <c r="I529" s="21">
        <f t="shared" ca="1" si="40"/>
        <v>4</v>
      </c>
      <c r="J529" s="21">
        <v>3</v>
      </c>
      <c r="K529" s="25" t="str">
        <f t="shared" ca="1" si="41"/>
        <v>Activo</v>
      </c>
      <c r="L529" s="25" t="s">
        <v>49</v>
      </c>
      <c r="Q529" s="34">
        <v>365</v>
      </c>
      <c r="R529" s="25" t="s">
        <v>64</v>
      </c>
      <c r="S529" s="28">
        <v>46198</v>
      </c>
      <c r="T529" s="28">
        <f t="shared" si="42"/>
        <v>46563</v>
      </c>
      <c r="U529" s="25">
        <f t="shared" ca="1" si="43"/>
        <v>302</v>
      </c>
      <c r="V529" s="25" t="str">
        <f t="shared" ca="1" si="44"/>
        <v>AL DÍA</v>
      </c>
      <c r="W529" s="25" t="s">
        <v>24</v>
      </c>
      <c r="X529" s="25" t="s">
        <v>262</v>
      </c>
      <c r="Y529" s="25">
        <v>2</v>
      </c>
    </row>
    <row r="530" spans="1:26" ht="14.25" hidden="1" customHeight="1" x14ac:dyDescent="0.15">
      <c r="A530" s="24" t="s">
        <v>296</v>
      </c>
      <c r="B530" s="24" t="s">
        <v>188</v>
      </c>
      <c r="C530" s="26" t="s">
        <v>225</v>
      </c>
      <c r="D530" s="24" t="s">
        <v>65</v>
      </c>
      <c r="F530" s="24" t="s">
        <v>218</v>
      </c>
      <c r="G530" s="21">
        <v>2022</v>
      </c>
      <c r="H530" s="21">
        <v>0</v>
      </c>
      <c r="I530" s="21">
        <f t="shared" ca="1" si="40"/>
        <v>4</v>
      </c>
      <c r="J530" s="21">
        <v>3</v>
      </c>
      <c r="K530" s="25" t="str">
        <f t="shared" ca="1" si="41"/>
        <v>Activo</v>
      </c>
      <c r="L530" s="25" t="s">
        <v>49</v>
      </c>
      <c r="O530" s="26" t="s">
        <v>227</v>
      </c>
      <c r="P530" s="26"/>
      <c r="Q530" s="34">
        <v>365</v>
      </c>
      <c r="R530" s="25" t="s">
        <v>64</v>
      </c>
      <c r="S530" s="28">
        <v>46198</v>
      </c>
      <c r="T530" s="28">
        <f t="shared" si="42"/>
        <v>46563</v>
      </c>
      <c r="U530" s="25">
        <f t="shared" ca="1" si="43"/>
        <v>302</v>
      </c>
      <c r="V530" s="25" t="str">
        <f t="shared" ca="1" si="44"/>
        <v>AL DÍA</v>
      </c>
      <c r="W530" s="25" t="s">
        <v>24</v>
      </c>
      <c r="X530" s="25" t="s">
        <v>262</v>
      </c>
      <c r="Y530" s="25">
        <v>2</v>
      </c>
    </row>
    <row r="531" spans="1:26" ht="14.25" hidden="1" customHeight="1" x14ac:dyDescent="0.15">
      <c r="A531" s="24" t="s">
        <v>296</v>
      </c>
      <c r="B531" s="24" t="s">
        <v>188</v>
      </c>
      <c r="C531" s="26" t="s">
        <v>226</v>
      </c>
      <c r="D531" s="24" t="s">
        <v>65</v>
      </c>
      <c r="F531" s="24" t="s">
        <v>220</v>
      </c>
      <c r="G531" s="21">
        <v>2022</v>
      </c>
      <c r="H531" s="21">
        <v>0</v>
      </c>
      <c r="I531" s="21">
        <f t="shared" ca="1" si="40"/>
        <v>4</v>
      </c>
      <c r="J531" s="21">
        <v>3</v>
      </c>
      <c r="K531" s="25" t="str">
        <f t="shared" ca="1" si="41"/>
        <v>Activo</v>
      </c>
      <c r="L531" s="25" t="s">
        <v>49</v>
      </c>
      <c r="O531" s="25" t="s">
        <v>222</v>
      </c>
      <c r="Q531" s="34">
        <v>365</v>
      </c>
      <c r="R531" s="25" t="s">
        <v>64</v>
      </c>
      <c r="S531" s="28">
        <v>46198</v>
      </c>
      <c r="T531" s="28">
        <f t="shared" si="42"/>
        <v>46563</v>
      </c>
      <c r="U531" s="25">
        <f t="shared" ca="1" si="43"/>
        <v>302</v>
      </c>
      <c r="V531" s="25" t="str">
        <f t="shared" ca="1" si="44"/>
        <v>AL DÍA</v>
      </c>
      <c r="W531" s="25" t="s">
        <v>24</v>
      </c>
      <c r="X531" s="25" t="s">
        <v>262</v>
      </c>
      <c r="Y531" s="25">
        <v>2</v>
      </c>
    </row>
    <row r="532" spans="1:26" ht="14.25" hidden="1" customHeight="1" x14ac:dyDescent="0.15">
      <c r="A532" s="24" t="s">
        <v>296</v>
      </c>
      <c r="B532" s="24" t="s">
        <v>188</v>
      </c>
      <c r="C532" s="26" t="s">
        <v>226</v>
      </c>
      <c r="D532" s="24" t="s">
        <v>65</v>
      </c>
      <c r="F532" s="24" t="s">
        <v>215</v>
      </c>
      <c r="G532" s="21">
        <v>2022</v>
      </c>
      <c r="H532" s="21">
        <v>0</v>
      </c>
      <c r="I532" s="21">
        <f t="shared" ca="1" si="40"/>
        <v>4</v>
      </c>
      <c r="J532" s="21">
        <v>3</v>
      </c>
      <c r="K532" s="25" t="str">
        <f t="shared" ca="1" si="41"/>
        <v>Activo</v>
      </c>
      <c r="L532" s="25" t="s">
        <v>49</v>
      </c>
      <c r="M532" s="25" t="s">
        <v>49</v>
      </c>
      <c r="N532" s="25" t="s">
        <v>49</v>
      </c>
      <c r="P532" s="25" t="s">
        <v>22</v>
      </c>
      <c r="Q532" s="34">
        <v>365</v>
      </c>
      <c r="R532" s="25" t="s">
        <v>64</v>
      </c>
      <c r="S532" s="28">
        <v>46198</v>
      </c>
      <c r="T532" s="28">
        <f t="shared" si="42"/>
        <v>46563</v>
      </c>
      <c r="U532" s="25">
        <f t="shared" ca="1" si="43"/>
        <v>302</v>
      </c>
      <c r="V532" s="25" t="str">
        <f t="shared" ca="1" si="44"/>
        <v>AL DÍA</v>
      </c>
      <c r="W532" s="25" t="s">
        <v>24</v>
      </c>
      <c r="X532" s="25" t="s">
        <v>271</v>
      </c>
      <c r="Y532" s="25">
        <v>2</v>
      </c>
    </row>
    <row r="533" spans="1:26" ht="14.25" hidden="1" customHeight="1" x14ac:dyDescent="0.15">
      <c r="A533" s="24" t="s">
        <v>296</v>
      </c>
      <c r="B533" s="24" t="s">
        <v>188</v>
      </c>
      <c r="C533" s="26" t="s">
        <v>226</v>
      </c>
      <c r="D533" s="24" t="s">
        <v>65</v>
      </c>
      <c r="F533" s="24" t="s">
        <v>216</v>
      </c>
      <c r="G533" s="21">
        <v>2022</v>
      </c>
      <c r="H533" s="21">
        <v>0</v>
      </c>
      <c r="I533" s="21">
        <f t="shared" ca="1" si="40"/>
        <v>4</v>
      </c>
      <c r="J533" s="21">
        <v>3</v>
      </c>
      <c r="K533" s="25" t="str">
        <f t="shared" ca="1" si="41"/>
        <v>Activo</v>
      </c>
      <c r="L533" s="25" t="s">
        <v>49</v>
      </c>
      <c r="P533" s="25" t="s">
        <v>22</v>
      </c>
      <c r="Q533" s="32">
        <v>365</v>
      </c>
      <c r="R533" s="25" t="s">
        <v>69</v>
      </c>
      <c r="S533" s="29">
        <v>46198</v>
      </c>
      <c r="T533" s="28">
        <f t="shared" si="42"/>
        <v>46563</v>
      </c>
      <c r="U533" s="25">
        <f t="shared" ca="1" si="43"/>
        <v>302</v>
      </c>
      <c r="V533" s="25" t="str">
        <f t="shared" ca="1" si="44"/>
        <v>AL DÍA</v>
      </c>
      <c r="W533" s="25" t="s">
        <v>24</v>
      </c>
      <c r="X533" s="25" t="s">
        <v>277</v>
      </c>
      <c r="Y533" s="25">
        <v>1</v>
      </c>
    </row>
    <row r="534" spans="1:26" ht="14.25" hidden="1" customHeight="1" x14ac:dyDescent="0.15">
      <c r="A534" s="24" t="s">
        <v>296</v>
      </c>
      <c r="B534" s="24" t="s">
        <v>188</v>
      </c>
      <c r="C534" s="26" t="s">
        <v>226</v>
      </c>
      <c r="D534" s="24" t="s">
        <v>65</v>
      </c>
      <c r="F534" s="24" t="s">
        <v>217</v>
      </c>
      <c r="G534" s="21">
        <v>2022</v>
      </c>
      <c r="H534" s="21">
        <v>0</v>
      </c>
      <c r="I534" s="21">
        <f t="shared" ca="1" si="40"/>
        <v>4</v>
      </c>
      <c r="J534" s="21">
        <v>3</v>
      </c>
      <c r="K534" s="25" t="str">
        <f t="shared" ca="1" si="41"/>
        <v>Activo</v>
      </c>
      <c r="L534" s="25" t="s">
        <v>49</v>
      </c>
      <c r="Q534" s="34">
        <v>365</v>
      </c>
      <c r="R534" s="25" t="s">
        <v>64</v>
      </c>
      <c r="S534" s="28">
        <v>46198</v>
      </c>
      <c r="T534" s="28">
        <f t="shared" si="42"/>
        <v>46563</v>
      </c>
      <c r="U534" s="25">
        <f t="shared" ca="1" si="43"/>
        <v>302</v>
      </c>
      <c r="V534" s="25" t="str">
        <f t="shared" ca="1" si="44"/>
        <v>AL DÍA</v>
      </c>
      <c r="W534" s="25" t="s">
        <v>24</v>
      </c>
      <c r="X534" s="25" t="s">
        <v>262</v>
      </c>
      <c r="Y534" s="25">
        <v>2</v>
      </c>
    </row>
    <row r="535" spans="1:26" ht="14.25" hidden="1" customHeight="1" x14ac:dyDescent="0.15">
      <c r="A535" s="24" t="s">
        <v>296</v>
      </c>
      <c r="B535" s="24" t="s">
        <v>188</v>
      </c>
      <c r="C535" s="26" t="s">
        <v>226</v>
      </c>
      <c r="D535" s="24" t="s">
        <v>65</v>
      </c>
      <c r="F535" s="24" t="s">
        <v>218</v>
      </c>
      <c r="G535" s="21">
        <v>2022</v>
      </c>
      <c r="H535" s="21">
        <v>0</v>
      </c>
      <c r="I535" s="21">
        <f t="shared" ca="1" si="40"/>
        <v>4</v>
      </c>
      <c r="J535" s="21">
        <v>3</v>
      </c>
      <c r="K535" s="25" t="str">
        <f t="shared" ca="1" si="41"/>
        <v>Activo</v>
      </c>
      <c r="L535" s="25" t="s">
        <v>49</v>
      </c>
      <c r="O535" s="25" t="s">
        <v>227</v>
      </c>
      <c r="P535" s="26"/>
      <c r="Q535" s="34">
        <v>365</v>
      </c>
      <c r="R535" s="25" t="s">
        <v>64</v>
      </c>
      <c r="S535" s="28">
        <v>46198</v>
      </c>
      <c r="T535" s="28">
        <f t="shared" si="42"/>
        <v>46563</v>
      </c>
      <c r="U535" s="25">
        <f t="shared" ca="1" si="43"/>
        <v>302</v>
      </c>
      <c r="V535" s="25" t="str">
        <f t="shared" ca="1" si="44"/>
        <v>AL DÍA</v>
      </c>
      <c r="W535" s="25" t="s">
        <v>24</v>
      </c>
      <c r="X535" s="25" t="s">
        <v>262</v>
      </c>
      <c r="Y535" s="25">
        <v>2</v>
      </c>
    </row>
    <row r="536" spans="1:26" ht="14.25" hidden="1" customHeight="1" x14ac:dyDescent="0.15">
      <c r="A536" s="24" t="s">
        <v>296</v>
      </c>
      <c r="B536" s="24" t="s">
        <v>188</v>
      </c>
      <c r="C536" s="26" t="s">
        <v>366</v>
      </c>
      <c r="D536" s="24" t="s">
        <v>65</v>
      </c>
      <c r="F536" s="24" t="s">
        <v>462</v>
      </c>
      <c r="G536" s="21">
        <v>1987</v>
      </c>
      <c r="H536" s="21">
        <v>25</v>
      </c>
      <c r="I536" s="21">
        <f t="shared" ca="1" si="40"/>
        <v>39</v>
      </c>
      <c r="J536" s="21">
        <v>3</v>
      </c>
      <c r="K536" s="25" t="str">
        <f t="shared" ca="1" si="41"/>
        <v>Cambiar o Inspección externa</v>
      </c>
      <c r="L536" s="25" t="s">
        <v>49</v>
      </c>
      <c r="M536" s="25" t="s">
        <v>49</v>
      </c>
      <c r="N536" s="25" t="s">
        <v>49</v>
      </c>
      <c r="O536" s="25" t="s">
        <v>222</v>
      </c>
      <c r="P536" s="25" t="s">
        <v>81</v>
      </c>
      <c r="Q536" s="32">
        <f>365*3.5</f>
        <v>1277.5</v>
      </c>
      <c r="R536" s="25" t="s">
        <v>69</v>
      </c>
      <c r="S536" s="29">
        <v>46198</v>
      </c>
      <c r="T536" s="28">
        <f t="shared" si="42"/>
        <v>47475.5</v>
      </c>
      <c r="U536" s="25">
        <f t="shared" ca="1" si="43"/>
        <v>1214.5</v>
      </c>
      <c r="V536" s="25" t="str">
        <f t="shared" ca="1" si="44"/>
        <v>AL DÍA</v>
      </c>
      <c r="W536" s="25" t="s">
        <v>24</v>
      </c>
      <c r="X536" s="25" t="s">
        <v>277</v>
      </c>
      <c r="Y536" s="25">
        <v>1</v>
      </c>
    </row>
    <row r="537" spans="1:26" ht="14.25" hidden="1" customHeight="1" x14ac:dyDescent="0.15">
      <c r="A537" s="24" t="s">
        <v>296</v>
      </c>
      <c r="B537" s="24" t="s">
        <v>188</v>
      </c>
      <c r="C537" s="26" t="s">
        <v>366</v>
      </c>
      <c r="D537" s="24" t="s">
        <v>65</v>
      </c>
      <c r="F537" s="24" t="s">
        <v>228</v>
      </c>
      <c r="G537" s="21">
        <v>2026</v>
      </c>
      <c r="H537" s="21">
        <v>0</v>
      </c>
      <c r="I537" s="21">
        <f t="shared" ca="1" si="40"/>
        <v>0</v>
      </c>
      <c r="J537" s="21">
        <v>3</v>
      </c>
      <c r="K537" s="25" t="str">
        <f t="shared" ca="1" si="41"/>
        <v>Activo</v>
      </c>
      <c r="L537" s="25" t="s">
        <v>49</v>
      </c>
      <c r="M537" s="25" t="s">
        <v>49</v>
      </c>
      <c r="N537" s="25" t="s">
        <v>49</v>
      </c>
      <c r="O537" s="26"/>
      <c r="P537" s="26" t="s">
        <v>22</v>
      </c>
      <c r="Q537" s="34">
        <v>365</v>
      </c>
      <c r="S537" s="28">
        <v>46198</v>
      </c>
      <c r="T537" s="28">
        <f t="shared" si="42"/>
        <v>46563</v>
      </c>
      <c r="U537" s="25">
        <f t="shared" ca="1" si="43"/>
        <v>302</v>
      </c>
      <c r="V537" s="25" t="str">
        <f t="shared" ca="1" si="44"/>
        <v>AL DÍA</v>
      </c>
      <c r="W537" s="25" t="s">
        <v>24</v>
      </c>
      <c r="X537" s="25" t="s">
        <v>271</v>
      </c>
      <c r="Y537" s="25">
        <v>2</v>
      </c>
    </row>
    <row r="538" spans="1:26" ht="14.25" hidden="1" customHeight="1" x14ac:dyDescent="0.15">
      <c r="A538" s="24" t="s">
        <v>296</v>
      </c>
      <c r="B538" s="24" t="s">
        <v>188</v>
      </c>
      <c r="C538" s="26" t="s">
        <v>366</v>
      </c>
      <c r="D538" s="24" t="s">
        <v>65</v>
      </c>
      <c r="F538" s="24" t="s">
        <v>229</v>
      </c>
      <c r="G538" s="21">
        <v>1987</v>
      </c>
      <c r="H538" s="21">
        <v>0</v>
      </c>
      <c r="I538" s="21">
        <f t="shared" ca="1" si="40"/>
        <v>39</v>
      </c>
      <c r="J538" s="21">
        <v>3</v>
      </c>
      <c r="K538" s="25" t="str">
        <f t="shared" ca="1" si="41"/>
        <v>Activo</v>
      </c>
      <c r="L538" s="25" t="s">
        <v>49</v>
      </c>
      <c r="M538" s="25" t="s">
        <v>49</v>
      </c>
      <c r="N538" s="25" t="s">
        <v>49</v>
      </c>
      <c r="P538" s="25" t="s">
        <v>22</v>
      </c>
      <c r="Q538" s="32">
        <v>365</v>
      </c>
      <c r="R538" s="25" t="s">
        <v>69</v>
      </c>
      <c r="S538" s="29">
        <v>46198</v>
      </c>
      <c r="T538" s="28">
        <f t="shared" si="42"/>
        <v>46563</v>
      </c>
      <c r="U538" s="25">
        <f t="shared" ca="1" si="43"/>
        <v>302</v>
      </c>
      <c r="V538" s="25" t="str">
        <f t="shared" ca="1" si="44"/>
        <v>AL DÍA</v>
      </c>
      <c r="W538" s="25" t="s">
        <v>24</v>
      </c>
      <c r="X538" s="25" t="s">
        <v>277</v>
      </c>
      <c r="Y538" s="25">
        <v>1</v>
      </c>
    </row>
    <row r="539" spans="1:26" ht="14.25" hidden="1" customHeight="1" x14ac:dyDescent="0.15">
      <c r="A539" s="24" t="s">
        <v>296</v>
      </c>
      <c r="B539" s="24" t="s">
        <v>188</v>
      </c>
      <c r="C539" s="26" t="s">
        <v>366</v>
      </c>
      <c r="D539" s="24" t="s">
        <v>65</v>
      </c>
      <c r="F539" s="24" t="s">
        <v>230</v>
      </c>
      <c r="G539" s="21">
        <v>1987</v>
      </c>
      <c r="H539" s="21">
        <v>0</v>
      </c>
      <c r="I539" s="21">
        <f t="shared" ca="1" si="40"/>
        <v>39</v>
      </c>
      <c r="J539" s="21">
        <v>3</v>
      </c>
      <c r="K539" s="25" t="str">
        <f t="shared" ca="1" si="41"/>
        <v>Activo</v>
      </c>
      <c r="L539" s="25" t="s">
        <v>49</v>
      </c>
      <c r="M539" s="25" t="s">
        <v>49</v>
      </c>
      <c r="N539" s="25" t="s">
        <v>49</v>
      </c>
      <c r="P539" s="25" t="s">
        <v>22</v>
      </c>
      <c r="Q539" s="32">
        <v>365</v>
      </c>
      <c r="R539" s="25" t="s">
        <v>69</v>
      </c>
      <c r="S539" s="29">
        <v>46198</v>
      </c>
      <c r="T539" s="28">
        <f t="shared" si="42"/>
        <v>46563</v>
      </c>
      <c r="U539" s="25">
        <f t="shared" ca="1" si="43"/>
        <v>302</v>
      </c>
      <c r="V539" s="25" t="str">
        <f t="shared" ca="1" si="44"/>
        <v>AL DÍA</v>
      </c>
      <c r="W539" s="25" t="s">
        <v>24</v>
      </c>
      <c r="X539" s="25" t="s">
        <v>277</v>
      </c>
      <c r="Y539" s="25">
        <v>1</v>
      </c>
    </row>
    <row r="540" spans="1:26" ht="14.25" hidden="1" customHeight="1" x14ac:dyDescent="0.15">
      <c r="A540" s="24" t="s">
        <v>296</v>
      </c>
      <c r="B540" s="24" t="s">
        <v>188</v>
      </c>
      <c r="C540" s="26" t="s">
        <v>366</v>
      </c>
      <c r="D540" s="24" t="s">
        <v>65</v>
      </c>
      <c r="F540" s="24" t="s">
        <v>231</v>
      </c>
      <c r="G540" s="21">
        <v>1987</v>
      </c>
      <c r="H540" s="21">
        <v>0</v>
      </c>
      <c r="I540" s="21">
        <f t="shared" ca="1" si="40"/>
        <v>39</v>
      </c>
      <c r="J540" s="21">
        <v>3</v>
      </c>
      <c r="K540" s="25" t="str">
        <f t="shared" ca="1" si="41"/>
        <v>Activo</v>
      </c>
      <c r="L540" s="25" t="s">
        <v>49</v>
      </c>
      <c r="M540" s="25" t="s">
        <v>49</v>
      </c>
      <c r="N540" s="25" t="s">
        <v>49</v>
      </c>
      <c r="P540" s="25" t="s">
        <v>22</v>
      </c>
      <c r="Q540" s="32">
        <v>365</v>
      </c>
      <c r="R540" s="25" t="s">
        <v>69</v>
      </c>
      <c r="S540" s="29">
        <v>46198</v>
      </c>
      <c r="T540" s="28">
        <f t="shared" si="42"/>
        <v>46563</v>
      </c>
      <c r="U540" s="25">
        <f t="shared" ca="1" si="43"/>
        <v>302</v>
      </c>
      <c r="V540" s="25" t="str">
        <f t="shared" ca="1" si="44"/>
        <v>AL DÍA</v>
      </c>
      <c r="W540" s="25" t="s">
        <v>24</v>
      </c>
      <c r="X540" s="25" t="s">
        <v>277</v>
      </c>
      <c r="Y540" s="25">
        <v>1</v>
      </c>
    </row>
    <row r="541" spans="1:26" ht="14.25" hidden="1" customHeight="1" x14ac:dyDescent="0.15">
      <c r="A541" s="24" t="s">
        <v>296</v>
      </c>
      <c r="B541" s="24" t="s">
        <v>188</v>
      </c>
      <c r="C541" s="26" t="s">
        <v>366</v>
      </c>
      <c r="D541" s="24" t="s">
        <v>65</v>
      </c>
      <c r="F541" s="24" t="s">
        <v>232</v>
      </c>
      <c r="G541" s="21">
        <v>1987</v>
      </c>
      <c r="H541" s="21">
        <v>0</v>
      </c>
      <c r="I541" s="21">
        <f t="shared" ca="1" si="40"/>
        <v>39</v>
      </c>
      <c r="J541" s="21">
        <v>3</v>
      </c>
      <c r="K541" s="25" t="str">
        <f t="shared" ca="1" si="41"/>
        <v>Activo</v>
      </c>
      <c r="L541" s="25" t="s">
        <v>49</v>
      </c>
      <c r="M541" s="25" t="s">
        <v>49</v>
      </c>
      <c r="N541" s="25" t="s">
        <v>49</v>
      </c>
      <c r="P541" s="25" t="s">
        <v>22</v>
      </c>
      <c r="Q541" s="32">
        <v>365</v>
      </c>
      <c r="R541" s="25" t="s">
        <v>69</v>
      </c>
      <c r="S541" s="29">
        <v>46198</v>
      </c>
      <c r="T541" s="28">
        <f t="shared" si="42"/>
        <v>46563</v>
      </c>
      <c r="U541" s="25">
        <f t="shared" ca="1" si="43"/>
        <v>302</v>
      </c>
      <c r="V541" s="25" t="str">
        <f t="shared" ca="1" si="44"/>
        <v>AL DÍA</v>
      </c>
      <c r="W541" s="25" t="s">
        <v>24</v>
      </c>
      <c r="X541" s="25" t="s">
        <v>277</v>
      </c>
      <c r="Y541" s="25">
        <v>1</v>
      </c>
    </row>
    <row r="542" spans="1:26" ht="14.25" hidden="1" customHeight="1" x14ac:dyDescent="0.15">
      <c r="A542" s="24" t="s">
        <v>296</v>
      </c>
      <c r="B542" s="24" t="s">
        <v>188</v>
      </c>
      <c r="C542" s="26">
        <v>601</v>
      </c>
      <c r="D542" s="24" t="s">
        <v>16</v>
      </c>
      <c r="E542" s="24" t="s">
        <v>451</v>
      </c>
      <c r="F542" s="24" t="s">
        <v>93</v>
      </c>
      <c r="G542" s="21">
        <v>1987</v>
      </c>
      <c r="H542" s="21">
        <v>20</v>
      </c>
      <c r="I542" s="21">
        <f t="shared" ca="1" si="40"/>
        <v>39</v>
      </c>
      <c r="J542" s="21">
        <v>3</v>
      </c>
      <c r="K542" s="25" t="str">
        <f t="shared" ca="1" si="41"/>
        <v>Cambiar o Inspección externa</v>
      </c>
      <c r="L542" s="25" t="s">
        <v>142</v>
      </c>
      <c r="P542" s="26" t="s">
        <v>22</v>
      </c>
      <c r="Q542" s="34">
        <v>365</v>
      </c>
      <c r="R542" s="25" t="s">
        <v>69</v>
      </c>
      <c r="S542" s="28">
        <v>46198</v>
      </c>
      <c r="T542" s="28">
        <f t="shared" si="42"/>
        <v>46563</v>
      </c>
      <c r="U542" s="25">
        <f t="shared" ca="1" si="43"/>
        <v>302</v>
      </c>
      <c r="V542" s="25" t="str">
        <f t="shared" ca="1" si="44"/>
        <v>AL DÍA</v>
      </c>
      <c r="W542" s="25" t="s">
        <v>24</v>
      </c>
      <c r="X542" s="25" t="s">
        <v>262</v>
      </c>
      <c r="Y542" s="25">
        <v>1</v>
      </c>
      <c r="Z542" s="1" t="s">
        <v>265</v>
      </c>
    </row>
    <row r="543" spans="1:26" ht="14.25" hidden="1" customHeight="1" x14ac:dyDescent="0.15">
      <c r="A543" s="24" t="s">
        <v>296</v>
      </c>
      <c r="B543" s="24" t="s">
        <v>188</v>
      </c>
      <c r="C543" s="26">
        <v>602</v>
      </c>
      <c r="D543" s="24" t="s">
        <v>16</v>
      </c>
      <c r="E543" s="24" t="s">
        <v>451</v>
      </c>
      <c r="F543" s="24" t="s">
        <v>93</v>
      </c>
      <c r="G543" s="21">
        <v>1987</v>
      </c>
      <c r="H543" s="21">
        <v>20</v>
      </c>
      <c r="I543" s="21">
        <f t="shared" ca="1" si="40"/>
        <v>39</v>
      </c>
      <c r="J543" s="21">
        <v>3</v>
      </c>
      <c r="K543" s="25" t="str">
        <f t="shared" ca="1" si="41"/>
        <v>Cambiar o Inspección externa</v>
      </c>
      <c r="L543" s="25" t="s">
        <v>142</v>
      </c>
      <c r="P543" s="25" t="s">
        <v>22</v>
      </c>
      <c r="Q543" s="32">
        <v>365</v>
      </c>
      <c r="R543" s="25" t="s">
        <v>69</v>
      </c>
      <c r="S543" s="28">
        <v>46198</v>
      </c>
      <c r="T543" s="28">
        <f t="shared" si="42"/>
        <v>46563</v>
      </c>
      <c r="U543" s="25">
        <f t="shared" ca="1" si="43"/>
        <v>302</v>
      </c>
      <c r="V543" s="25" t="str">
        <f t="shared" ca="1" si="44"/>
        <v>AL DÍA</v>
      </c>
      <c r="W543" s="25" t="s">
        <v>24</v>
      </c>
      <c r="X543" s="25" t="s">
        <v>262</v>
      </c>
      <c r="Y543" s="25">
        <v>1</v>
      </c>
      <c r="Z543" s="1" t="s">
        <v>265</v>
      </c>
    </row>
    <row r="544" spans="1:26" ht="14.25" hidden="1" customHeight="1" x14ac:dyDescent="0.15">
      <c r="A544" s="24" t="s">
        <v>296</v>
      </c>
      <c r="B544" s="24" t="s">
        <v>188</v>
      </c>
      <c r="C544" s="26">
        <v>603</v>
      </c>
      <c r="D544" s="24" t="s">
        <v>16</v>
      </c>
      <c r="E544" s="24" t="s">
        <v>451</v>
      </c>
      <c r="F544" s="24" t="s">
        <v>93</v>
      </c>
      <c r="G544" s="21">
        <v>1987</v>
      </c>
      <c r="H544" s="21">
        <v>20</v>
      </c>
      <c r="I544" s="21">
        <f t="shared" ca="1" si="40"/>
        <v>39</v>
      </c>
      <c r="J544" s="21">
        <v>3</v>
      </c>
      <c r="K544" s="25" t="str">
        <f t="shared" ca="1" si="41"/>
        <v>Cambiar o Inspección externa</v>
      </c>
      <c r="L544" s="25" t="s">
        <v>142</v>
      </c>
      <c r="O544" s="26"/>
      <c r="P544" s="26" t="s">
        <v>22</v>
      </c>
      <c r="Q544" s="34">
        <v>365</v>
      </c>
      <c r="R544" s="25" t="s">
        <v>69</v>
      </c>
      <c r="S544" s="28">
        <v>46198</v>
      </c>
      <c r="T544" s="28">
        <f t="shared" si="42"/>
        <v>46563</v>
      </c>
      <c r="U544" s="25">
        <f t="shared" ca="1" si="43"/>
        <v>302</v>
      </c>
      <c r="V544" s="25" t="str">
        <f t="shared" ca="1" si="44"/>
        <v>AL DÍA</v>
      </c>
      <c r="W544" s="25" t="s">
        <v>24</v>
      </c>
      <c r="X544" s="25" t="s">
        <v>262</v>
      </c>
      <c r="Y544" s="25">
        <v>1</v>
      </c>
      <c r="Z544" s="1" t="s">
        <v>265</v>
      </c>
    </row>
    <row r="545" spans="1:26" ht="14.25" hidden="1" customHeight="1" x14ac:dyDescent="0.15">
      <c r="A545" s="24" t="s">
        <v>296</v>
      </c>
      <c r="B545" s="24" t="s">
        <v>188</v>
      </c>
      <c r="C545" s="26">
        <v>604</v>
      </c>
      <c r="D545" s="24" t="s">
        <v>16</v>
      </c>
      <c r="E545" s="24" t="s">
        <v>451</v>
      </c>
      <c r="F545" s="24" t="s">
        <v>93</v>
      </c>
      <c r="G545" s="21">
        <v>1987</v>
      </c>
      <c r="H545" s="21">
        <v>20</v>
      </c>
      <c r="I545" s="21">
        <f t="shared" ca="1" si="40"/>
        <v>39</v>
      </c>
      <c r="J545" s="21">
        <v>3</v>
      </c>
      <c r="K545" s="25" t="str">
        <f t="shared" ca="1" si="41"/>
        <v>Cambiar o Inspección externa</v>
      </c>
      <c r="L545" s="25" t="s">
        <v>142</v>
      </c>
      <c r="P545" s="25" t="s">
        <v>22</v>
      </c>
      <c r="Q545" s="32">
        <v>365</v>
      </c>
      <c r="R545" s="25" t="s">
        <v>69</v>
      </c>
      <c r="S545" s="28">
        <v>46198</v>
      </c>
      <c r="T545" s="28">
        <f t="shared" si="42"/>
        <v>46563</v>
      </c>
      <c r="U545" s="25">
        <f t="shared" ca="1" si="43"/>
        <v>302</v>
      </c>
      <c r="V545" s="25" t="str">
        <f t="shared" ca="1" si="44"/>
        <v>AL DÍA</v>
      </c>
      <c r="W545" s="25" t="s">
        <v>24</v>
      </c>
      <c r="X545" s="25" t="s">
        <v>262</v>
      </c>
      <c r="Y545" s="25">
        <v>1</v>
      </c>
      <c r="Z545" s="1" t="s">
        <v>265</v>
      </c>
    </row>
    <row r="546" spans="1:26" ht="14.25" hidden="1" customHeight="1" x14ac:dyDescent="0.15">
      <c r="A546" s="24" t="s">
        <v>296</v>
      </c>
      <c r="B546" s="24" t="s">
        <v>188</v>
      </c>
      <c r="C546" s="26">
        <v>606</v>
      </c>
      <c r="D546" s="24" t="s">
        <v>16</v>
      </c>
      <c r="E546" s="24" t="s">
        <v>451</v>
      </c>
      <c r="F546" s="24" t="s">
        <v>93</v>
      </c>
      <c r="G546" s="21">
        <v>1987</v>
      </c>
      <c r="H546" s="21">
        <v>20</v>
      </c>
      <c r="I546" s="21">
        <f t="shared" ca="1" si="40"/>
        <v>39</v>
      </c>
      <c r="J546" s="21">
        <v>3</v>
      </c>
      <c r="K546" s="25" t="str">
        <f t="shared" ca="1" si="41"/>
        <v>Cambiar o Inspección externa</v>
      </c>
      <c r="L546" s="25" t="s">
        <v>142</v>
      </c>
      <c r="P546" s="25" t="s">
        <v>22</v>
      </c>
      <c r="Q546" s="32">
        <v>365</v>
      </c>
      <c r="R546" s="25" t="s">
        <v>69</v>
      </c>
      <c r="S546" s="28">
        <v>46198</v>
      </c>
      <c r="T546" s="28">
        <f t="shared" si="42"/>
        <v>46563</v>
      </c>
      <c r="U546" s="25">
        <f t="shared" ca="1" si="43"/>
        <v>302</v>
      </c>
      <c r="V546" s="25" t="str">
        <f t="shared" ca="1" si="44"/>
        <v>AL DÍA</v>
      </c>
      <c r="W546" s="25" t="s">
        <v>24</v>
      </c>
      <c r="X546" s="25" t="s">
        <v>262</v>
      </c>
      <c r="Y546" s="25">
        <v>1</v>
      </c>
      <c r="Z546" s="1" t="s">
        <v>265</v>
      </c>
    </row>
    <row r="547" spans="1:26" ht="14.25" hidden="1" customHeight="1" x14ac:dyDescent="0.15">
      <c r="A547" s="24" t="s">
        <v>296</v>
      </c>
      <c r="B547" s="24" t="s">
        <v>188</v>
      </c>
      <c r="C547" s="26">
        <v>607</v>
      </c>
      <c r="D547" s="24" t="s">
        <v>16</v>
      </c>
      <c r="E547" s="24" t="s">
        <v>451</v>
      </c>
      <c r="F547" s="24" t="s">
        <v>93</v>
      </c>
      <c r="G547" s="21">
        <v>1987</v>
      </c>
      <c r="H547" s="21">
        <v>20</v>
      </c>
      <c r="I547" s="21">
        <f t="shared" ca="1" si="40"/>
        <v>39</v>
      </c>
      <c r="J547" s="21">
        <v>3</v>
      </c>
      <c r="K547" s="25" t="str">
        <f t="shared" ca="1" si="41"/>
        <v>Cambiar o Inspección externa</v>
      </c>
      <c r="L547" s="25" t="s">
        <v>142</v>
      </c>
      <c r="P547" s="25" t="s">
        <v>22</v>
      </c>
      <c r="Q547" s="32">
        <v>365</v>
      </c>
      <c r="R547" s="25" t="s">
        <v>69</v>
      </c>
      <c r="S547" s="28">
        <v>46198</v>
      </c>
      <c r="T547" s="28">
        <f t="shared" si="42"/>
        <v>46563</v>
      </c>
      <c r="U547" s="25">
        <f t="shared" ca="1" si="43"/>
        <v>302</v>
      </c>
      <c r="V547" s="25" t="str">
        <f t="shared" ca="1" si="44"/>
        <v>AL DÍA</v>
      </c>
      <c r="W547" s="25" t="s">
        <v>24</v>
      </c>
      <c r="X547" s="25" t="s">
        <v>262</v>
      </c>
      <c r="Y547" s="25">
        <v>1</v>
      </c>
      <c r="Z547" s="1" t="s">
        <v>265</v>
      </c>
    </row>
    <row r="548" spans="1:26" ht="14.25" hidden="1" customHeight="1" x14ac:dyDescent="0.15">
      <c r="A548" s="24" t="s">
        <v>296</v>
      </c>
      <c r="B548" s="24" t="s">
        <v>188</v>
      </c>
      <c r="C548" s="26">
        <v>608</v>
      </c>
      <c r="D548" s="24" t="s">
        <v>16</v>
      </c>
      <c r="E548" s="24" t="s">
        <v>451</v>
      </c>
      <c r="F548" s="24" t="s">
        <v>93</v>
      </c>
      <c r="G548" s="21">
        <v>1987</v>
      </c>
      <c r="H548" s="21">
        <v>20</v>
      </c>
      <c r="I548" s="21">
        <f t="shared" ca="1" si="40"/>
        <v>39</v>
      </c>
      <c r="J548" s="21">
        <v>3</v>
      </c>
      <c r="K548" s="25" t="str">
        <f t="shared" ca="1" si="41"/>
        <v>Cambiar o Inspección externa</v>
      </c>
      <c r="L548" s="25" t="s">
        <v>142</v>
      </c>
      <c r="P548" s="25" t="s">
        <v>22</v>
      </c>
      <c r="Q548" s="32">
        <v>365</v>
      </c>
      <c r="R548" s="25" t="s">
        <v>69</v>
      </c>
      <c r="S548" s="28">
        <v>46198</v>
      </c>
      <c r="T548" s="28">
        <f t="shared" si="42"/>
        <v>46563</v>
      </c>
      <c r="U548" s="25">
        <f t="shared" ca="1" si="43"/>
        <v>302</v>
      </c>
      <c r="V548" s="25" t="str">
        <f t="shared" ca="1" si="44"/>
        <v>AL DÍA</v>
      </c>
      <c r="W548" s="25" t="s">
        <v>24</v>
      </c>
      <c r="X548" s="25" t="s">
        <v>262</v>
      </c>
      <c r="Y548" s="25">
        <v>1</v>
      </c>
      <c r="Z548" s="1" t="s">
        <v>265</v>
      </c>
    </row>
    <row r="549" spans="1:26" ht="14.25" hidden="1" customHeight="1" x14ac:dyDescent="0.15">
      <c r="A549" s="24" t="s">
        <v>296</v>
      </c>
      <c r="B549" s="24" t="s">
        <v>188</v>
      </c>
      <c r="C549" s="26">
        <v>609</v>
      </c>
      <c r="D549" s="24" t="s">
        <v>16</v>
      </c>
      <c r="E549" s="24" t="s">
        <v>451</v>
      </c>
      <c r="F549" s="24" t="s">
        <v>93</v>
      </c>
      <c r="G549" s="21">
        <v>1987</v>
      </c>
      <c r="H549" s="21">
        <v>20</v>
      </c>
      <c r="I549" s="21">
        <f t="shared" ca="1" si="40"/>
        <v>39</v>
      </c>
      <c r="J549" s="21">
        <v>3</v>
      </c>
      <c r="K549" s="25" t="str">
        <f t="shared" ca="1" si="41"/>
        <v>Cambiar o Inspección externa</v>
      </c>
      <c r="L549" s="25" t="s">
        <v>142</v>
      </c>
      <c r="P549" s="26" t="s">
        <v>22</v>
      </c>
      <c r="Q549" s="34">
        <v>365</v>
      </c>
      <c r="R549" s="25" t="s">
        <v>69</v>
      </c>
      <c r="S549" s="28">
        <v>46198</v>
      </c>
      <c r="T549" s="28">
        <f t="shared" si="42"/>
        <v>46563</v>
      </c>
      <c r="U549" s="25">
        <f t="shared" ca="1" si="43"/>
        <v>302</v>
      </c>
      <c r="V549" s="25" t="str">
        <f t="shared" ca="1" si="44"/>
        <v>AL DÍA</v>
      </c>
      <c r="W549" s="25" t="s">
        <v>24</v>
      </c>
      <c r="X549" s="25" t="s">
        <v>262</v>
      </c>
      <c r="Y549" s="25">
        <v>1</v>
      </c>
      <c r="Z549" s="1" t="s">
        <v>265</v>
      </c>
    </row>
    <row r="550" spans="1:26" ht="14.25" hidden="1" customHeight="1" x14ac:dyDescent="0.15">
      <c r="A550" s="24" t="s">
        <v>296</v>
      </c>
      <c r="B550" s="24" t="s">
        <v>188</v>
      </c>
      <c r="C550" s="26">
        <v>610</v>
      </c>
      <c r="D550" s="24" t="s">
        <v>16</v>
      </c>
      <c r="E550" s="24" t="s">
        <v>451</v>
      </c>
      <c r="F550" s="24" t="s">
        <v>93</v>
      </c>
      <c r="G550" s="21">
        <v>1987</v>
      </c>
      <c r="H550" s="21">
        <v>20</v>
      </c>
      <c r="I550" s="21">
        <f t="shared" ca="1" si="40"/>
        <v>39</v>
      </c>
      <c r="J550" s="21">
        <v>3</v>
      </c>
      <c r="K550" s="25" t="str">
        <f t="shared" ca="1" si="41"/>
        <v>Cambiar o Inspección externa</v>
      </c>
      <c r="L550" s="25" t="s">
        <v>142</v>
      </c>
      <c r="O550" s="26"/>
      <c r="P550" s="26" t="s">
        <v>22</v>
      </c>
      <c r="Q550" s="34">
        <v>365</v>
      </c>
      <c r="R550" s="25" t="s">
        <v>69</v>
      </c>
      <c r="S550" s="28">
        <v>46198</v>
      </c>
      <c r="T550" s="28">
        <f t="shared" si="42"/>
        <v>46563</v>
      </c>
      <c r="U550" s="25">
        <f t="shared" ca="1" si="43"/>
        <v>302</v>
      </c>
      <c r="V550" s="25" t="str">
        <f t="shared" ca="1" si="44"/>
        <v>AL DÍA</v>
      </c>
      <c r="W550" s="25" t="s">
        <v>24</v>
      </c>
      <c r="X550" s="25" t="s">
        <v>262</v>
      </c>
      <c r="Y550" s="25">
        <v>1</v>
      </c>
      <c r="Z550" s="1" t="s">
        <v>265</v>
      </c>
    </row>
    <row r="551" spans="1:26" ht="14.25" hidden="1" customHeight="1" x14ac:dyDescent="0.15">
      <c r="A551" s="24" t="s">
        <v>296</v>
      </c>
      <c r="B551" s="24" t="s">
        <v>188</v>
      </c>
      <c r="C551" s="26">
        <v>611</v>
      </c>
      <c r="D551" s="24" t="s">
        <v>16</v>
      </c>
      <c r="E551" s="24" t="s">
        <v>451</v>
      </c>
      <c r="F551" s="24" t="s">
        <v>93</v>
      </c>
      <c r="G551" s="21">
        <v>1987</v>
      </c>
      <c r="H551" s="21">
        <v>20</v>
      </c>
      <c r="I551" s="21">
        <f t="shared" ca="1" si="40"/>
        <v>39</v>
      </c>
      <c r="J551" s="21">
        <v>3</v>
      </c>
      <c r="K551" s="25" t="str">
        <f t="shared" ca="1" si="41"/>
        <v>Cambiar o Inspección externa</v>
      </c>
      <c r="L551" s="25" t="s">
        <v>142</v>
      </c>
      <c r="P551" s="25" t="s">
        <v>22</v>
      </c>
      <c r="Q551" s="32">
        <v>365</v>
      </c>
      <c r="R551" s="25" t="s">
        <v>69</v>
      </c>
      <c r="S551" s="28">
        <v>46198</v>
      </c>
      <c r="T551" s="28">
        <f t="shared" si="42"/>
        <v>46563</v>
      </c>
      <c r="U551" s="25">
        <f t="shared" ca="1" si="43"/>
        <v>302</v>
      </c>
      <c r="V551" s="25" t="str">
        <f t="shared" ca="1" si="44"/>
        <v>AL DÍA</v>
      </c>
      <c r="W551" s="25" t="s">
        <v>24</v>
      </c>
      <c r="X551" s="25" t="s">
        <v>262</v>
      </c>
      <c r="Y551" s="25">
        <v>1</v>
      </c>
      <c r="Z551" s="1" t="s">
        <v>265</v>
      </c>
    </row>
    <row r="552" spans="1:26" ht="14.25" hidden="1" customHeight="1" x14ac:dyDescent="0.15">
      <c r="A552" s="24" t="s">
        <v>296</v>
      </c>
      <c r="B552" s="24" t="s">
        <v>188</v>
      </c>
      <c r="C552" s="26">
        <v>612</v>
      </c>
      <c r="D552" s="24" t="s">
        <v>16</v>
      </c>
      <c r="E552" s="24" t="s">
        <v>451</v>
      </c>
      <c r="F552" s="24" t="s">
        <v>93</v>
      </c>
      <c r="G552" s="21">
        <v>1987</v>
      </c>
      <c r="H552" s="21">
        <v>20</v>
      </c>
      <c r="I552" s="21">
        <f t="shared" ca="1" si="40"/>
        <v>39</v>
      </c>
      <c r="J552" s="21">
        <v>3</v>
      </c>
      <c r="K552" s="25" t="str">
        <f t="shared" ca="1" si="41"/>
        <v>Cambiar o Inspección externa</v>
      </c>
      <c r="L552" s="25" t="s">
        <v>142</v>
      </c>
      <c r="P552" s="25" t="s">
        <v>22</v>
      </c>
      <c r="Q552" s="32">
        <v>365</v>
      </c>
      <c r="R552" s="25" t="s">
        <v>69</v>
      </c>
      <c r="S552" s="28">
        <v>46198</v>
      </c>
      <c r="T552" s="28">
        <f t="shared" si="42"/>
        <v>46563</v>
      </c>
      <c r="U552" s="25">
        <f t="shared" ca="1" si="43"/>
        <v>302</v>
      </c>
      <c r="V552" s="25" t="str">
        <f t="shared" ca="1" si="44"/>
        <v>AL DÍA</v>
      </c>
      <c r="W552" s="25" t="s">
        <v>24</v>
      </c>
      <c r="X552" s="25" t="s">
        <v>262</v>
      </c>
      <c r="Y552" s="25">
        <v>1</v>
      </c>
      <c r="Z552" s="1" t="s">
        <v>265</v>
      </c>
    </row>
    <row r="553" spans="1:26" ht="14.25" hidden="1" customHeight="1" x14ac:dyDescent="0.15">
      <c r="A553" s="24" t="s">
        <v>296</v>
      </c>
      <c r="B553" s="24" t="s">
        <v>188</v>
      </c>
      <c r="C553" s="26">
        <v>613</v>
      </c>
      <c r="D553" s="24" t="s">
        <v>16</v>
      </c>
      <c r="E553" s="24" t="s">
        <v>451</v>
      </c>
      <c r="F553" s="24" t="s">
        <v>93</v>
      </c>
      <c r="G553" s="21">
        <v>1987</v>
      </c>
      <c r="H553" s="21">
        <v>20</v>
      </c>
      <c r="I553" s="21">
        <f t="shared" ca="1" si="40"/>
        <v>39</v>
      </c>
      <c r="J553" s="21">
        <v>3</v>
      </c>
      <c r="K553" s="25" t="str">
        <f t="shared" ca="1" si="41"/>
        <v>Cambiar o Inspección externa</v>
      </c>
      <c r="L553" s="25" t="s">
        <v>142</v>
      </c>
      <c r="P553" s="25" t="s">
        <v>22</v>
      </c>
      <c r="Q553" s="32">
        <v>365</v>
      </c>
      <c r="R553" s="25" t="s">
        <v>69</v>
      </c>
      <c r="S553" s="28">
        <v>46198</v>
      </c>
      <c r="T553" s="28">
        <f t="shared" si="42"/>
        <v>46563</v>
      </c>
      <c r="U553" s="25">
        <f t="shared" ca="1" si="43"/>
        <v>302</v>
      </c>
      <c r="V553" s="25" t="str">
        <f t="shared" ca="1" si="44"/>
        <v>AL DÍA</v>
      </c>
      <c r="W553" s="25" t="s">
        <v>24</v>
      </c>
      <c r="X553" s="25" t="s">
        <v>262</v>
      </c>
      <c r="Y553" s="25">
        <v>1</v>
      </c>
      <c r="Z553" s="1" t="s">
        <v>265</v>
      </c>
    </row>
    <row r="554" spans="1:26" ht="14.25" hidden="1" customHeight="1" x14ac:dyDescent="0.15">
      <c r="A554" s="24" t="s">
        <v>296</v>
      </c>
      <c r="B554" s="24" t="s">
        <v>188</v>
      </c>
      <c r="C554" s="26">
        <v>614</v>
      </c>
      <c r="D554" s="24" t="s">
        <v>16</v>
      </c>
      <c r="E554" s="24" t="s">
        <v>451</v>
      </c>
      <c r="F554" s="24" t="s">
        <v>93</v>
      </c>
      <c r="G554" s="21">
        <v>1987</v>
      </c>
      <c r="H554" s="21">
        <v>20</v>
      </c>
      <c r="I554" s="21">
        <f t="shared" ca="1" si="40"/>
        <v>39</v>
      </c>
      <c r="J554" s="21">
        <v>3</v>
      </c>
      <c r="K554" s="25" t="str">
        <f t="shared" ca="1" si="41"/>
        <v>Cambiar o Inspección externa</v>
      </c>
      <c r="L554" s="25" t="s">
        <v>142</v>
      </c>
      <c r="P554" s="25" t="s">
        <v>22</v>
      </c>
      <c r="Q554" s="32">
        <v>365</v>
      </c>
      <c r="R554" s="25" t="s">
        <v>69</v>
      </c>
      <c r="S554" s="28">
        <v>46198</v>
      </c>
      <c r="T554" s="28">
        <f t="shared" si="42"/>
        <v>46563</v>
      </c>
      <c r="U554" s="25">
        <f t="shared" ca="1" si="43"/>
        <v>302</v>
      </c>
      <c r="V554" s="25" t="str">
        <f t="shared" ca="1" si="44"/>
        <v>AL DÍA</v>
      </c>
      <c r="W554" s="25" t="s">
        <v>24</v>
      </c>
      <c r="X554" s="25" t="s">
        <v>262</v>
      </c>
      <c r="Y554" s="25">
        <v>1</v>
      </c>
      <c r="Z554" s="1" t="s">
        <v>265</v>
      </c>
    </row>
    <row r="555" spans="1:26" ht="14.25" hidden="1" customHeight="1" x14ac:dyDescent="0.15">
      <c r="A555" s="24" t="s">
        <v>296</v>
      </c>
      <c r="B555" s="24" t="s">
        <v>188</v>
      </c>
      <c r="C555" s="26">
        <v>615</v>
      </c>
      <c r="D555" s="24" t="s">
        <v>16</v>
      </c>
      <c r="E555" s="24" t="s">
        <v>451</v>
      </c>
      <c r="F555" s="24" t="s">
        <v>93</v>
      </c>
      <c r="G555" s="21">
        <v>1987</v>
      </c>
      <c r="H555" s="21">
        <v>20</v>
      </c>
      <c r="I555" s="21">
        <f t="shared" ca="1" si="40"/>
        <v>39</v>
      </c>
      <c r="J555" s="21">
        <v>3</v>
      </c>
      <c r="K555" s="25" t="str">
        <f t="shared" ca="1" si="41"/>
        <v>Cambiar o Inspección externa</v>
      </c>
      <c r="L555" s="25" t="s">
        <v>142</v>
      </c>
      <c r="P555" s="26" t="s">
        <v>22</v>
      </c>
      <c r="Q555" s="34">
        <v>365</v>
      </c>
      <c r="R555" s="25" t="s">
        <v>69</v>
      </c>
      <c r="S555" s="28">
        <v>46198</v>
      </c>
      <c r="T555" s="28">
        <f t="shared" si="42"/>
        <v>46563</v>
      </c>
      <c r="U555" s="25">
        <f t="shared" ca="1" si="43"/>
        <v>302</v>
      </c>
      <c r="V555" s="25" t="str">
        <f t="shared" ca="1" si="44"/>
        <v>AL DÍA</v>
      </c>
      <c r="W555" s="25" t="s">
        <v>24</v>
      </c>
      <c r="X555" s="25" t="s">
        <v>262</v>
      </c>
      <c r="Y555" s="25">
        <v>1</v>
      </c>
      <c r="Z555" s="1" t="s">
        <v>265</v>
      </c>
    </row>
    <row r="556" spans="1:26" ht="14.25" hidden="1" customHeight="1" x14ac:dyDescent="0.15">
      <c r="A556" s="24" t="s">
        <v>296</v>
      </c>
      <c r="B556" s="24" t="s">
        <v>188</v>
      </c>
      <c r="C556" s="26">
        <v>618</v>
      </c>
      <c r="D556" s="24" t="s">
        <v>16</v>
      </c>
      <c r="E556" s="24" t="s">
        <v>451</v>
      </c>
      <c r="F556" s="24" t="s">
        <v>93</v>
      </c>
      <c r="G556" s="21">
        <v>1987</v>
      </c>
      <c r="H556" s="21">
        <v>20</v>
      </c>
      <c r="I556" s="21">
        <f t="shared" ca="1" si="40"/>
        <v>39</v>
      </c>
      <c r="J556" s="21">
        <v>3</v>
      </c>
      <c r="K556" s="25" t="str">
        <f t="shared" ca="1" si="41"/>
        <v>Cambiar o Inspección externa</v>
      </c>
      <c r="L556" s="25" t="s">
        <v>142</v>
      </c>
      <c r="O556" s="26"/>
      <c r="P556" s="26" t="s">
        <v>22</v>
      </c>
      <c r="Q556" s="34">
        <v>365</v>
      </c>
      <c r="R556" s="25" t="s">
        <v>69</v>
      </c>
      <c r="S556" s="28">
        <v>46198</v>
      </c>
      <c r="T556" s="28">
        <f t="shared" si="42"/>
        <v>46563</v>
      </c>
      <c r="U556" s="25">
        <f t="shared" ca="1" si="43"/>
        <v>302</v>
      </c>
      <c r="V556" s="25" t="str">
        <f t="shared" ca="1" si="44"/>
        <v>AL DÍA</v>
      </c>
      <c r="W556" s="25" t="s">
        <v>24</v>
      </c>
      <c r="X556" s="25" t="s">
        <v>262</v>
      </c>
      <c r="Y556" s="25">
        <v>1</v>
      </c>
      <c r="Z556" s="1" t="s">
        <v>265</v>
      </c>
    </row>
    <row r="557" spans="1:26" ht="14.25" hidden="1" customHeight="1" x14ac:dyDescent="0.15">
      <c r="A557" s="24" t="s">
        <v>296</v>
      </c>
      <c r="B557" s="24" t="s">
        <v>188</v>
      </c>
      <c r="C557" s="26">
        <v>623</v>
      </c>
      <c r="D557" s="24" t="s">
        <v>16</v>
      </c>
      <c r="E557" s="24" t="s">
        <v>451</v>
      </c>
      <c r="F557" s="24" t="s">
        <v>93</v>
      </c>
      <c r="G557" s="21">
        <v>1987</v>
      </c>
      <c r="H557" s="21">
        <v>20</v>
      </c>
      <c r="I557" s="21">
        <f t="shared" ca="1" si="40"/>
        <v>39</v>
      </c>
      <c r="J557" s="21">
        <v>3</v>
      </c>
      <c r="K557" s="25" t="str">
        <f t="shared" ca="1" si="41"/>
        <v>Cambiar o Inspección externa</v>
      </c>
      <c r="L557" s="25" t="s">
        <v>142</v>
      </c>
      <c r="P557" s="25" t="s">
        <v>22</v>
      </c>
      <c r="Q557" s="32">
        <v>365</v>
      </c>
      <c r="R557" s="25" t="s">
        <v>69</v>
      </c>
      <c r="S557" s="28">
        <v>46198</v>
      </c>
      <c r="T557" s="28">
        <f t="shared" si="42"/>
        <v>46563</v>
      </c>
      <c r="U557" s="25">
        <f t="shared" ca="1" si="43"/>
        <v>302</v>
      </c>
      <c r="V557" s="25" t="str">
        <f t="shared" ca="1" si="44"/>
        <v>AL DÍA</v>
      </c>
      <c r="W557" s="25" t="s">
        <v>24</v>
      </c>
      <c r="X557" s="25" t="s">
        <v>262</v>
      </c>
      <c r="Y557" s="25">
        <v>1</v>
      </c>
      <c r="Z557" s="1" t="s">
        <v>265</v>
      </c>
    </row>
    <row r="558" spans="1:26" ht="14.25" hidden="1" customHeight="1" x14ac:dyDescent="0.15">
      <c r="A558" s="24" t="s">
        <v>296</v>
      </c>
      <c r="B558" s="24" t="s">
        <v>188</v>
      </c>
      <c r="C558" s="26">
        <v>624</v>
      </c>
      <c r="D558" s="24" t="s">
        <v>16</v>
      </c>
      <c r="E558" s="24" t="s">
        <v>451</v>
      </c>
      <c r="F558" s="24" t="s">
        <v>93</v>
      </c>
      <c r="G558" s="21">
        <v>1987</v>
      </c>
      <c r="H558" s="21">
        <v>20</v>
      </c>
      <c r="I558" s="21">
        <f t="shared" ca="1" si="40"/>
        <v>39</v>
      </c>
      <c r="J558" s="21">
        <v>3</v>
      </c>
      <c r="K558" s="25" t="str">
        <f t="shared" ca="1" si="41"/>
        <v>Cambiar o Inspección externa</v>
      </c>
      <c r="L558" s="25" t="s">
        <v>142</v>
      </c>
      <c r="P558" s="25" t="s">
        <v>22</v>
      </c>
      <c r="Q558" s="32">
        <v>365</v>
      </c>
      <c r="R558" s="25" t="s">
        <v>69</v>
      </c>
      <c r="S558" s="28">
        <v>46198</v>
      </c>
      <c r="T558" s="28">
        <f t="shared" si="42"/>
        <v>46563</v>
      </c>
      <c r="U558" s="25">
        <f t="shared" ca="1" si="43"/>
        <v>302</v>
      </c>
      <c r="V558" s="25" t="str">
        <f t="shared" ca="1" si="44"/>
        <v>AL DÍA</v>
      </c>
      <c r="W558" s="25" t="s">
        <v>24</v>
      </c>
      <c r="X558" s="25" t="s">
        <v>262</v>
      </c>
      <c r="Y558" s="25">
        <v>1</v>
      </c>
      <c r="Z558" s="1" t="s">
        <v>265</v>
      </c>
    </row>
    <row r="559" spans="1:26" ht="14.25" hidden="1" customHeight="1" x14ac:dyDescent="0.15">
      <c r="A559" s="24" t="s">
        <v>296</v>
      </c>
      <c r="B559" s="24" t="s">
        <v>188</v>
      </c>
      <c r="C559" s="26">
        <v>625</v>
      </c>
      <c r="D559" s="24" t="s">
        <v>16</v>
      </c>
      <c r="E559" s="24" t="s">
        <v>451</v>
      </c>
      <c r="F559" s="24" t="s">
        <v>93</v>
      </c>
      <c r="G559" s="21">
        <v>1987</v>
      </c>
      <c r="H559" s="21">
        <v>20</v>
      </c>
      <c r="I559" s="21">
        <f t="shared" ca="1" si="40"/>
        <v>39</v>
      </c>
      <c r="J559" s="21">
        <v>3</v>
      </c>
      <c r="K559" s="25" t="str">
        <f t="shared" ca="1" si="41"/>
        <v>Cambiar o Inspección externa</v>
      </c>
      <c r="L559" s="25" t="s">
        <v>142</v>
      </c>
      <c r="P559" s="25" t="s">
        <v>22</v>
      </c>
      <c r="Q559" s="32">
        <v>365</v>
      </c>
      <c r="R559" s="25" t="s">
        <v>69</v>
      </c>
      <c r="S559" s="28">
        <v>46198</v>
      </c>
      <c r="T559" s="28">
        <f t="shared" si="42"/>
        <v>46563</v>
      </c>
      <c r="U559" s="25">
        <f t="shared" ca="1" si="43"/>
        <v>302</v>
      </c>
      <c r="V559" s="25" t="str">
        <f t="shared" ca="1" si="44"/>
        <v>AL DÍA</v>
      </c>
      <c r="W559" s="25" t="s">
        <v>24</v>
      </c>
      <c r="X559" s="25" t="s">
        <v>262</v>
      </c>
      <c r="Y559" s="25">
        <v>1</v>
      </c>
      <c r="Z559" s="1" t="s">
        <v>265</v>
      </c>
    </row>
    <row r="560" spans="1:26" ht="14.25" hidden="1" customHeight="1" x14ac:dyDescent="0.15">
      <c r="A560" s="24" t="s">
        <v>296</v>
      </c>
      <c r="B560" s="24" t="s">
        <v>188</v>
      </c>
      <c r="C560" s="26">
        <v>626</v>
      </c>
      <c r="D560" s="24" t="s">
        <v>16</v>
      </c>
      <c r="E560" s="24" t="s">
        <v>451</v>
      </c>
      <c r="F560" s="24" t="s">
        <v>93</v>
      </c>
      <c r="G560" s="21">
        <v>1987</v>
      </c>
      <c r="H560" s="21">
        <v>20</v>
      </c>
      <c r="I560" s="21">
        <f t="shared" ca="1" si="40"/>
        <v>39</v>
      </c>
      <c r="J560" s="21">
        <v>3</v>
      </c>
      <c r="K560" s="25" t="str">
        <f t="shared" ca="1" si="41"/>
        <v>Cambiar o Inspección externa</v>
      </c>
      <c r="L560" s="25" t="s">
        <v>142</v>
      </c>
      <c r="P560" s="25" t="s">
        <v>22</v>
      </c>
      <c r="Q560" s="32">
        <v>365</v>
      </c>
      <c r="R560" s="25" t="s">
        <v>69</v>
      </c>
      <c r="S560" s="28">
        <v>46198</v>
      </c>
      <c r="T560" s="28">
        <f t="shared" si="42"/>
        <v>46563</v>
      </c>
      <c r="U560" s="25">
        <f t="shared" ca="1" si="43"/>
        <v>302</v>
      </c>
      <c r="V560" s="25" t="str">
        <f t="shared" ca="1" si="44"/>
        <v>AL DÍA</v>
      </c>
      <c r="W560" s="25" t="s">
        <v>24</v>
      </c>
      <c r="X560" s="25" t="s">
        <v>262</v>
      </c>
      <c r="Y560" s="25">
        <v>1</v>
      </c>
      <c r="Z560" s="1" t="s">
        <v>265</v>
      </c>
    </row>
    <row r="561" spans="1:26" ht="14.25" hidden="1" customHeight="1" x14ac:dyDescent="0.15">
      <c r="A561" s="24" t="s">
        <v>296</v>
      </c>
      <c r="B561" s="24" t="s">
        <v>188</v>
      </c>
      <c r="C561" s="26" t="s">
        <v>415</v>
      </c>
      <c r="D561" s="24" t="s">
        <v>65</v>
      </c>
      <c r="E561" s="24" t="s">
        <v>452</v>
      </c>
      <c r="F561" s="24" t="s">
        <v>136</v>
      </c>
      <c r="G561" s="71">
        <v>2010</v>
      </c>
      <c r="H561" s="21">
        <v>0</v>
      </c>
      <c r="I561" s="21">
        <f t="shared" ca="1" si="40"/>
        <v>16</v>
      </c>
      <c r="J561" s="21">
        <v>3</v>
      </c>
      <c r="K561" s="25" t="str">
        <f t="shared" ca="1" si="41"/>
        <v>Activo</v>
      </c>
      <c r="L561" s="25" t="s">
        <v>49</v>
      </c>
      <c r="M561" s="25" t="s">
        <v>49</v>
      </c>
      <c r="N561" s="25" t="s">
        <v>49</v>
      </c>
      <c r="O561" s="25" t="s">
        <v>129</v>
      </c>
      <c r="P561" s="26" t="s">
        <v>138</v>
      </c>
      <c r="Q561" s="34">
        <v>30</v>
      </c>
      <c r="R561" s="25" t="s">
        <v>69</v>
      </c>
      <c r="S561" s="30">
        <v>46228</v>
      </c>
      <c r="T561" s="28">
        <f t="shared" si="42"/>
        <v>46258</v>
      </c>
      <c r="U561" s="25">
        <f t="shared" ca="1" si="43"/>
        <v>-3</v>
      </c>
      <c r="V561" s="25" t="str">
        <f t="shared" ca="1" si="44"/>
        <v>VENCIDO</v>
      </c>
      <c r="W561" s="25" t="s">
        <v>24</v>
      </c>
      <c r="X561" s="25" t="s">
        <v>267</v>
      </c>
      <c r="Y561" s="25">
        <v>2</v>
      </c>
      <c r="Z561" s="1" t="s">
        <v>269</v>
      </c>
    </row>
    <row r="562" spans="1:26" ht="14.25" hidden="1" customHeight="1" x14ac:dyDescent="0.15">
      <c r="A562" s="24" t="s">
        <v>296</v>
      </c>
      <c r="B562" s="24" t="s">
        <v>188</v>
      </c>
      <c r="C562" s="26" t="s">
        <v>187</v>
      </c>
      <c r="D562" s="24" t="s">
        <v>16</v>
      </c>
      <c r="F562" s="24" t="s">
        <v>418</v>
      </c>
      <c r="G562" s="21">
        <v>2025</v>
      </c>
      <c r="H562" s="21">
        <v>10</v>
      </c>
      <c r="I562" s="21">
        <f t="shared" ca="1" si="40"/>
        <v>1</v>
      </c>
      <c r="J562" s="21">
        <v>3</v>
      </c>
      <c r="K562" s="25" t="str">
        <f t="shared" ca="1" si="41"/>
        <v>Activo</v>
      </c>
      <c r="L562" s="25" t="s">
        <v>49</v>
      </c>
      <c r="M562" s="25" t="s">
        <v>49</v>
      </c>
      <c r="N562" s="25" t="s">
        <v>49</v>
      </c>
      <c r="O562" s="26" t="s">
        <v>202</v>
      </c>
      <c r="P562" s="26"/>
      <c r="Q562" s="34">
        <v>365</v>
      </c>
      <c r="R562" s="25" t="s">
        <v>64</v>
      </c>
      <c r="S562" s="28">
        <v>46198</v>
      </c>
      <c r="T562" s="28">
        <f t="shared" si="42"/>
        <v>46563</v>
      </c>
      <c r="U562" s="25">
        <f t="shared" ca="1" si="43"/>
        <v>302</v>
      </c>
      <c r="V562" s="25" t="str">
        <f t="shared" ca="1" si="44"/>
        <v>AL DÍA</v>
      </c>
      <c r="W562" s="25" t="s">
        <v>24</v>
      </c>
      <c r="X562" s="25" t="s">
        <v>267</v>
      </c>
      <c r="Y562" s="25">
        <v>2</v>
      </c>
    </row>
    <row r="563" spans="1:26" ht="14.25" hidden="1" customHeight="1" x14ac:dyDescent="0.15">
      <c r="A563" s="24" t="s">
        <v>296</v>
      </c>
      <c r="B563" s="24" t="s">
        <v>185</v>
      </c>
      <c r="C563" s="26" t="s">
        <v>186</v>
      </c>
      <c r="D563" s="24" t="s">
        <v>16</v>
      </c>
      <c r="F563" s="24" t="s">
        <v>418</v>
      </c>
      <c r="G563" s="21">
        <v>2025</v>
      </c>
      <c r="H563" s="21">
        <v>10</v>
      </c>
      <c r="I563" s="21">
        <f t="shared" ca="1" si="40"/>
        <v>1</v>
      </c>
      <c r="J563" s="21">
        <v>3</v>
      </c>
      <c r="K563" s="25" t="str">
        <f t="shared" ca="1" si="41"/>
        <v>Activo</v>
      </c>
      <c r="L563" s="25" t="s">
        <v>49</v>
      </c>
      <c r="M563" s="25" t="s">
        <v>49</v>
      </c>
      <c r="N563" s="25" t="s">
        <v>49</v>
      </c>
      <c r="O563" s="25" t="s">
        <v>202</v>
      </c>
      <c r="Q563" s="34">
        <v>365</v>
      </c>
      <c r="R563" s="25" t="s">
        <v>64</v>
      </c>
      <c r="S563" s="28">
        <v>46198</v>
      </c>
      <c r="T563" s="28">
        <f t="shared" si="42"/>
        <v>46563</v>
      </c>
      <c r="U563" s="25">
        <f t="shared" ca="1" si="43"/>
        <v>302</v>
      </c>
      <c r="V563" s="25" t="str">
        <f t="shared" ca="1" si="44"/>
        <v>AL DÍA</v>
      </c>
      <c r="W563" s="25" t="s">
        <v>24</v>
      </c>
      <c r="X563" s="25" t="s">
        <v>267</v>
      </c>
      <c r="Y563" s="25">
        <v>2</v>
      </c>
    </row>
    <row r="564" spans="1:26" ht="14.25" hidden="1" customHeight="1" x14ac:dyDescent="0.15">
      <c r="A564" s="24" t="s">
        <v>296</v>
      </c>
      <c r="B564" s="24" t="s">
        <v>168</v>
      </c>
      <c r="C564" s="26" t="s">
        <v>417</v>
      </c>
      <c r="D564" s="24" t="s">
        <v>16</v>
      </c>
      <c r="F564" s="24" t="s">
        <v>418</v>
      </c>
      <c r="G564" s="21">
        <v>2025</v>
      </c>
      <c r="H564" s="21">
        <v>10</v>
      </c>
      <c r="I564" s="21">
        <f t="shared" ca="1" si="40"/>
        <v>1</v>
      </c>
      <c r="J564" s="21">
        <v>3</v>
      </c>
      <c r="K564" s="25" t="str">
        <f t="shared" ca="1" si="41"/>
        <v>Activo</v>
      </c>
      <c r="L564" s="25" t="s">
        <v>49</v>
      </c>
      <c r="M564" s="25" t="s">
        <v>49</v>
      </c>
      <c r="N564" s="25" t="s">
        <v>49</v>
      </c>
      <c r="O564" s="25" t="s">
        <v>202</v>
      </c>
      <c r="Q564" s="34">
        <v>365</v>
      </c>
      <c r="R564" s="25" t="s">
        <v>64</v>
      </c>
      <c r="S564" s="28">
        <v>46198</v>
      </c>
      <c r="T564" s="28">
        <f t="shared" si="42"/>
        <v>46563</v>
      </c>
      <c r="U564" s="25">
        <f t="shared" ca="1" si="43"/>
        <v>302</v>
      </c>
      <c r="V564" s="25" t="str">
        <f t="shared" ca="1" si="44"/>
        <v>AL DÍA</v>
      </c>
      <c r="W564" s="25" t="s">
        <v>24</v>
      </c>
      <c r="X564" s="25" t="s">
        <v>267</v>
      </c>
      <c r="Y564" s="25">
        <v>2</v>
      </c>
    </row>
    <row r="565" spans="1:26" ht="14.25" hidden="1" customHeight="1" x14ac:dyDescent="0.15">
      <c r="A565" s="24" t="s">
        <v>296</v>
      </c>
      <c r="B565" s="24" t="s">
        <v>156</v>
      </c>
      <c r="C565" s="26" t="s">
        <v>160</v>
      </c>
      <c r="D565" s="24" t="s">
        <v>16</v>
      </c>
      <c r="F565" s="24" t="s">
        <v>418</v>
      </c>
      <c r="G565" s="21">
        <v>2025</v>
      </c>
      <c r="H565" s="21">
        <v>10</v>
      </c>
      <c r="I565" s="21">
        <f t="shared" ca="1" si="40"/>
        <v>1</v>
      </c>
      <c r="J565" s="21">
        <v>3</v>
      </c>
      <c r="K565" s="25" t="str">
        <f t="shared" ca="1" si="41"/>
        <v>Activo</v>
      </c>
      <c r="L565" s="25" t="s">
        <v>49</v>
      </c>
      <c r="M565" s="25" t="s">
        <v>49</v>
      </c>
      <c r="N565" s="25" t="s">
        <v>49</v>
      </c>
      <c r="O565" s="25" t="s">
        <v>202</v>
      </c>
      <c r="Q565" s="34">
        <v>365</v>
      </c>
      <c r="R565" s="25" t="s">
        <v>64</v>
      </c>
      <c r="S565" s="28">
        <v>46198</v>
      </c>
      <c r="T565" s="28">
        <f t="shared" si="42"/>
        <v>46563</v>
      </c>
      <c r="U565" s="25">
        <f t="shared" ca="1" si="43"/>
        <v>302</v>
      </c>
      <c r="V565" s="25" t="str">
        <f t="shared" ca="1" si="44"/>
        <v>AL DÍA</v>
      </c>
      <c r="W565" s="25" t="s">
        <v>24</v>
      </c>
      <c r="X565" s="25" t="s">
        <v>267</v>
      </c>
      <c r="Y565" s="25">
        <v>2</v>
      </c>
    </row>
    <row r="566" spans="1:26" ht="14.25" hidden="1" customHeight="1" x14ac:dyDescent="0.15">
      <c r="A566" s="24" t="s">
        <v>296</v>
      </c>
      <c r="B566" s="24" t="s">
        <v>156</v>
      </c>
      <c r="C566" s="26" t="s">
        <v>317</v>
      </c>
      <c r="D566" s="24" t="s">
        <v>65</v>
      </c>
      <c r="F566" s="24" t="s">
        <v>215</v>
      </c>
      <c r="G566" s="21">
        <v>1987</v>
      </c>
      <c r="H566" s="21">
        <v>0</v>
      </c>
      <c r="I566" s="21">
        <v>39</v>
      </c>
      <c r="J566" s="21">
        <v>3</v>
      </c>
      <c r="K566" s="25" t="str">
        <f t="shared" ca="1" si="41"/>
        <v>Activo</v>
      </c>
      <c r="L566" s="25" t="s">
        <v>49</v>
      </c>
      <c r="M566" s="25" t="s">
        <v>49</v>
      </c>
      <c r="N566" s="25" t="s">
        <v>49</v>
      </c>
      <c r="P566" s="25" t="s">
        <v>22</v>
      </c>
      <c r="Q566" s="34">
        <v>365</v>
      </c>
      <c r="R566" s="25" t="s">
        <v>64</v>
      </c>
      <c r="S566" s="28">
        <v>46198</v>
      </c>
      <c r="T566" s="28">
        <f t="shared" si="42"/>
        <v>46563</v>
      </c>
      <c r="U566" s="25">
        <f t="shared" ca="1" si="43"/>
        <v>302</v>
      </c>
      <c r="V566" s="25" t="str">
        <f t="shared" ca="1" si="44"/>
        <v>AL DÍA</v>
      </c>
      <c r="W566" s="25" t="s">
        <v>24</v>
      </c>
      <c r="X566" s="25" t="s">
        <v>271</v>
      </c>
      <c r="Y566" s="25">
        <v>2</v>
      </c>
      <c r="Z566" s="1" t="s">
        <v>284</v>
      </c>
    </row>
    <row r="567" spans="1:26" ht="14.25" hidden="1" customHeight="1" x14ac:dyDescent="0.15">
      <c r="A567" s="24" t="s">
        <v>296</v>
      </c>
      <c r="B567" s="24" t="s">
        <v>156</v>
      </c>
      <c r="C567" s="26" t="s">
        <v>317</v>
      </c>
      <c r="D567" s="24" t="s">
        <v>65</v>
      </c>
      <c r="F567" s="24" t="s">
        <v>217</v>
      </c>
      <c r="G567" s="21">
        <v>1987</v>
      </c>
      <c r="H567" s="21">
        <v>0</v>
      </c>
      <c r="I567" s="21">
        <v>39</v>
      </c>
      <c r="J567" s="21">
        <v>3</v>
      </c>
      <c r="K567" s="25" t="str">
        <f t="shared" ca="1" si="41"/>
        <v>Activo</v>
      </c>
      <c r="L567" s="25" t="s">
        <v>49</v>
      </c>
      <c r="O567" s="25">
        <v>62.64</v>
      </c>
      <c r="P567" s="26"/>
      <c r="Q567" s="34">
        <v>365</v>
      </c>
      <c r="R567" s="25" t="s">
        <v>64</v>
      </c>
      <c r="S567" s="28">
        <v>46198</v>
      </c>
      <c r="T567" s="28">
        <f t="shared" si="42"/>
        <v>46563</v>
      </c>
      <c r="U567" s="25">
        <f t="shared" ca="1" si="43"/>
        <v>302</v>
      </c>
      <c r="V567" s="25" t="str">
        <f t="shared" ca="1" si="44"/>
        <v>AL DÍA</v>
      </c>
      <c r="W567" s="25" t="s">
        <v>24</v>
      </c>
      <c r="X567" s="25" t="s">
        <v>262</v>
      </c>
      <c r="Y567" s="25">
        <v>2</v>
      </c>
    </row>
    <row r="568" spans="1:26" ht="14.25" hidden="1" customHeight="1" x14ac:dyDescent="0.15">
      <c r="A568" s="24" t="s">
        <v>296</v>
      </c>
      <c r="B568" s="24" t="s">
        <v>156</v>
      </c>
      <c r="C568" s="26" t="s">
        <v>317</v>
      </c>
      <c r="D568" s="24" t="s">
        <v>65</v>
      </c>
      <c r="F568" s="24" t="s">
        <v>218</v>
      </c>
      <c r="G568" s="21">
        <v>1987</v>
      </c>
      <c r="H568" s="21">
        <v>0</v>
      </c>
      <c r="I568" s="21">
        <v>39</v>
      </c>
      <c r="J568" s="21">
        <v>3</v>
      </c>
      <c r="K568" s="25" t="str">
        <f t="shared" ca="1" si="41"/>
        <v>Activo</v>
      </c>
      <c r="L568" s="25" t="s">
        <v>49</v>
      </c>
      <c r="O568" s="26" t="s">
        <v>227</v>
      </c>
      <c r="P568" s="26"/>
      <c r="Q568" s="34">
        <v>365</v>
      </c>
      <c r="R568" s="25" t="s">
        <v>64</v>
      </c>
      <c r="S568" s="28">
        <v>46198</v>
      </c>
      <c r="T568" s="28">
        <f t="shared" si="42"/>
        <v>46563</v>
      </c>
      <c r="U568" s="25">
        <f t="shared" ca="1" si="43"/>
        <v>302</v>
      </c>
      <c r="V568" s="25" t="str">
        <f t="shared" ca="1" si="44"/>
        <v>AL DÍA</v>
      </c>
      <c r="W568" s="25" t="s">
        <v>24</v>
      </c>
      <c r="X568" s="25" t="s">
        <v>262</v>
      </c>
      <c r="Y568" s="25">
        <v>2</v>
      </c>
    </row>
    <row r="569" spans="1:26" ht="14.25" hidden="1" customHeight="1" x14ac:dyDescent="0.15">
      <c r="A569" s="24" t="s">
        <v>296</v>
      </c>
      <c r="B569" s="24" t="s">
        <v>156</v>
      </c>
      <c r="C569" s="26" t="s">
        <v>317</v>
      </c>
      <c r="D569" s="24" t="s">
        <v>65</v>
      </c>
      <c r="F569" s="24" t="s">
        <v>220</v>
      </c>
      <c r="G569" s="21">
        <v>1987</v>
      </c>
      <c r="H569" s="21">
        <v>0</v>
      </c>
      <c r="I569" s="21">
        <v>39</v>
      </c>
      <c r="J569" s="21">
        <v>3</v>
      </c>
      <c r="K569" s="25" t="str">
        <f t="shared" ca="1" si="41"/>
        <v>Activo</v>
      </c>
      <c r="L569" s="25" t="s">
        <v>49</v>
      </c>
      <c r="O569" s="25" t="s">
        <v>430</v>
      </c>
      <c r="Q569" s="34">
        <v>365</v>
      </c>
      <c r="R569" s="25" t="s">
        <v>64</v>
      </c>
      <c r="S569" s="28">
        <v>46198</v>
      </c>
      <c r="T569" s="28">
        <f t="shared" si="42"/>
        <v>46563</v>
      </c>
      <c r="U569" s="25">
        <f t="shared" ca="1" si="43"/>
        <v>302</v>
      </c>
      <c r="V569" s="25" t="str">
        <f t="shared" ca="1" si="44"/>
        <v>AL DÍA</v>
      </c>
      <c r="W569" s="25" t="s">
        <v>24</v>
      </c>
      <c r="X569" s="25" t="s">
        <v>262</v>
      </c>
      <c r="Y569" s="25">
        <v>2</v>
      </c>
    </row>
    <row r="570" spans="1:26" ht="14.25" hidden="1" customHeight="1" x14ac:dyDescent="0.15">
      <c r="A570" s="24" t="s">
        <v>296</v>
      </c>
      <c r="B570" s="24" t="s">
        <v>156</v>
      </c>
      <c r="C570" s="26" t="s">
        <v>318</v>
      </c>
      <c r="D570" s="24" t="s">
        <v>65</v>
      </c>
      <c r="F570" s="24" t="s">
        <v>215</v>
      </c>
      <c r="G570" s="21">
        <v>1987</v>
      </c>
      <c r="H570" s="21">
        <v>0</v>
      </c>
      <c r="I570" s="21">
        <v>39</v>
      </c>
      <c r="J570" s="21">
        <v>3</v>
      </c>
      <c r="K570" s="25" t="str">
        <f t="shared" ca="1" si="41"/>
        <v>Activo</v>
      </c>
      <c r="L570" s="25" t="s">
        <v>49</v>
      </c>
      <c r="M570" s="25" t="s">
        <v>49</v>
      </c>
      <c r="N570" s="25" t="s">
        <v>49</v>
      </c>
      <c r="P570" s="25" t="s">
        <v>22</v>
      </c>
      <c r="Q570" s="34">
        <v>365</v>
      </c>
      <c r="R570" s="25" t="s">
        <v>64</v>
      </c>
      <c r="S570" s="28">
        <v>46198</v>
      </c>
      <c r="T570" s="28">
        <f t="shared" si="42"/>
        <v>46563</v>
      </c>
      <c r="U570" s="25">
        <f t="shared" ca="1" si="43"/>
        <v>302</v>
      </c>
      <c r="V570" s="25" t="str">
        <f t="shared" ca="1" si="44"/>
        <v>AL DÍA</v>
      </c>
      <c r="W570" s="25" t="s">
        <v>24</v>
      </c>
      <c r="X570" s="25" t="s">
        <v>271</v>
      </c>
      <c r="Y570" s="25">
        <v>2</v>
      </c>
      <c r="Z570" s="1" t="s">
        <v>284</v>
      </c>
    </row>
    <row r="571" spans="1:26" ht="14.25" hidden="1" customHeight="1" x14ac:dyDescent="0.15">
      <c r="A571" s="24" t="s">
        <v>296</v>
      </c>
      <c r="B571" s="24" t="s">
        <v>156</v>
      </c>
      <c r="C571" s="26" t="s">
        <v>318</v>
      </c>
      <c r="D571" s="24" t="s">
        <v>65</v>
      </c>
      <c r="F571" s="24" t="s">
        <v>217</v>
      </c>
      <c r="G571" s="21">
        <v>1987</v>
      </c>
      <c r="H571" s="21">
        <v>0</v>
      </c>
      <c r="I571" s="21">
        <v>39</v>
      </c>
      <c r="J571" s="21">
        <v>3</v>
      </c>
      <c r="K571" s="25" t="str">
        <f t="shared" ca="1" si="41"/>
        <v>Activo</v>
      </c>
      <c r="L571" s="25" t="s">
        <v>49</v>
      </c>
      <c r="O571" s="25">
        <v>62.64</v>
      </c>
      <c r="Q571" s="34">
        <v>365</v>
      </c>
      <c r="R571" s="25" t="s">
        <v>64</v>
      </c>
      <c r="S571" s="28">
        <v>46198</v>
      </c>
      <c r="T571" s="28">
        <f t="shared" si="42"/>
        <v>46563</v>
      </c>
      <c r="U571" s="25">
        <f t="shared" ca="1" si="43"/>
        <v>302</v>
      </c>
      <c r="V571" s="25" t="str">
        <f t="shared" ca="1" si="44"/>
        <v>AL DÍA</v>
      </c>
      <c r="W571" s="25" t="s">
        <v>24</v>
      </c>
      <c r="X571" s="25" t="s">
        <v>262</v>
      </c>
      <c r="Y571" s="25">
        <v>2</v>
      </c>
    </row>
    <row r="572" spans="1:26" ht="14.25" hidden="1" customHeight="1" x14ac:dyDescent="0.15">
      <c r="A572" s="24" t="s">
        <v>296</v>
      </c>
      <c r="B572" s="24" t="s">
        <v>156</v>
      </c>
      <c r="C572" s="26" t="s">
        <v>318</v>
      </c>
      <c r="D572" s="24" t="s">
        <v>65</v>
      </c>
      <c r="F572" s="24" t="s">
        <v>218</v>
      </c>
      <c r="G572" s="21">
        <v>1987</v>
      </c>
      <c r="H572" s="21">
        <v>0</v>
      </c>
      <c r="I572" s="21">
        <v>39</v>
      </c>
      <c r="J572" s="21">
        <v>3</v>
      </c>
      <c r="K572" s="25" t="str">
        <f t="shared" ca="1" si="41"/>
        <v>Activo</v>
      </c>
      <c r="L572" s="25" t="s">
        <v>49</v>
      </c>
      <c r="O572" s="25" t="s">
        <v>227</v>
      </c>
      <c r="Q572" s="34">
        <v>365</v>
      </c>
      <c r="R572" s="25" t="s">
        <v>64</v>
      </c>
      <c r="S572" s="28">
        <v>46198</v>
      </c>
      <c r="T572" s="28">
        <f t="shared" si="42"/>
        <v>46563</v>
      </c>
      <c r="U572" s="25">
        <f t="shared" ca="1" si="43"/>
        <v>302</v>
      </c>
      <c r="V572" s="25" t="str">
        <f t="shared" ca="1" si="44"/>
        <v>AL DÍA</v>
      </c>
      <c r="W572" s="25" t="s">
        <v>24</v>
      </c>
      <c r="X572" s="25" t="s">
        <v>262</v>
      </c>
      <c r="Y572" s="25">
        <v>2</v>
      </c>
    </row>
    <row r="573" spans="1:26" ht="14.25" hidden="1" customHeight="1" x14ac:dyDescent="0.15">
      <c r="A573" s="24" t="s">
        <v>296</v>
      </c>
      <c r="B573" s="24" t="s">
        <v>156</v>
      </c>
      <c r="C573" s="26" t="s">
        <v>318</v>
      </c>
      <c r="D573" s="24" t="s">
        <v>65</v>
      </c>
      <c r="F573" s="24" t="s">
        <v>220</v>
      </c>
      <c r="G573" s="21">
        <v>1987</v>
      </c>
      <c r="H573" s="21">
        <v>0</v>
      </c>
      <c r="I573" s="21">
        <v>39</v>
      </c>
      <c r="J573" s="21">
        <v>3</v>
      </c>
      <c r="K573" s="25" t="str">
        <f t="shared" ca="1" si="41"/>
        <v>Activo</v>
      </c>
      <c r="L573" s="25" t="s">
        <v>49</v>
      </c>
      <c r="O573" s="25" t="s">
        <v>430</v>
      </c>
      <c r="P573" s="26"/>
      <c r="Q573" s="34">
        <v>365</v>
      </c>
      <c r="R573" s="25" t="s">
        <v>64</v>
      </c>
      <c r="S573" s="28">
        <v>46198</v>
      </c>
      <c r="T573" s="28">
        <f t="shared" si="42"/>
        <v>46563</v>
      </c>
      <c r="U573" s="25">
        <f t="shared" ca="1" si="43"/>
        <v>302</v>
      </c>
      <c r="V573" s="25" t="str">
        <f t="shared" ca="1" si="44"/>
        <v>AL DÍA</v>
      </c>
      <c r="W573" s="25" t="s">
        <v>24</v>
      </c>
      <c r="X573" s="25" t="s">
        <v>262</v>
      </c>
      <c r="Y573" s="25">
        <v>2</v>
      </c>
    </row>
    <row r="574" spans="1:26" ht="14.25" hidden="1" customHeight="1" x14ac:dyDescent="0.15">
      <c r="A574" s="24" t="s">
        <v>296</v>
      </c>
      <c r="B574" s="24" t="s">
        <v>156</v>
      </c>
      <c r="C574" s="26" t="s">
        <v>424</v>
      </c>
      <c r="D574" s="24" t="s">
        <v>65</v>
      </c>
      <c r="F574" s="24" t="s">
        <v>215</v>
      </c>
      <c r="G574" s="21">
        <v>1987</v>
      </c>
      <c r="H574" s="21">
        <v>0</v>
      </c>
      <c r="I574" s="21">
        <v>39</v>
      </c>
      <c r="J574" s="21">
        <v>3</v>
      </c>
      <c r="K574" s="25" t="str">
        <f t="shared" ca="1" si="41"/>
        <v>Activo</v>
      </c>
      <c r="L574" s="25" t="s">
        <v>49</v>
      </c>
      <c r="M574" s="25" t="s">
        <v>49</v>
      </c>
      <c r="N574" s="25" t="s">
        <v>49</v>
      </c>
      <c r="O574" s="26"/>
      <c r="P574" s="26" t="s">
        <v>22</v>
      </c>
      <c r="Q574" s="34">
        <v>365</v>
      </c>
      <c r="R574" s="25" t="s">
        <v>64</v>
      </c>
      <c r="S574" s="28">
        <v>46198</v>
      </c>
      <c r="T574" s="28">
        <f t="shared" si="42"/>
        <v>46563</v>
      </c>
      <c r="U574" s="25">
        <f t="shared" ca="1" si="43"/>
        <v>302</v>
      </c>
      <c r="V574" s="25" t="str">
        <f t="shared" ca="1" si="44"/>
        <v>AL DÍA</v>
      </c>
      <c r="W574" s="25" t="s">
        <v>24</v>
      </c>
      <c r="X574" s="25" t="s">
        <v>271</v>
      </c>
      <c r="Y574" s="25">
        <v>2</v>
      </c>
      <c r="Z574" s="1" t="s">
        <v>284</v>
      </c>
    </row>
    <row r="575" spans="1:26" ht="14.25" hidden="1" customHeight="1" x14ac:dyDescent="0.15">
      <c r="A575" s="24" t="s">
        <v>296</v>
      </c>
      <c r="B575" s="24" t="s">
        <v>156</v>
      </c>
      <c r="C575" s="26" t="s">
        <v>424</v>
      </c>
      <c r="D575" s="24" t="s">
        <v>65</v>
      </c>
      <c r="F575" s="24" t="s">
        <v>217</v>
      </c>
      <c r="G575" s="21">
        <v>1987</v>
      </c>
      <c r="H575" s="21">
        <v>0</v>
      </c>
      <c r="I575" s="21">
        <v>39</v>
      </c>
      <c r="J575" s="21">
        <v>3</v>
      </c>
      <c r="K575" s="25" t="str">
        <f t="shared" ca="1" si="41"/>
        <v>Activo</v>
      </c>
      <c r="L575" s="25" t="s">
        <v>49</v>
      </c>
      <c r="O575" s="25">
        <v>62.64</v>
      </c>
      <c r="Q575" s="34">
        <v>365</v>
      </c>
      <c r="R575" s="25" t="s">
        <v>64</v>
      </c>
      <c r="S575" s="28">
        <v>46198</v>
      </c>
      <c r="T575" s="28">
        <f t="shared" si="42"/>
        <v>46563</v>
      </c>
      <c r="U575" s="25">
        <f t="shared" ca="1" si="43"/>
        <v>302</v>
      </c>
      <c r="V575" s="25" t="str">
        <f t="shared" ca="1" si="44"/>
        <v>AL DÍA</v>
      </c>
      <c r="W575" s="25" t="s">
        <v>24</v>
      </c>
      <c r="X575" s="25" t="s">
        <v>262</v>
      </c>
      <c r="Y575" s="25">
        <v>2</v>
      </c>
    </row>
    <row r="576" spans="1:26" ht="14.25" hidden="1" customHeight="1" x14ac:dyDescent="0.15">
      <c r="A576" s="24" t="s">
        <v>296</v>
      </c>
      <c r="B576" s="24" t="s">
        <v>156</v>
      </c>
      <c r="C576" s="26" t="s">
        <v>424</v>
      </c>
      <c r="D576" s="24" t="s">
        <v>65</v>
      </c>
      <c r="F576" s="24" t="s">
        <v>218</v>
      </c>
      <c r="G576" s="21">
        <v>1987</v>
      </c>
      <c r="H576" s="21">
        <v>0</v>
      </c>
      <c r="I576" s="21">
        <v>39</v>
      </c>
      <c r="J576" s="21">
        <v>3</v>
      </c>
      <c r="K576" s="25" t="str">
        <f t="shared" ca="1" si="41"/>
        <v>Activo</v>
      </c>
      <c r="L576" s="25" t="s">
        <v>49</v>
      </c>
      <c r="O576" s="25" t="s">
        <v>227</v>
      </c>
      <c r="Q576" s="34">
        <v>365</v>
      </c>
      <c r="R576" s="25" t="s">
        <v>64</v>
      </c>
      <c r="S576" s="28">
        <v>46198</v>
      </c>
      <c r="T576" s="28">
        <f t="shared" si="42"/>
        <v>46563</v>
      </c>
      <c r="U576" s="25">
        <f t="shared" ca="1" si="43"/>
        <v>302</v>
      </c>
      <c r="V576" s="25" t="str">
        <f t="shared" ca="1" si="44"/>
        <v>AL DÍA</v>
      </c>
      <c r="W576" s="25" t="s">
        <v>24</v>
      </c>
      <c r="X576" s="25" t="s">
        <v>262</v>
      </c>
      <c r="Y576" s="25">
        <v>2</v>
      </c>
    </row>
    <row r="577" spans="1:26" ht="14.25" hidden="1" customHeight="1" x14ac:dyDescent="0.15">
      <c r="A577" s="24" t="s">
        <v>296</v>
      </c>
      <c r="B577" s="24" t="s">
        <v>156</v>
      </c>
      <c r="C577" s="26" t="s">
        <v>424</v>
      </c>
      <c r="D577" s="24" t="s">
        <v>65</v>
      </c>
      <c r="F577" s="24" t="s">
        <v>220</v>
      </c>
      <c r="G577" s="21">
        <v>1987</v>
      </c>
      <c r="H577" s="21">
        <v>0</v>
      </c>
      <c r="I577" s="21">
        <v>39</v>
      </c>
      <c r="J577" s="21">
        <v>3</v>
      </c>
      <c r="K577" s="25" t="str">
        <f t="shared" ca="1" si="41"/>
        <v>Activo</v>
      </c>
      <c r="L577" s="25" t="s">
        <v>49</v>
      </c>
      <c r="O577" s="25" t="s">
        <v>431</v>
      </c>
      <c r="Q577" s="34">
        <v>365</v>
      </c>
      <c r="R577" s="25" t="s">
        <v>64</v>
      </c>
      <c r="S577" s="28">
        <v>46198</v>
      </c>
      <c r="T577" s="28">
        <f t="shared" si="42"/>
        <v>46563</v>
      </c>
      <c r="U577" s="25">
        <f t="shared" ca="1" si="43"/>
        <v>302</v>
      </c>
      <c r="V577" s="25" t="str">
        <f t="shared" ca="1" si="44"/>
        <v>AL DÍA</v>
      </c>
      <c r="W577" s="25" t="s">
        <v>24</v>
      </c>
      <c r="X577" s="25" t="s">
        <v>262</v>
      </c>
      <c r="Y577" s="25">
        <v>2</v>
      </c>
    </row>
    <row r="578" spans="1:26" ht="14.25" hidden="1" customHeight="1" x14ac:dyDescent="0.15">
      <c r="A578" s="24" t="s">
        <v>296</v>
      </c>
      <c r="B578" s="24" t="s">
        <v>156</v>
      </c>
      <c r="C578" s="26" t="s">
        <v>425</v>
      </c>
      <c r="D578" s="24" t="s">
        <v>65</v>
      </c>
      <c r="F578" s="24" t="s">
        <v>215</v>
      </c>
      <c r="G578" s="27">
        <v>1987</v>
      </c>
      <c r="H578" s="21">
        <v>0</v>
      </c>
      <c r="I578" s="21">
        <v>39</v>
      </c>
      <c r="J578" s="21">
        <v>3</v>
      </c>
      <c r="K578" s="25" t="str">
        <f t="shared" ref="K578:K641" ca="1" si="45">IF(J578=1,"Cambiar",IF(J578=2,"Presupuestar",IF(H578=0,"Activo",IF(G578+H578&lt;YEAR(TODAY()),"Cambiar o Inspección externa",IF(G578+H578-1&lt;YEAR(TODAY()),"Presupuestar","Activo")))))</f>
        <v>Activo</v>
      </c>
      <c r="L578" s="25" t="s">
        <v>49</v>
      </c>
      <c r="M578" s="25" t="s">
        <v>49</v>
      </c>
      <c r="N578" s="25" t="s">
        <v>49</v>
      </c>
      <c r="P578" s="25" t="s">
        <v>22</v>
      </c>
      <c r="Q578" s="34">
        <v>365</v>
      </c>
      <c r="R578" s="25" t="s">
        <v>64</v>
      </c>
      <c r="S578" s="28">
        <v>46198</v>
      </c>
      <c r="T578" s="28">
        <f t="shared" ref="T578:T641" si="46">+S578+Q578</f>
        <v>46563</v>
      </c>
      <c r="U578" s="25">
        <f t="shared" ref="U578:U641" ca="1" si="47">T578-TODAY()</f>
        <v>302</v>
      </c>
      <c r="V578" s="25" t="str">
        <f t="shared" ref="V578:V641" ca="1" si="48">IF(U578&lt;0, "VENCIDO", "AL DÍA")</f>
        <v>AL DÍA</v>
      </c>
      <c r="W578" s="25" t="s">
        <v>24</v>
      </c>
      <c r="X578" s="25" t="s">
        <v>271</v>
      </c>
      <c r="Y578" s="25">
        <v>2</v>
      </c>
      <c r="Z578" s="1" t="s">
        <v>284</v>
      </c>
    </row>
    <row r="579" spans="1:26" ht="14.25" hidden="1" customHeight="1" x14ac:dyDescent="0.15">
      <c r="A579" s="24" t="s">
        <v>296</v>
      </c>
      <c r="B579" s="24" t="s">
        <v>156</v>
      </c>
      <c r="C579" s="26" t="s">
        <v>425</v>
      </c>
      <c r="D579" s="24" t="s">
        <v>65</v>
      </c>
      <c r="F579" s="24" t="s">
        <v>217</v>
      </c>
      <c r="G579" s="27">
        <v>1987</v>
      </c>
      <c r="H579" s="21">
        <v>0</v>
      </c>
      <c r="I579" s="21">
        <v>39</v>
      </c>
      <c r="J579" s="21">
        <v>3</v>
      </c>
      <c r="K579" s="25" t="str">
        <f t="shared" ca="1" si="45"/>
        <v>Activo</v>
      </c>
      <c r="L579" s="25" t="s">
        <v>49</v>
      </c>
      <c r="O579" s="25">
        <v>62.64</v>
      </c>
      <c r="P579" s="26"/>
      <c r="Q579" s="34">
        <v>365</v>
      </c>
      <c r="R579" s="25" t="s">
        <v>64</v>
      </c>
      <c r="S579" s="28">
        <v>46198</v>
      </c>
      <c r="T579" s="28">
        <f t="shared" si="46"/>
        <v>46563</v>
      </c>
      <c r="U579" s="25">
        <f t="shared" ca="1" si="47"/>
        <v>302</v>
      </c>
      <c r="V579" s="25" t="str">
        <f t="shared" ca="1" si="48"/>
        <v>AL DÍA</v>
      </c>
      <c r="W579" s="25" t="s">
        <v>24</v>
      </c>
      <c r="X579" s="25" t="s">
        <v>262</v>
      </c>
      <c r="Y579" s="25">
        <v>2</v>
      </c>
    </row>
    <row r="580" spans="1:26" ht="14.25" hidden="1" customHeight="1" x14ac:dyDescent="0.15">
      <c r="A580" s="24" t="s">
        <v>296</v>
      </c>
      <c r="B580" s="24" t="s">
        <v>156</v>
      </c>
      <c r="C580" s="26" t="s">
        <v>425</v>
      </c>
      <c r="D580" s="24" t="s">
        <v>65</v>
      </c>
      <c r="F580" s="24" t="s">
        <v>218</v>
      </c>
      <c r="G580" s="27">
        <v>1987</v>
      </c>
      <c r="H580" s="21">
        <v>0</v>
      </c>
      <c r="I580" s="21">
        <v>39</v>
      </c>
      <c r="J580" s="21">
        <v>3</v>
      </c>
      <c r="K580" s="25" t="str">
        <f t="shared" ca="1" si="45"/>
        <v>Activo</v>
      </c>
      <c r="L580" s="25" t="s">
        <v>49</v>
      </c>
      <c r="O580" s="26" t="s">
        <v>227</v>
      </c>
      <c r="P580" s="26"/>
      <c r="Q580" s="34">
        <v>365</v>
      </c>
      <c r="R580" s="25" t="s">
        <v>64</v>
      </c>
      <c r="S580" s="28">
        <v>46198</v>
      </c>
      <c r="T580" s="28">
        <f t="shared" si="46"/>
        <v>46563</v>
      </c>
      <c r="U580" s="25">
        <f t="shared" ca="1" si="47"/>
        <v>302</v>
      </c>
      <c r="V580" s="25" t="str">
        <f t="shared" ca="1" si="48"/>
        <v>AL DÍA</v>
      </c>
      <c r="W580" s="25" t="s">
        <v>24</v>
      </c>
      <c r="X580" s="25" t="s">
        <v>262</v>
      </c>
      <c r="Y580" s="25">
        <v>2</v>
      </c>
    </row>
    <row r="581" spans="1:26" ht="14.25" hidden="1" customHeight="1" x14ac:dyDescent="0.15">
      <c r="A581" s="24" t="s">
        <v>296</v>
      </c>
      <c r="B581" s="24" t="s">
        <v>156</v>
      </c>
      <c r="C581" s="26" t="s">
        <v>425</v>
      </c>
      <c r="D581" s="24" t="s">
        <v>65</v>
      </c>
      <c r="F581" s="24" t="s">
        <v>220</v>
      </c>
      <c r="G581" s="21">
        <v>1987</v>
      </c>
      <c r="H581" s="21">
        <v>0</v>
      </c>
      <c r="I581" s="21">
        <v>39</v>
      </c>
      <c r="J581" s="21">
        <v>3</v>
      </c>
      <c r="K581" s="25" t="str">
        <f t="shared" ca="1" si="45"/>
        <v>Activo</v>
      </c>
      <c r="L581" s="25" t="s">
        <v>49</v>
      </c>
      <c r="O581" s="25" t="s">
        <v>431</v>
      </c>
      <c r="Q581" s="34">
        <v>365</v>
      </c>
      <c r="R581" s="25" t="s">
        <v>64</v>
      </c>
      <c r="S581" s="28">
        <v>46198</v>
      </c>
      <c r="T581" s="28">
        <f t="shared" si="46"/>
        <v>46563</v>
      </c>
      <c r="U581" s="25">
        <f t="shared" ca="1" si="47"/>
        <v>302</v>
      </c>
      <c r="V581" s="25" t="str">
        <f t="shared" ca="1" si="48"/>
        <v>AL DÍA</v>
      </c>
      <c r="W581" s="25" t="s">
        <v>24</v>
      </c>
      <c r="X581" s="25" t="s">
        <v>262</v>
      </c>
      <c r="Y581" s="25">
        <v>2</v>
      </c>
    </row>
    <row r="582" spans="1:26" ht="14.25" hidden="1" customHeight="1" x14ac:dyDescent="0.15">
      <c r="A582" s="24" t="s">
        <v>296</v>
      </c>
      <c r="B582" s="24" t="s">
        <v>156</v>
      </c>
      <c r="C582" s="26" t="s">
        <v>426</v>
      </c>
      <c r="D582" s="24" t="s">
        <v>65</v>
      </c>
      <c r="F582" s="24" t="s">
        <v>215</v>
      </c>
      <c r="G582" s="21">
        <v>1987</v>
      </c>
      <c r="H582" s="21">
        <v>0</v>
      </c>
      <c r="I582" s="21">
        <v>39</v>
      </c>
      <c r="J582" s="21">
        <v>3</v>
      </c>
      <c r="K582" s="25" t="str">
        <f t="shared" ca="1" si="45"/>
        <v>Activo</v>
      </c>
      <c r="L582" s="25" t="s">
        <v>49</v>
      </c>
      <c r="M582" s="25" t="s">
        <v>49</v>
      </c>
      <c r="N582" s="25" t="s">
        <v>49</v>
      </c>
      <c r="P582" s="25" t="s">
        <v>22</v>
      </c>
      <c r="Q582" s="34">
        <v>365</v>
      </c>
      <c r="R582" s="25" t="s">
        <v>64</v>
      </c>
      <c r="S582" s="28">
        <v>46198</v>
      </c>
      <c r="T582" s="28">
        <f t="shared" si="46"/>
        <v>46563</v>
      </c>
      <c r="U582" s="25">
        <f t="shared" ca="1" si="47"/>
        <v>302</v>
      </c>
      <c r="V582" s="25" t="str">
        <f t="shared" ca="1" si="48"/>
        <v>AL DÍA</v>
      </c>
      <c r="W582" s="25" t="s">
        <v>24</v>
      </c>
      <c r="X582" s="25" t="s">
        <v>271</v>
      </c>
      <c r="Y582" s="25">
        <v>2</v>
      </c>
      <c r="Z582" s="1" t="s">
        <v>284</v>
      </c>
    </row>
    <row r="583" spans="1:26" ht="14.25" hidden="1" customHeight="1" x14ac:dyDescent="0.15">
      <c r="A583" s="24" t="s">
        <v>296</v>
      </c>
      <c r="B583" s="24" t="s">
        <v>156</v>
      </c>
      <c r="C583" s="26" t="s">
        <v>426</v>
      </c>
      <c r="D583" s="24" t="s">
        <v>65</v>
      </c>
      <c r="F583" s="24" t="s">
        <v>217</v>
      </c>
      <c r="G583" s="21">
        <v>1987</v>
      </c>
      <c r="H583" s="21">
        <v>0</v>
      </c>
      <c r="I583" s="21">
        <v>39</v>
      </c>
      <c r="J583" s="21">
        <v>3</v>
      </c>
      <c r="K583" s="25" t="str">
        <f t="shared" ca="1" si="45"/>
        <v>Activo</v>
      </c>
      <c r="L583" s="25" t="s">
        <v>49</v>
      </c>
      <c r="O583" s="25">
        <v>62.64</v>
      </c>
      <c r="Q583" s="34">
        <v>365</v>
      </c>
      <c r="R583" s="25" t="s">
        <v>64</v>
      </c>
      <c r="S583" s="28">
        <v>46198</v>
      </c>
      <c r="T583" s="28">
        <f t="shared" si="46"/>
        <v>46563</v>
      </c>
      <c r="U583" s="25">
        <f t="shared" ca="1" si="47"/>
        <v>302</v>
      </c>
      <c r="V583" s="25" t="str">
        <f t="shared" ca="1" si="48"/>
        <v>AL DÍA</v>
      </c>
      <c r="W583" s="25" t="s">
        <v>24</v>
      </c>
      <c r="X583" s="25" t="s">
        <v>262</v>
      </c>
      <c r="Y583" s="25">
        <v>2</v>
      </c>
    </row>
    <row r="584" spans="1:26" ht="14.25" hidden="1" customHeight="1" x14ac:dyDescent="0.15">
      <c r="A584" s="24" t="s">
        <v>296</v>
      </c>
      <c r="B584" s="24" t="s">
        <v>156</v>
      </c>
      <c r="C584" s="26" t="s">
        <v>426</v>
      </c>
      <c r="D584" s="24" t="s">
        <v>65</v>
      </c>
      <c r="F584" s="24" t="s">
        <v>218</v>
      </c>
      <c r="G584" s="21">
        <v>1987</v>
      </c>
      <c r="H584" s="21">
        <v>0</v>
      </c>
      <c r="I584" s="21">
        <v>39</v>
      </c>
      <c r="J584" s="21">
        <v>3</v>
      </c>
      <c r="K584" s="25" t="str">
        <f t="shared" ca="1" si="45"/>
        <v>Activo</v>
      </c>
      <c r="L584" s="25" t="s">
        <v>49</v>
      </c>
      <c r="O584" s="25" t="s">
        <v>227</v>
      </c>
      <c r="Q584" s="34">
        <v>365</v>
      </c>
      <c r="R584" s="25" t="s">
        <v>64</v>
      </c>
      <c r="S584" s="28">
        <v>46198</v>
      </c>
      <c r="T584" s="28">
        <f t="shared" si="46"/>
        <v>46563</v>
      </c>
      <c r="U584" s="25">
        <f t="shared" ca="1" si="47"/>
        <v>302</v>
      </c>
      <c r="V584" s="25" t="str">
        <f t="shared" ca="1" si="48"/>
        <v>AL DÍA</v>
      </c>
      <c r="W584" s="25" t="s">
        <v>24</v>
      </c>
      <c r="X584" s="25" t="s">
        <v>262</v>
      </c>
      <c r="Y584" s="25">
        <v>2</v>
      </c>
    </row>
    <row r="585" spans="1:26" ht="14.25" hidden="1" customHeight="1" x14ac:dyDescent="0.15">
      <c r="A585" s="24" t="s">
        <v>296</v>
      </c>
      <c r="B585" s="24" t="s">
        <v>156</v>
      </c>
      <c r="C585" s="26" t="s">
        <v>426</v>
      </c>
      <c r="D585" s="24" t="s">
        <v>65</v>
      </c>
      <c r="F585" s="24" t="s">
        <v>220</v>
      </c>
      <c r="G585" s="21">
        <v>1987</v>
      </c>
      <c r="H585" s="21">
        <v>0</v>
      </c>
      <c r="I585" s="21">
        <v>39</v>
      </c>
      <c r="J585" s="21">
        <v>3</v>
      </c>
      <c r="K585" s="25" t="str">
        <f t="shared" ca="1" si="45"/>
        <v>Activo</v>
      </c>
      <c r="L585" s="25" t="s">
        <v>49</v>
      </c>
      <c r="O585" s="25" t="s">
        <v>431</v>
      </c>
      <c r="P585" s="26"/>
      <c r="Q585" s="34">
        <v>365</v>
      </c>
      <c r="R585" s="25" t="s">
        <v>64</v>
      </c>
      <c r="S585" s="28">
        <v>46198</v>
      </c>
      <c r="T585" s="28">
        <f t="shared" si="46"/>
        <v>46563</v>
      </c>
      <c r="U585" s="25">
        <f t="shared" ca="1" si="47"/>
        <v>302</v>
      </c>
      <c r="V585" s="25" t="str">
        <f t="shared" ca="1" si="48"/>
        <v>AL DÍA</v>
      </c>
      <c r="W585" s="25" t="s">
        <v>24</v>
      </c>
      <c r="X585" s="25" t="s">
        <v>262</v>
      </c>
      <c r="Y585" s="25">
        <v>2</v>
      </c>
    </row>
    <row r="586" spans="1:26" ht="14.25" hidden="1" customHeight="1" x14ac:dyDescent="0.15">
      <c r="A586" s="24" t="s">
        <v>296</v>
      </c>
      <c r="B586" s="24" t="s">
        <v>156</v>
      </c>
      <c r="C586" s="26" t="s">
        <v>427</v>
      </c>
      <c r="D586" s="24" t="s">
        <v>65</v>
      </c>
      <c r="F586" s="24" t="s">
        <v>215</v>
      </c>
      <c r="G586" s="21">
        <v>1987</v>
      </c>
      <c r="H586" s="21">
        <v>0</v>
      </c>
      <c r="I586" s="21">
        <v>39</v>
      </c>
      <c r="J586" s="21">
        <v>3</v>
      </c>
      <c r="K586" s="25" t="str">
        <f t="shared" ca="1" si="45"/>
        <v>Activo</v>
      </c>
      <c r="L586" s="25" t="s">
        <v>49</v>
      </c>
      <c r="M586" s="25" t="s">
        <v>49</v>
      </c>
      <c r="N586" s="25" t="s">
        <v>49</v>
      </c>
      <c r="O586" s="26"/>
      <c r="P586" s="26" t="s">
        <v>22</v>
      </c>
      <c r="Q586" s="34">
        <v>365</v>
      </c>
      <c r="R586" s="25" t="s">
        <v>64</v>
      </c>
      <c r="S586" s="28">
        <v>46198</v>
      </c>
      <c r="T586" s="28">
        <f t="shared" si="46"/>
        <v>46563</v>
      </c>
      <c r="U586" s="25">
        <f t="shared" ca="1" si="47"/>
        <v>302</v>
      </c>
      <c r="V586" s="25" t="str">
        <f t="shared" ca="1" si="48"/>
        <v>AL DÍA</v>
      </c>
      <c r="W586" s="25" t="s">
        <v>24</v>
      </c>
      <c r="X586" s="25" t="s">
        <v>271</v>
      </c>
      <c r="Y586" s="25">
        <v>2</v>
      </c>
      <c r="Z586" s="1" t="s">
        <v>284</v>
      </c>
    </row>
    <row r="587" spans="1:26" ht="14.25" hidden="1" customHeight="1" x14ac:dyDescent="0.15">
      <c r="A587" s="24" t="s">
        <v>296</v>
      </c>
      <c r="B587" s="24" t="s">
        <v>156</v>
      </c>
      <c r="C587" s="26" t="s">
        <v>427</v>
      </c>
      <c r="D587" s="24" t="s">
        <v>65</v>
      </c>
      <c r="F587" s="24" t="s">
        <v>217</v>
      </c>
      <c r="G587" s="21">
        <v>1987</v>
      </c>
      <c r="H587" s="21">
        <v>0</v>
      </c>
      <c r="I587" s="21">
        <v>39</v>
      </c>
      <c r="J587" s="21">
        <v>3</v>
      </c>
      <c r="K587" s="25" t="str">
        <f t="shared" ca="1" si="45"/>
        <v>Activo</v>
      </c>
      <c r="L587" s="25" t="s">
        <v>49</v>
      </c>
      <c r="O587" s="25">
        <v>62.64</v>
      </c>
      <c r="Q587" s="34">
        <v>365</v>
      </c>
      <c r="R587" s="25" t="s">
        <v>64</v>
      </c>
      <c r="S587" s="28">
        <v>46198</v>
      </c>
      <c r="T587" s="28">
        <f t="shared" si="46"/>
        <v>46563</v>
      </c>
      <c r="U587" s="25">
        <f t="shared" ca="1" si="47"/>
        <v>302</v>
      </c>
      <c r="V587" s="25" t="str">
        <f t="shared" ca="1" si="48"/>
        <v>AL DÍA</v>
      </c>
      <c r="W587" s="25" t="s">
        <v>24</v>
      </c>
      <c r="X587" s="25" t="s">
        <v>262</v>
      </c>
      <c r="Y587" s="25">
        <v>2</v>
      </c>
    </row>
    <row r="588" spans="1:26" ht="14.25" hidden="1" customHeight="1" x14ac:dyDescent="0.15">
      <c r="A588" s="24" t="s">
        <v>296</v>
      </c>
      <c r="B588" s="24" t="s">
        <v>156</v>
      </c>
      <c r="C588" s="26" t="s">
        <v>427</v>
      </c>
      <c r="D588" s="24" t="s">
        <v>65</v>
      </c>
      <c r="F588" s="24" t="s">
        <v>218</v>
      </c>
      <c r="G588" s="21">
        <v>1987</v>
      </c>
      <c r="H588" s="21">
        <v>0</v>
      </c>
      <c r="I588" s="21">
        <v>39</v>
      </c>
      <c r="J588" s="21">
        <v>3</v>
      </c>
      <c r="K588" s="25" t="str">
        <f t="shared" ca="1" si="45"/>
        <v>Activo</v>
      </c>
      <c r="L588" s="25" t="s">
        <v>49</v>
      </c>
      <c r="O588" s="25" t="s">
        <v>227</v>
      </c>
      <c r="Q588" s="34">
        <v>365</v>
      </c>
      <c r="R588" s="25" t="s">
        <v>64</v>
      </c>
      <c r="S588" s="28">
        <v>46198</v>
      </c>
      <c r="T588" s="28">
        <f t="shared" si="46"/>
        <v>46563</v>
      </c>
      <c r="U588" s="25">
        <f t="shared" ca="1" si="47"/>
        <v>302</v>
      </c>
      <c r="V588" s="25" t="str">
        <f t="shared" ca="1" si="48"/>
        <v>AL DÍA</v>
      </c>
      <c r="W588" s="25" t="s">
        <v>24</v>
      </c>
      <c r="X588" s="25" t="s">
        <v>262</v>
      </c>
      <c r="Y588" s="25">
        <v>2</v>
      </c>
    </row>
    <row r="589" spans="1:26" ht="14.25" hidden="1" customHeight="1" x14ac:dyDescent="0.15">
      <c r="A589" s="24" t="s">
        <v>296</v>
      </c>
      <c r="B589" s="24" t="s">
        <v>156</v>
      </c>
      <c r="C589" s="26" t="s">
        <v>427</v>
      </c>
      <c r="D589" s="24" t="s">
        <v>65</v>
      </c>
      <c r="F589" s="24" t="s">
        <v>220</v>
      </c>
      <c r="G589" s="21">
        <v>1987</v>
      </c>
      <c r="H589" s="21">
        <v>0</v>
      </c>
      <c r="I589" s="21">
        <v>39</v>
      </c>
      <c r="J589" s="21">
        <v>3</v>
      </c>
      <c r="K589" s="25" t="str">
        <f t="shared" ca="1" si="45"/>
        <v>Activo</v>
      </c>
      <c r="L589" s="25" t="s">
        <v>49</v>
      </c>
      <c r="O589" s="25" t="s">
        <v>431</v>
      </c>
      <c r="Q589" s="34">
        <v>365</v>
      </c>
      <c r="R589" s="25" t="s">
        <v>64</v>
      </c>
      <c r="S589" s="28">
        <v>46198</v>
      </c>
      <c r="T589" s="28">
        <f t="shared" si="46"/>
        <v>46563</v>
      </c>
      <c r="U589" s="25">
        <f t="shared" ca="1" si="47"/>
        <v>302</v>
      </c>
      <c r="V589" s="25" t="str">
        <f t="shared" ca="1" si="48"/>
        <v>AL DÍA</v>
      </c>
      <c r="W589" s="25" t="s">
        <v>24</v>
      </c>
      <c r="X589" s="25" t="s">
        <v>262</v>
      </c>
      <c r="Y589" s="25">
        <v>2</v>
      </c>
    </row>
    <row r="590" spans="1:26" ht="14.25" hidden="1" customHeight="1" x14ac:dyDescent="0.15">
      <c r="A590" s="24" t="s">
        <v>296</v>
      </c>
      <c r="B590" s="24" t="s">
        <v>156</v>
      </c>
      <c r="C590" s="26" t="s">
        <v>428</v>
      </c>
      <c r="D590" s="24" t="s">
        <v>65</v>
      </c>
      <c r="F590" s="24" t="s">
        <v>215</v>
      </c>
      <c r="G590" s="21">
        <v>1987</v>
      </c>
      <c r="H590" s="21">
        <v>0</v>
      </c>
      <c r="I590" s="21">
        <v>39</v>
      </c>
      <c r="J590" s="21">
        <v>3</v>
      </c>
      <c r="K590" s="25" t="str">
        <f t="shared" ca="1" si="45"/>
        <v>Activo</v>
      </c>
      <c r="L590" s="25" t="s">
        <v>49</v>
      </c>
      <c r="M590" s="25" t="s">
        <v>49</v>
      </c>
      <c r="N590" s="25" t="s">
        <v>49</v>
      </c>
      <c r="P590" s="25" t="s">
        <v>22</v>
      </c>
      <c r="Q590" s="34">
        <v>365</v>
      </c>
      <c r="R590" s="25" t="s">
        <v>64</v>
      </c>
      <c r="S590" s="28">
        <v>46198</v>
      </c>
      <c r="T590" s="28">
        <f t="shared" si="46"/>
        <v>46563</v>
      </c>
      <c r="U590" s="25">
        <f t="shared" ca="1" si="47"/>
        <v>302</v>
      </c>
      <c r="V590" s="25" t="str">
        <f t="shared" ca="1" si="48"/>
        <v>AL DÍA</v>
      </c>
      <c r="W590" s="25" t="s">
        <v>24</v>
      </c>
      <c r="X590" s="25" t="s">
        <v>271</v>
      </c>
      <c r="Y590" s="25">
        <v>2</v>
      </c>
      <c r="Z590" s="1" t="s">
        <v>284</v>
      </c>
    </row>
    <row r="591" spans="1:26" ht="14.25" hidden="1" customHeight="1" x14ac:dyDescent="0.15">
      <c r="A591" s="24" t="s">
        <v>296</v>
      </c>
      <c r="B591" s="24" t="s">
        <v>156</v>
      </c>
      <c r="C591" s="26" t="s">
        <v>428</v>
      </c>
      <c r="D591" s="24" t="s">
        <v>65</v>
      </c>
      <c r="F591" s="24" t="s">
        <v>217</v>
      </c>
      <c r="G591" s="21">
        <v>1987</v>
      </c>
      <c r="H591" s="21">
        <v>0</v>
      </c>
      <c r="I591" s="21">
        <v>39</v>
      </c>
      <c r="J591" s="21">
        <v>3</v>
      </c>
      <c r="K591" s="25" t="str">
        <f t="shared" ca="1" si="45"/>
        <v>Activo</v>
      </c>
      <c r="L591" s="25" t="s">
        <v>49</v>
      </c>
      <c r="O591" s="25">
        <v>62.64</v>
      </c>
      <c r="P591" s="26"/>
      <c r="Q591" s="34">
        <v>365</v>
      </c>
      <c r="R591" s="25" t="s">
        <v>64</v>
      </c>
      <c r="S591" s="28">
        <v>46198</v>
      </c>
      <c r="T591" s="28">
        <f t="shared" si="46"/>
        <v>46563</v>
      </c>
      <c r="U591" s="25">
        <f t="shared" ca="1" si="47"/>
        <v>302</v>
      </c>
      <c r="V591" s="25" t="str">
        <f t="shared" ca="1" si="48"/>
        <v>AL DÍA</v>
      </c>
      <c r="W591" s="25" t="s">
        <v>24</v>
      </c>
      <c r="X591" s="25" t="s">
        <v>262</v>
      </c>
      <c r="Y591" s="25">
        <v>2</v>
      </c>
    </row>
    <row r="592" spans="1:26" ht="14.25" hidden="1" customHeight="1" x14ac:dyDescent="0.15">
      <c r="A592" s="24" t="s">
        <v>296</v>
      </c>
      <c r="B592" s="24" t="s">
        <v>156</v>
      </c>
      <c r="C592" s="26" t="s">
        <v>428</v>
      </c>
      <c r="D592" s="24" t="s">
        <v>65</v>
      </c>
      <c r="F592" s="24" t="s">
        <v>218</v>
      </c>
      <c r="G592" s="21">
        <v>1987</v>
      </c>
      <c r="H592" s="21">
        <v>0</v>
      </c>
      <c r="I592" s="21">
        <v>39</v>
      </c>
      <c r="J592" s="21">
        <v>3</v>
      </c>
      <c r="K592" s="25" t="str">
        <f t="shared" ca="1" si="45"/>
        <v>Activo</v>
      </c>
      <c r="L592" s="25" t="s">
        <v>49</v>
      </c>
      <c r="O592" s="26" t="s">
        <v>227</v>
      </c>
      <c r="P592" s="26"/>
      <c r="Q592" s="34">
        <v>365</v>
      </c>
      <c r="R592" s="25" t="s">
        <v>64</v>
      </c>
      <c r="S592" s="28">
        <v>46198</v>
      </c>
      <c r="T592" s="28">
        <f t="shared" si="46"/>
        <v>46563</v>
      </c>
      <c r="U592" s="25">
        <f t="shared" ca="1" si="47"/>
        <v>302</v>
      </c>
      <c r="V592" s="25" t="str">
        <f t="shared" ca="1" si="48"/>
        <v>AL DÍA</v>
      </c>
      <c r="W592" s="25" t="s">
        <v>24</v>
      </c>
      <c r="X592" s="25" t="s">
        <v>262</v>
      </c>
      <c r="Y592" s="25">
        <v>2</v>
      </c>
    </row>
    <row r="593" spans="1:26" ht="14.25" hidden="1" customHeight="1" x14ac:dyDescent="0.15">
      <c r="A593" s="24" t="s">
        <v>296</v>
      </c>
      <c r="B593" s="24" t="s">
        <v>156</v>
      </c>
      <c r="C593" s="26" t="s">
        <v>428</v>
      </c>
      <c r="D593" s="24" t="s">
        <v>65</v>
      </c>
      <c r="F593" s="24" t="s">
        <v>220</v>
      </c>
      <c r="G593" s="21">
        <v>1987</v>
      </c>
      <c r="H593" s="21">
        <v>0</v>
      </c>
      <c r="I593" s="21">
        <v>39</v>
      </c>
      <c r="J593" s="21">
        <v>3</v>
      </c>
      <c r="K593" s="25" t="str">
        <f t="shared" ca="1" si="45"/>
        <v>Activo</v>
      </c>
      <c r="L593" s="25" t="s">
        <v>49</v>
      </c>
      <c r="O593" s="25" t="s">
        <v>431</v>
      </c>
      <c r="Q593" s="34">
        <v>365</v>
      </c>
      <c r="R593" s="25" t="s">
        <v>64</v>
      </c>
      <c r="S593" s="28">
        <v>46198</v>
      </c>
      <c r="T593" s="28">
        <f t="shared" si="46"/>
        <v>46563</v>
      </c>
      <c r="U593" s="25">
        <f t="shared" ca="1" si="47"/>
        <v>302</v>
      </c>
      <c r="V593" s="25" t="str">
        <f t="shared" ca="1" si="48"/>
        <v>AL DÍA</v>
      </c>
      <c r="W593" s="25" t="s">
        <v>24</v>
      </c>
      <c r="X593" s="25" t="s">
        <v>262</v>
      </c>
      <c r="Y593" s="25">
        <v>2</v>
      </c>
    </row>
    <row r="594" spans="1:26" ht="14.25" hidden="1" customHeight="1" x14ac:dyDescent="0.15">
      <c r="A594" s="24" t="s">
        <v>296</v>
      </c>
      <c r="B594" s="24" t="s">
        <v>156</v>
      </c>
      <c r="C594" s="26" t="s">
        <v>429</v>
      </c>
      <c r="D594" s="24" t="s">
        <v>65</v>
      </c>
      <c r="F594" s="24" t="s">
        <v>215</v>
      </c>
      <c r="G594" s="21">
        <v>1987</v>
      </c>
      <c r="H594" s="21">
        <v>0</v>
      </c>
      <c r="I594" s="21">
        <v>39</v>
      </c>
      <c r="J594" s="21">
        <v>3</v>
      </c>
      <c r="K594" s="25" t="str">
        <f t="shared" ca="1" si="45"/>
        <v>Activo</v>
      </c>
      <c r="L594" s="25" t="s">
        <v>49</v>
      </c>
      <c r="M594" s="25" t="s">
        <v>49</v>
      </c>
      <c r="N594" s="25" t="s">
        <v>49</v>
      </c>
      <c r="P594" s="25" t="s">
        <v>22</v>
      </c>
      <c r="Q594" s="34">
        <v>365</v>
      </c>
      <c r="R594" s="25" t="s">
        <v>64</v>
      </c>
      <c r="S594" s="28">
        <v>46198</v>
      </c>
      <c r="T594" s="28">
        <f t="shared" si="46"/>
        <v>46563</v>
      </c>
      <c r="U594" s="25">
        <f t="shared" ca="1" si="47"/>
        <v>302</v>
      </c>
      <c r="V594" s="25" t="str">
        <f t="shared" ca="1" si="48"/>
        <v>AL DÍA</v>
      </c>
      <c r="W594" s="25" t="s">
        <v>24</v>
      </c>
      <c r="X594" s="25" t="s">
        <v>271</v>
      </c>
      <c r="Y594" s="25">
        <v>2</v>
      </c>
      <c r="Z594" s="1" t="s">
        <v>284</v>
      </c>
    </row>
    <row r="595" spans="1:26" ht="14.25" hidden="1" customHeight="1" x14ac:dyDescent="0.15">
      <c r="A595" s="24" t="s">
        <v>296</v>
      </c>
      <c r="B595" s="24" t="s">
        <v>185</v>
      </c>
      <c r="C595" s="26">
        <v>501</v>
      </c>
      <c r="D595" s="24" t="s">
        <v>16</v>
      </c>
      <c r="E595" s="24" t="s">
        <v>435</v>
      </c>
      <c r="F595" s="24" t="s">
        <v>420</v>
      </c>
      <c r="G595" s="71"/>
      <c r="H595" s="21">
        <v>0</v>
      </c>
      <c r="I595" s="21">
        <f t="shared" ref="I595:I626" ca="1" si="49">YEAR(TODAY())-G595</f>
        <v>2026</v>
      </c>
      <c r="J595" s="21">
        <v>3</v>
      </c>
      <c r="K595" s="25" t="str">
        <f t="shared" ca="1" si="45"/>
        <v>Activo</v>
      </c>
      <c r="O595" s="25">
        <v>27</v>
      </c>
      <c r="P595" s="26" t="s">
        <v>439</v>
      </c>
      <c r="Q595" s="34">
        <v>180</v>
      </c>
      <c r="S595" s="29">
        <v>46198</v>
      </c>
      <c r="T595" s="28">
        <f t="shared" si="46"/>
        <v>46378</v>
      </c>
      <c r="U595" s="25">
        <f t="shared" ca="1" si="47"/>
        <v>117</v>
      </c>
      <c r="V595" s="25" t="str">
        <f t="shared" ca="1" si="48"/>
        <v>AL DÍA</v>
      </c>
      <c r="W595" s="25" t="s">
        <v>24</v>
      </c>
      <c r="X595" s="25" t="s">
        <v>271</v>
      </c>
      <c r="Y595" s="25">
        <v>2</v>
      </c>
    </row>
    <row r="596" spans="1:26" ht="14.25" hidden="1" customHeight="1" x14ac:dyDescent="0.15">
      <c r="A596" s="24" t="s">
        <v>296</v>
      </c>
      <c r="B596" s="24" t="s">
        <v>185</v>
      </c>
      <c r="C596" s="26">
        <v>502</v>
      </c>
      <c r="D596" s="24" t="s">
        <v>16</v>
      </c>
      <c r="E596" s="24" t="s">
        <v>435</v>
      </c>
      <c r="F596" s="24" t="s">
        <v>420</v>
      </c>
      <c r="G596" s="71"/>
      <c r="H596" s="21">
        <v>0</v>
      </c>
      <c r="I596" s="21">
        <f t="shared" ca="1" si="49"/>
        <v>2026</v>
      </c>
      <c r="J596" s="21">
        <v>3</v>
      </c>
      <c r="K596" s="25" t="str">
        <f t="shared" ca="1" si="45"/>
        <v>Activo</v>
      </c>
      <c r="O596" s="25">
        <v>27</v>
      </c>
      <c r="P596" s="26" t="s">
        <v>439</v>
      </c>
      <c r="Q596" s="34">
        <v>180</v>
      </c>
      <c r="S596" s="29">
        <v>46198</v>
      </c>
      <c r="T596" s="28">
        <f t="shared" si="46"/>
        <v>46378</v>
      </c>
      <c r="U596" s="25">
        <f t="shared" ca="1" si="47"/>
        <v>117</v>
      </c>
      <c r="V596" s="25" t="str">
        <f t="shared" ca="1" si="48"/>
        <v>AL DÍA</v>
      </c>
      <c r="W596" s="25" t="s">
        <v>24</v>
      </c>
      <c r="X596" s="25" t="s">
        <v>271</v>
      </c>
      <c r="Y596" s="25">
        <v>2</v>
      </c>
    </row>
    <row r="597" spans="1:26" ht="14.25" hidden="1" customHeight="1" x14ac:dyDescent="0.15">
      <c r="A597" s="24" t="s">
        <v>296</v>
      </c>
      <c r="B597" s="24" t="s">
        <v>185</v>
      </c>
      <c r="C597" s="26">
        <v>503</v>
      </c>
      <c r="D597" s="24" t="s">
        <v>16</v>
      </c>
      <c r="E597" s="24" t="s">
        <v>435</v>
      </c>
      <c r="F597" s="24" t="s">
        <v>420</v>
      </c>
      <c r="G597" s="71"/>
      <c r="H597" s="21">
        <v>0</v>
      </c>
      <c r="I597" s="21">
        <f t="shared" ca="1" si="49"/>
        <v>2026</v>
      </c>
      <c r="J597" s="21">
        <v>3</v>
      </c>
      <c r="K597" s="25" t="str">
        <f t="shared" ca="1" si="45"/>
        <v>Activo</v>
      </c>
      <c r="O597" s="25">
        <v>27</v>
      </c>
      <c r="P597" s="26" t="s">
        <v>439</v>
      </c>
      <c r="Q597" s="34">
        <v>180</v>
      </c>
      <c r="S597" s="29">
        <v>46198</v>
      </c>
      <c r="T597" s="28">
        <f t="shared" si="46"/>
        <v>46378</v>
      </c>
      <c r="U597" s="25">
        <f t="shared" ca="1" si="47"/>
        <v>117</v>
      </c>
      <c r="V597" s="25" t="str">
        <f t="shared" ca="1" si="48"/>
        <v>AL DÍA</v>
      </c>
      <c r="W597" s="25" t="s">
        <v>24</v>
      </c>
      <c r="X597" s="25" t="s">
        <v>271</v>
      </c>
      <c r="Y597" s="25">
        <v>2</v>
      </c>
    </row>
    <row r="598" spans="1:26" ht="14.25" hidden="1" customHeight="1" x14ac:dyDescent="0.15">
      <c r="A598" s="24" t="s">
        <v>296</v>
      </c>
      <c r="B598" s="24" t="s">
        <v>185</v>
      </c>
      <c r="C598" s="26">
        <v>504</v>
      </c>
      <c r="D598" s="24" t="s">
        <v>16</v>
      </c>
      <c r="E598" s="24" t="s">
        <v>435</v>
      </c>
      <c r="F598" s="24" t="s">
        <v>420</v>
      </c>
      <c r="G598" s="71"/>
      <c r="H598" s="21">
        <v>0</v>
      </c>
      <c r="I598" s="21">
        <f t="shared" ca="1" si="49"/>
        <v>2026</v>
      </c>
      <c r="J598" s="21">
        <v>3</v>
      </c>
      <c r="K598" s="25" t="str">
        <f t="shared" ca="1" si="45"/>
        <v>Activo</v>
      </c>
      <c r="O598" s="26">
        <v>27</v>
      </c>
      <c r="P598" s="26" t="s">
        <v>439</v>
      </c>
      <c r="Q598" s="34">
        <v>180</v>
      </c>
      <c r="S598" s="29">
        <v>46198</v>
      </c>
      <c r="T598" s="28">
        <f t="shared" si="46"/>
        <v>46378</v>
      </c>
      <c r="U598" s="25">
        <f t="shared" ca="1" si="47"/>
        <v>117</v>
      </c>
      <c r="V598" s="25" t="str">
        <f t="shared" ca="1" si="48"/>
        <v>AL DÍA</v>
      </c>
      <c r="W598" s="25" t="s">
        <v>24</v>
      </c>
      <c r="X598" s="25" t="s">
        <v>271</v>
      </c>
      <c r="Y598" s="25">
        <v>2</v>
      </c>
    </row>
    <row r="599" spans="1:26" ht="14.25" hidden="1" customHeight="1" x14ac:dyDescent="0.15">
      <c r="A599" s="24" t="s">
        <v>296</v>
      </c>
      <c r="B599" s="24" t="s">
        <v>185</v>
      </c>
      <c r="C599" s="26">
        <v>506</v>
      </c>
      <c r="D599" s="24" t="s">
        <v>16</v>
      </c>
      <c r="E599" s="24" t="s">
        <v>435</v>
      </c>
      <c r="F599" s="24" t="s">
        <v>420</v>
      </c>
      <c r="G599" s="71"/>
      <c r="H599" s="21">
        <v>0</v>
      </c>
      <c r="I599" s="21">
        <f t="shared" ca="1" si="49"/>
        <v>2026</v>
      </c>
      <c r="J599" s="21">
        <v>3</v>
      </c>
      <c r="K599" s="25" t="str">
        <f t="shared" ca="1" si="45"/>
        <v>Activo</v>
      </c>
      <c r="O599" s="25">
        <v>27</v>
      </c>
      <c r="P599" s="26" t="s">
        <v>439</v>
      </c>
      <c r="Q599" s="34">
        <v>180</v>
      </c>
      <c r="S599" s="29">
        <v>46198</v>
      </c>
      <c r="T599" s="28">
        <f t="shared" si="46"/>
        <v>46378</v>
      </c>
      <c r="U599" s="25">
        <f t="shared" ca="1" si="47"/>
        <v>117</v>
      </c>
      <c r="V599" s="25" t="str">
        <f t="shared" ca="1" si="48"/>
        <v>AL DÍA</v>
      </c>
      <c r="W599" s="25" t="s">
        <v>24</v>
      </c>
      <c r="X599" s="25" t="s">
        <v>271</v>
      </c>
      <c r="Y599" s="25">
        <v>2</v>
      </c>
    </row>
    <row r="600" spans="1:26" ht="14.25" hidden="1" customHeight="1" x14ac:dyDescent="0.15">
      <c r="A600" s="24" t="s">
        <v>296</v>
      </c>
      <c r="B600" s="24" t="s">
        <v>185</v>
      </c>
      <c r="C600" s="26">
        <v>507</v>
      </c>
      <c r="D600" s="24" t="s">
        <v>16</v>
      </c>
      <c r="E600" s="24" t="s">
        <v>435</v>
      </c>
      <c r="F600" s="24" t="s">
        <v>420</v>
      </c>
      <c r="G600" s="71"/>
      <c r="H600" s="21">
        <v>0</v>
      </c>
      <c r="I600" s="21">
        <f t="shared" ca="1" si="49"/>
        <v>2026</v>
      </c>
      <c r="J600" s="21">
        <v>3</v>
      </c>
      <c r="K600" s="25" t="str">
        <f t="shared" ca="1" si="45"/>
        <v>Activo</v>
      </c>
      <c r="O600" s="25">
        <v>27</v>
      </c>
      <c r="P600" s="26" t="s">
        <v>439</v>
      </c>
      <c r="Q600" s="34">
        <v>180</v>
      </c>
      <c r="S600" s="29">
        <v>46198</v>
      </c>
      <c r="T600" s="28">
        <f t="shared" si="46"/>
        <v>46378</v>
      </c>
      <c r="U600" s="25">
        <f t="shared" ca="1" si="47"/>
        <v>117</v>
      </c>
      <c r="V600" s="25" t="str">
        <f t="shared" ca="1" si="48"/>
        <v>AL DÍA</v>
      </c>
      <c r="W600" s="25" t="s">
        <v>24</v>
      </c>
      <c r="X600" s="25" t="s">
        <v>271</v>
      </c>
      <c r="Y600" s="25">
        <v>2</v>
      </c>
    </row>
    <row r="601" spans="1:26" ht="14.25" hidden="1" customHeight="1" x14ac:dyDescent="0.15">
      <c r="A601" s="24" t="s">
        <v>296</v>
      </c>
      <c r="B601" s="24" t="s">
        <v>185</v>
      </c>
      <c r="C601" s="26">
        <v>508</v>
      </c>
      <c r="D601" s="24" t="s">
        <v>16</v>
      </c>
      <c r="E601" s="24" t="s">
        <v>435</v>
      </c>
      <c r="F601" s="24" t="s">
        <v>420</v>
      </c>
      <c r="G601" s="71"/>
      <c r="H601" s="21">
        <v>0</v>
      </c>
      <c r="I601" s="21">
        <f t="shared" ca="1" si="49"/>
        <v>2026</v>
      </c>
      <c r="J601" s="21">
        <v>3</v>
      </c>
      <c r="K601" s="25" t="str">
        <f t="shared" ca="1" si="45"/>
        <v>Activo</v>
      </c>
      <c r="O601" s="25">
        <v>27</v>
      </c>
      <c r="P601" s="26" t="s">
        <v>439</v>
      </c>
      <c r="Q601" s="34">
        <v>180</v>
      </c>
      <c r="S601" s="29">
        <v>46198</v>
      </c>
      <c r="T601" s="28">
        <f t="shared" si="46"/>
        <v>46378</v>
      </c>
      <c r="U601" s="25">
        <f t="shared" ca="1" si="47"/>
        <v>117</v>
      </c>
      <c r="V601" s="25" t="str">
        <f t="shared" ca="1" si="48"/>
        <v>AL DÍA</v>
      </c>
      <c r="W601" s="25" t="s">
        <v>24</v>
      </c>
      <c r="X601" s="25" t="s">
        <v>271</v>
      </c>
      <c r="Y601" s="25">
        <v>2</v>
      </c>
    </row>
    <row r="602" spans="1:26" ht="14.25" hidden="1" customHeight="1" x14ac:dyDescent="0.15">
      <c r="A602" s="24" t="s">
        <v>296</v>
      </c>
      <c r="B602" s="24" t="s">
        <v>185</v>
      </c>
      <c r="C602" s="26">
        <v>509</v>
      </c>
      <c r="D602" s="24" t="s">
        <v>16</v>
      </c>
      <c r="E602" s="24" t="s">
        <v>435</v>
      </c>
      <c r="F602" s="24" t="s">
        <v>420</v>
      </c>
      <c r="G602" s="71"/>
      <c r="H602" s="21">
        <v>0</v>
      </c>
      <c r="I602" s="21">
        <f t="shared" ca="1" si="49"/>
        <v>2026</v>
      </c>
      <c r="J602" s="21">
        <v>3</v>
      </c>
      <c r="K602" s="25" t="str">
        <f t="shared" ca="1" si="45"/>
        <v>Activo</v>
      </c>
      <c r="O602" s="25">
        <v>27</v>
      </c>
      <c r="P602" s="26" t="s">
        <v>439</v>
      </c>
      <c r="Q602" s="34">
        <v>180</v>
      </c>
      <c r="S602" s="29">
        <v>46198</v>
      </c>
      <c r="T602" s="28">
        <f t="shared" si="46"/>
        <v>46378</v>
      </c>
      <c r="U602" s="25">
        <f t="shared" ca="1" si="47"/>
        <v>117</v>
      </c>
      <c r="V602" s="25" t="str">
        <f t="shared" ca="1" si="48"/>
        <v>AL DÍA</v>
      </c>
      <c r="W602" s="25" t="s">
        <v>24</v>
      </c>
      <c r="X602" s="25" t="s">
        <v>271</v>
      </c>
      <c r="Y602" s="25">
        <v>2</v>
      </c>
    </row>
    <row r="603" spans="1:26" ht="14.25" hidden="1" customHeight="1" x14ac:dyDescent="0.15">
      <c r="A603" s="24" t="s">
        <v>296</v>
      </c>
      <c r="B603" s="24" t="s">
        <v>185</v>
      </c>
      <c r="C603" s="26">
        <v>510</v>
      </c>
      <c r="D603" s="24" t="s">
        <v>16</v>
      </c>
      <c r="E603" s="24" t="s">
        <v>435</v>
      </c>
      <c r="F603" s="24" t="s">
        <v>420</v>
      </c>
      <c r="G603" s="71"/>
      <c r="H603" s="21">
        <v>0</v>
      </c>
      <c r="I603" s="21">
        <f t="shared" ca="1" si="49"/>
        <v>2026</v>
      </c>
      <c r="J603" s="21">
        <v>3</v>
      </c>
      <c r="K603" s="25" t="str">
        <f t="shared" ca="1" si="45"/>
        <v>Activo</v>
      </c>
      <c r="O603" s="25">
        <v>27</v>
      </c>
      <c r="P603" s="26" t="s">
        <v>439</v>
      </c>
      <c r="Q603" s="34">
        <v>180</v>
      </c>
      <c r="S603" s="29">
        <v>46198</v>
      </c>
      <c r="T603" s="28">
        <f t="shared" si="46"/>
        <v>46378</v>
      </c>
      <c r="U603" s="25">
        <f t="shared" ca="1" si="47"/>
        <v>117</v>
      </c>
      <c r="V603" s="25" t="str">
        <f t="shared" ca="1" si="48"/>
        <v>AL DÍA</v>
      </c>
      <c r="W603" s="25" t="s">
        <v>24</v>
      </c>
      <c r="X603" s="25" t="s">
        <v>271</v>
      </c>
      <c r="Y603" s="25">
        <v>2</v>
      </c>
    </row>
    <row r="604" spans="1:26" ht="14.25" hidden="1" customHeight="1" x14ac:dyDescent="0.15">
      <c r="A604" s="24" t="s">
        <v>296</v>
      </c>
      <c r="B604" s="24" t="s">
        <v>185</v>
      </c>
      <c r="C604" s="26">
        <v>511</v>
      </c>
      <c r="D604" s="24" t="s">
        <v>16</v>
      </c>
      <c r="E604" s="24" t="s">
        <v>435</v>
      </c>
      <c r="F604" s="24" t="s">
        <v>420</v>
      </c>
      <c r="G604" s="71"/>
      <c r="H604" s="21">
        <v>0</v>
      </c>
      <c r="I604" s="21">
        <f t="shared" ca="1" si="49"/>
        <v>2026</v>
      </c>
      <c r="J604" s="21">
        <v>3</v>
      </c>
      <c r="K604" s="25" t="str">
        <f t="shared" ca="1" si="45"/>
        <v>Activo</v>
      </c>
      <c r="O604" s="26">
        <v>27</v>
      </c>
      <c r="P604" s="26" t="s">
        <v>439</v>
      </c>
      <c r="Q604" s="34">
        <v>180</v>
      </c>
      <c r="S604" s="29">
        <v>46198</v>
      </c>
      <c r="T604" s="28">
        <f t="shared" si="46"/>
        <v>46378</v>
      </c>
      <c r="U604" s="25">
        <f t="shared" ca="1" si="47"/>
        <v>117</v>
      </c>
      <c r="V604" s="25" t="str">
        <f t="shared" ca="1" si="48"/>
        <v>AL DÍA</v>
      </c>
      <c r="W604" s="25" t="s">
        <v>24</v>
      </c>
      <c r="X604" s="25" t="s">
        <v>271</v>
      </c>
      <c r="Y604" s="25">
        <v>2</v>
      </c>
    </row>
    <row r="605" spans="1:26" ht="14.25" hidden="1" customHeight="1" x14ac:dyDescent="0.15">
      <c r="A605" s="24" t="s">
        <v>296</v>
      </c>
      <c r="B605" s="24" t="s">
        <v>185</v>
      </c>
      <c r="C605" s="26">
        <v>512</v>
      </c>
      <c r="D605" s="24" t="s">
        <v>16</v>
      </c>
      <c r="E605" s="24" t="s">
        <v>435</v>
      </c>
      <c r="F605" s="24" t="s">
        <v>420</v>
      </c>
      <c r="G605" s="71"/>
      <c r="H605" s="21">
        <v>0</v>
      </c>
      <c r="I605" s="21">
        <f t="shared" ca="1" si="49"/>
        <v>2026</v>
      </c>
      <c r="J605" s="21">
        <v>3</v>
      </c>
      <c r="K605" s="25" t="str">
        <f t="shared" ca="1" si="45"/>
        <v>Activo</v>
      </c>
      <c r="O605" s="25">
        <v>27</v>
      </c>
      <c r="P605" s="26" t="s">
        <v>439</v>
      </c>
      <c r="Q605" s="34">
        <v>180</v>
      </c>
      <c r="S605" s="29">
        <v>46198</v>
      </c>
      <c r="T605" s="28">
        <f t="shared" si="46"/>
        <v>46378</v>
      </c>
      <c r="U605" s="25">
        <f t="shared" ca="1" si="47"/>
        <v>117</v>
      </c>
      <c r="V605" s="25" t="str">
        <f t="shared" ca="1" si="48"/>
        <v>AL DÍA</v>
      </c>
      <c r="W605" s="25" t="s">
        <v>24</v>
      </c>
      <c r="X605" s="25" t="s">
        <v>271</v>
      </c>
      <c r="Y605" s="25">
        <v>2</v>
      </c>
    </row>
    <row r="606" spans="1:26" ht="14.25" hidden="1" customHeight="1" x14ac:dyDescent="0.15">
      <c r="A606" s="24" t="s">
        <v>296</v>
      </c>
      <c r="B606" s="24" t="s">
        <v>185</v>
      </c>
      <c r="C606" s="26">
        <v>513</v>
      </c>
      <c r="D606" s="24" t="s">
        <v>16</v>
      </c>
      <c r="E606" s="24" t="s">
        <v>435</v>
      </c>
      <c r="F606" s="24" t="s">
        <v>420</v>
      </c>
      <c r="G606" s="71"/>
      <c r="H606" s="21">
        <v>0</v>
      </c>
      <c r="I606" s="21">
        <f t="shared" ca="1" si="49"/>
        <v>2026</v>
      </c>
      <c r="J606" s="21">
        <v>3</v>
      </c>
      <c r="K606" s="25" t="str">
        <f t="shared" ca="1" si="45"/>
        <v>Activo</v>
      </c>
      <c r="O606" s="25">
        <v>27</v>
      </c>
      <c r="P606" s="26" t="s">
        <v>439</v>
      </c>
      <c r="Q606" s="34">
        <v>180</v>
      </c>
      <c r="S606" s="29">
        <v>46198</v>
      </c>
      <c r="T606" s="28">
        <f t="shared" si="46"/>
        <v>46378</v>
      </c>
      <c r="U606" s="25">
        <f t="shared" ca="1" si="47"/>
        <v>117</v>
      </c>
      <c r="V606" s="25" t="str">
        <f t="shared" ca="1" si="48"/>
        <v>AL DÍA</v>
      </c>
      <c r="W606" s="25" t="s">
        <v>24</v>
      </c>
      <c r="X606" s="25" t="s">
        <v>271</v>
      </c>
      <c r="Y606" s="25">
        <v>2</v>
      </c>
    </row>
    <row r="607" spans="1:26" ht="14.25" hidden="1" customHeight="1" x14ac:dyDescent="0.15">
      <c r="A607" s="24" t="s">
        <v>296</v>
      </c>
      <c r="B607" s="24" t="s">
        <v>185</v>
      </c>
      <c r="C607" s="26">
        <v>515</v>
      </c>
      <c r="D607" s="24" t="s">
        <v>16</v>
      </c>
      <c r="E607" s="24" t="s">
        <v>435</v>
      </c>
      <c r="F607" s="24" t="s">
        <v>420</v>
      </c>
      <c r="G607" s="71"/>
      <c r="H607" s="21">
        <v>0</v>
      </c>
      <c r="I607" s="21">
        <f t="shared" ca="1" si="49"/>
        <v>2026</v>
      </c>
      <c r="J607" s="21">
        <v>3</v>
      </c>
      <c r="K607" s="25" t="str">
        <f t="shared" ca="1" si="45"/>
        <v>Activo</v>
      </c>
      <c r="O607" s="25">
        <v>27</v>
      </c>
      <c r="P607" s="26" t="s">
        <v>439</v>
      </c>
      <c r="Q607" s="34">
        <v>180</v>
      </c>
      <c r="S607" s="29">
        <v>46198</v>
      </c>
      <c r="T607" s="28">
        <f t="shared" si="46"/>
        <v>46378</v>
      </c>
      <c r="U607" s="25">
        <f t="shared" ca="1" si="47"/>
        <v>117</v>
      </c>
      <c r="V607" s="25" t="str">
        <f t="shared" ca="1" si="48"/>
        <v>AL DÍA</v>
      </c>
      <c r="W607" s="25" t="s">
        <v>24</v>
      </c>
      <c r="X607" s="25" t="s">
        <v>271</v>
      </c>
      <c r="Y607" s="25">
        <v>2</v>
      </c>
    </row>
    <row r="608" spans="1:26" ht="14.25" hidden="1" customHeight="1" x14ac:dyDescent="0.15">
      <c r="A608" s="24" t="s">
        <v>296</v>
      </c>
      <c r="B608" s="24" t="s">
        <v>185</v>
      </c>
      <c r="C608" s="26">
        <v>516</v>
      </c>
      <c r="D608" s="24" t="s">
        <v>16</v>
      </c>
      <c r="E608" s="24" t="s">
        <v>435</v>
      </c>
      <c r="F608" s="24" t="s">
        <v>420</v>
      </c>
      <c r="G608" s="71"/>
      <c r="H608" s="21">
        <v>0</v>
      </c>
      <c r="I608" s="21">
        <f t="shared" ca="1" si="49"/>
        <v>2026</v>
      </c>
      <c r="J608" s="21">
        <v>3</v>
      </c>
      <c r="K608" s="25" t="str">
        <f t="shared" ca="1" si="45"/>
        <v>Activo</v>
      </c>
      <c r="O608" s="25">
        <v>27</v>
      </c>
      <c r="P608" s="26" t="s">
        <v>439</v>
      </c>
      <c r="Q608" s="34">
        <v>180</v>
      </c>
      <c r="S608" s="29">
        <v>46198</v>
      </c>
      <c r="T608" s="28">
        <f t="shared" si="46"/>
        <v>46378</v>
      </c>
      <c r="U608" s="25">
        <f t="shared" ca="1" si="47"/>
        <v>117</v>
      </c>
      <c r="V608" s="25" t="str">
        <f t="shared" ca="1" si="48"/>
        <v>AL DÍA</v>
      </c>
      <c r="W608" s="25" t="s">
        <v>24</v>
      </c>
      <c r="X608" s="25" t="s">
        <v>271</v>
      </c>
      <c r="Y608" s="25">
        <v>2</v>
      </c>
    </row>
    <row r="609" spans="1:25" ht="14.25" hidden="1" customHeight="1" x14ac:dyDescent="0.15">
      <c r="A609" s="24" t="s">
        <v>296</v>
      </c>
      <c r="B609" s="24" t="s">
        <v>185</v>
      </c>
      <c r="C609" s="26">
        <v>522</v>
      </c>
      <c r="D609" s="24" t="s">
        <v>16</v>
      </c>
      <c r="E609" s="24" t="s">
        <v>435</v>
      </c>
      <c r="F609" s="24" t="s">
        <v>420</v>
      </c>
      <c r="G609" s="71"/>
      <c r="H609" s="21">
        <v>0</v>
      </c>
      <c r="I609" s="21">
        <f t="shared" ca="1" si="49"/>
        <v>2026</v>
      </c>
      <c r="J609" s="21">
        <v>3</v>
      </c>
      <c r="K609" s="25" t="str">
        <f t="shared" ca="1" si="45"/>
        <v>Activo</v>
      </c>
      <c r="O609" s="25">
        <v>27</v>
      </c>
      <c r="P609" s="26" t="s">
        <v>439</v>
      </c>
      <c r="Q609" s="34">
        <v>180</v>
      </c>
      <c r="S609" s="29">
        <v>46198</v>
      </c>
      <c r="T609" s="28">
        <f t="shared" si="46"/>
        <v>46378</v>
      </c>
      <c r="U609" s="25">
        <f t="shared" ca="1" si="47"/>
        <v>117</v>
      </c>
      <c r="V609" s="25" t="str">
        <f t="shared" ca="1" si="48"/>
        <v>AL DÍA</v>
      </c>
      <c r="W609" s="25" t="s">
        <v>24</v>
      </c>
      <c r="X609" s="25" t="s">
        <v>271</v>
      </c>
      <c r="Y609" s="25">
        <v>2</v>
      </c>
    </row>
    <row r="610" spans="1:25" ht="14.25" hidden="1" customHeight="1" x14ac:dyDescent="0.15">
      <c r="A610" s="24" t="s">
        <v>296</v>
      </c>
      <c r="B610" s="24" t="s">
        <v>185</v>
      </c>
      <c r="C610" s="26">
        <v>523</v>
      </c>
      <c r="D610" s="24" t="s">
        <v>16</v>
      </c>
      <c r="E610" s="24" t="s">
        <v>435</v>
      </c>
      <c r="F610" s="24" t="s">
        <v>420</v>
      </c>
      <c r="G610" s="71"/>
      <c r="H610" s="21">
        <v>0</v>
      </c>
      <c r="I610" s="21">
        <f t="shared" ca="1" si="49"/>
        <v>2026</v>
      </c>
      <c r="J610" s="21">
        <v>3</v>
      </c>
      <c r="K610" s="25" t="str">
        <f t="shared" ca="1" si="45"/>
        <v>Activo</v>
      </c>
      <c r="O610" s="26">
        <v>27</v>
      </c>
      <c r="P610" s="26" t="s">
        <v>439</v>
      </c>
      <c r="Q610" s="34">
        <v>180</v>
      </c>
      <c r="S610" s="29">
        <v>46198</v>
      </c>
      <c r="T610" s="28">
        <f t="shared" si="46"/>
        <v>46378</v>
      </c>
      <c r="U610" s="25">
        <f t="shared" ca="1" si="47"/>
        <v>117</v>
      </c>
      <c r="V610" s="25" t="str">
        <f t="shared" ca="1" si="48"/>
        <v>AL DÍA</v>
      </c>
      <c r="W610" s="25" t="s">
        <v>24</v>
      </c>
      <c r="X610" s="25" t="s">
        <v>271</v>
      </c>
      <c r="Y610" s="25">
        <v>2</v>
      </c>
    </row>
    <row r="611" spans="1:25" ht="14.25" hidden="1" customHeight="1" x14ac:dyDescent="0.15">
      <c r="A611" s="24" t="s">
        <v>296</v>
      </c>
      <c r="B611" s="24" t="s">
        <v>185</v>
      </c>
      <c r="C611" s="26">
        <v>524</v>
      </c>
      <c r="D611" s="24" t="s">
        <v>16</v>
      </c>
      <c r="E611" s="24" t="s">
        <v>435</v>
      </c>
      <c r="F611" s="24" t="s">
        <v>420</v>
      </c>
      <c r="G611" s="71"/>
      <c r="H611" s="21">
        <v>0</v>
      </c>
      <c r="I611" s="21">
        <f t="shared" ca="1" si="49"/>
        <v>2026</v>
      </c>
      <c r="J611" s="21">
        <v>3</v>
      </c>
      <c r="K611" s="25" t="str">
        <f t="shared" ca="1" si="45"/>
        <v>Activo</v>
      </c>
      <c r="O611" s="25">
        <v>27</v>
      </c>
      <c r="P611" s="26" t="s">
        <v>439</v>
      </c>
      <c r="Q611" s="34">
        <v>180</v>
      </c>
      <c r="S611" s="29">
        <v>46198</v>
      </c>
      <c r="T611" s="28">
        <f t="shared" si="46"/>
        <v>46378</v>
      </c>
      <c r="U611" s="25">
        <f t="shared" ca="1" si="47"/>
        <v>117</v>
      </c>
      <c r="V611" s="25" t="str">
        <f t="shared" ca="1" si="48"/>
        <v>AL DÍA</v>
      </c>
      <c r="W611" s="25" t="s">
        <v>24</v>
      </c>
      <c r="X611" s="25" t="s">
        <v>271</v>
      </c>
      <c r="Y611" s="25">
        <v>2</v>
      </c>
    </row>
    <row r="612" spans="1:25" ht="14.25" hidden="1" customHeight="1" x14ac:dyDescent="0.15">
      <c r="A612" s="24" t="s">
        <v>296</v>
      </c>
      <c r="B612" s="24" t="s">
        <v>185</v>
      </c>
      <c r="C612" s="26">
        <v>525</v>
      </c>
      <c r="D612" s="24" t="s">
        <v>16</v>
      </c>
      <c r="E612" s="24" t="s">
        <v>435</v>
      </c>
      <c r="F612" s="24" t="s">
        <v>420</v>
      </c>
      <c r="G612" s="71"/>
      <c r="H612" s="21">
        <v>0</v>
      </c>
      <c r="I612" s="21">
        <f t="shared" ca="1" si="49"/>
        <v>2026</v>
      </c>
      <c r="J612" s="21">
        <v>3</v>
      </c>
      <c r="K612" s="25" t="str">
        <f t="shared" ca="1" si="45"/>
        <v>Activo</v>
      </c>
      <c r="O612" s="25">
        <v>27</v>
      </c>
      <c r="P612" s="26" t="s">
        <v>439</v>
      </c>
      <c r="Q612" s="34">
        <v>180</v>
      </c>
      <c r="S612" s="29">
        <v>46198</v>
      </c>
      <c r="T612" s="28">
        <f t="shared" si="46"/>
        <v>46378</v>
      </c>
      <c r="U612" s="25">
        <f t="shared" ca="1" si="47"/>
        <v>117</v>
      </c>
      <c r="V612" s="25" t="str">
        <f t="shared" ca="1" si="48"/>
        <v>AL DÍA</v>
      </c>
      <c r="W612" s="25" t="s">
        <v>24</v>
      </c>
      <c r="X612" s="25" t="s">
        <v>271</v>
      </c>
      <c r="Y612" s="25">
        <v>2</v>
      </c>
    </row>
    <row r="613" spans="1:25" ht="14.25" hidden="1" customHeight="1" x14ac:dyDescent="0.15">
      <c r="A613" s="24" t="s">
        <v>296</v>
      </c>
      <c r="B613" s="24" t="s">
        <v>188</v>
      </c>
      <c r="C613" s="26">
        <v>601</v>
      </c>
      <c r="D613" s="24" t="s">
        <v>16</v>
      </c>
      <c r="E613" s="24" t="s">
        <v>435</v>
      </c>
      <c r="F613" s="24" t="s">
        <v>420</v>
      </c>
      <c r="G613" s="71"/>
      <c r="H613" s="21">
        <v>0</v>
      </c>
      <c r="I613" s="21">
        <f t="shared" ca="1" si="49"/>
        <v>2026</v>
      </c>
      <c r="J613" s="21">
        <v>3</v>
      </c>
      <c r="K613" s="25" t="str">
        <f t="shared" ca="1" si="45"/>
        <v>Activo</v>
      </c>
      <c r="O613" s="25">
        <v>30</v>
      </c>
      <c r="P613" s="26" t="s">
        <v>439</v>
      </c>
      <c r="Q613" s="34">
        <v>180</v>
      </c>
      <c r="S613" s="29">
        <v>46198</v>
      </c>
      <c r="T613" s="28">
        <f t="shared" si="46"/>
        <v>46378</v>
      </c>
      <c r="U613" s="25">
        <f t="shared" ca="1" si="47"/>
        <v>117</v>
      </c>
      <c r="V613" s="25" t="str">
        <f t="shared" ca="1" si="48"/>
        <v>AL DÍA</v>
      </c>
      <c r="W613" s="25" t="s">
        <v>24</v>
      </c>
      <c r="X613" s="25" t="s">
        <v>271</v>
      </c>
      <c r="Y613" s="25">
        <v>2</v>
      </c>
    </row>
    <row r="614" spans="1:25" ht="14.25" hidden="1" customHeight="1" x14ac:dyDescent="0.15">
      <c r="A614" s="24" t="s">
        <v>296</v>
      </c>
      <c r="B614" s="24" t="s">
        <v>188</v>
      </c>
      <c r="C614" s="26">
        <v>602</v>
      </c>
      <c r="D614" s="24" t="s">
        <v>16</v>
      </c>
      <c r="E614" s="24" t="s">
        <v>435</v>
      </c>
      <c r="F614" s="24" t="s">
        <v>420</v>
      </c>
      <c r="G614" s="71"/>
      <c r="H614" s="21">
        <v>0</v>
      </c>
      <c r="I614" s="21">
        <f t="shared" ca="1" si="49"/>
        <v>2026</v>
      </c>
      <c r="J614" s="21">
        <v>3</v>
      </c>
      <c r="K614" s="25" t="str">
        <f t="shared" ca="1" si="45"/>
        <v>Activo</v>
      </c>
      <c r="O614" s="25">
        <v>30</v>
      </c>
      <c r="P614" s="26" t="s">
        <v>439</v>
      </c>
      <c r="Q614" s="34">
        <v>180</v>
      </c>
      <c r="S614" s="29">
        <v>46198</v>
      </c>
      <c r="T614" s="28">
        <f t="shared" si="46"/>
        <v>46378</v>
      </c>
      <c r="U614" s="25">
        <f t="shared" ca="1" si="47"/>
        <v>117</v>
      </c>
      <c r="V614" s="25" t="str">
        <f t="shared" ca="1" si="48"/>
        <v>AL DÍA</v>
      </c>
      <c r="W614" s="25" t="s">
        <v>24</v>
      </c>
      <c r="X614" s="25" t="s">
        <v>271</v>
      </c>
      <c r="Y614" s="25">
        <v>2</v>
      </c>
    </row>
    <row r="615" spans="1:25" ht="14.25" hidden="1" customHeight="1" x14ac:dyDescent="0.15">
      <c r="A615" s="24" t="s">
        <v>296</v>
      </c>
      <c r="B615" s="24" t="s">
        <v>188</v>
      </c>
      <c r="C615" s="26">
        <v>603</v>
      </c>
      <c r="D615" s="24" t="s">
        <v>16</v>
      </c>
      <c r="E615" s="24" t="s">
        <v>435</v>
      </c>
      <c r="F615" s="24" t="s">
        <v>420</v>
      </c>
      <c r="G615" s="71"/>
      <c r="H615" s="21">
        <v>0</v>
      </c>
      <c r="I615" s="21">
        <f t="shared" ca="1" si="49"/>
        <v>2026</v>
      </c>
      <c r="J615" s="21">
        <v>3</v>
      </c>
      <c r="K615" s="25" t="str">
        <f t="shared" ca="1" si="45"/>
        <v>Activo</v>
      </c>
      <c r="O615" s="25">
        <v>30</v>
      </c>
      <c r="P615" s="26" t="s">
        <v>439</v>
      </c>
      <c r="Q615" s="34">
        <v>180</v>
      </c>
      <c r="S615" s="29">
        <v>46198</v>
      </c>
      <c r="T615" s="28">
        <f t="shared" si="46"/>
        <v>46378</v>
      </c>
      <c r="U615" s="25">
        <f t="shared" ca="1" si="47"/>
        <v>117</v>
      </c>
      <c r="V615" s="25" t="str">
        <f t="shared" ca="1" si="48"/>
        <v>AL DÍA</v>
      </c>
      <c r="W615" s="25" t="s">
        <v>24</v>
      </c>
      <c r="X615" s="25" t="s">
        <v>271</v>
      </c>
      <c r="Y615" s="25">
        <v>2</v>
      </c>
    </row>
    <row r="616" spans="1:25" ht="14.25" hidden="1" customHeight="1" x14ac:dyDescent="0.15">
      <c r="A616" s="24" t="s">
        <v>296</v>
      </c>
      <c r="B616" s="24" t="s">
        <v>188</v>
      </c>
      <c r="C616" s="26">
        <v>604</v>
      </c>
      <c r="D616" s="24" t="s">
        <v>16</v>
      </c>
      <c r="E616" s="24" t="s">
        <v>435</v>
      </c>
      <c r="F616" s="24" t="s">
        <v>420</v>
      </c>
      <c r="G616" s="71"/>
      <c r="H616" s="21">
        <v>0</v>
      </c>
      <c r="I616" s="21">
        <f t="shared" ca="1" si="49"/>
        <v>2026</v>
      </c>
      <c r="J616" s="21">
        <v>3</v>
      </c>
      <c r="K616" s="25" t="str">
        <f t="shared" ca="1" si="45"/>
        <v>Activo</v>
      </c>
      <c r="O616" s="26">
        <v>30</v>
      </c>
      <c r="P616" s="26" t="s">
        <v>439</v>
      </c>
      <c r="Q616" s="34">
        <v>180</v>
      </c>
      <c r="S616" s="29">
        <v>46198</v>
      </c>
      <c r="T616" s="28">
        <f t="shared" si="46"/>
        <v>46378</v>
      </c>
      <c r="U616" s="25">
        <f t="shared" ca="1" si="47"/>
        <v>117</v>
      </c>
      <c r="V616" s="25" t="str">
        <f t="shared" ca="1" si="48"/>
        <v>AL DÍA</v>
      </c>
      <c r="W616" s="25" t="s">
        <v>24</v>
      </c>
      <c r="X616" s="25" t="s">
        <v>271</v>
      </c>
      <c r="Y616" s="25">
        <v>2</v>
      </c>
    </row>
    <row r="617" spans="1:25" ht="14.25" hidden="1" customHeight="1" x14ac:dyDescent="0.15">
      <c r="A617" s="24" t="s">
        <v>296</v>
      </c>
      <c r="B617" s="24" t="s">
        <v>188</v>
      </c>
      <c r="C617" s="26">
        <v>606</v>
      </c>
      <c r="D617" s="24" t="s">
        <v>16</v>
      </c>
      <c r="E617" s="24" t="s">
        <v>435</v>
      </c>
      <c r="F617" s="24" t="s">
        <v>420</v>
      </c>
      <c r="G617" s="71"/>
      <c r="H617" s="21">
        <v>0</v>
      </c>
      <c r="I617" s="21">
        <f t="shared" ca="1" si="49"/>
        <v>2026</v>
      </c>
      <c r="J617" s="21">
        <v>3</v>
      </c>
      <c r="K617" s="25" t="str">
        <f t="shared" ca="1" si="45"/>
        <v>Activo</v>
      </c>
      <c r="O617" s="25">
        <v>30</v>
      </c>
      <c r="P617" s="26" t="s">
        <v>439</v>
      </c>
      <c r="Q617" s="34">
        <v>180</v>
      </c>
      <c r="S617" s="29">
        <v>46198</v>
      </c>
      <c r="T617" s="28">
        <f t="shared" si="46"/>
        <v>46378</v>
      </c>
      <c r="U617" s="25">
        <f t="shared" ca="1" si="47"/>
        <v>117</v>
      </c>
      <c r="V617" s="25" t="str">
        <f t="shared" ca="1" si="48"/>
        <v>AL DÍA</v>
      </c>
      <c r="W617" s="25" t="s">
        <v>24</v>
      </c>
      <c r="X617" s="25" t="s">
        <v>271</v>
      </c>
      <c r="Y617" s="25">
        <v>2</v>
      </c>
    </row>
    <row r="618" spans="1:25" ht="14.25" hidden="1" customHeight="1" x14ac:dyDescent="0.15">
      <c r="A618" s="24" t="s">
        <v>296</v>
      </c>
      <c r="B618" s="24" t="s">
        <v>188</v>
      </c>
      <c r="C618" s="26">
        <v>607</v>
      </c>
      <c r="D618" s="24" t="s">
        <v>16</v>
      </c>
      <c r="E618" s="24" t="s">
        <v>435</v>
      </c>
      <c r="F618" s="24" t="s">
        <v>420</v>
      </c>
      <c r="G618" s="71"/>
      <c r="H618" s="21">
        <v>0</v>
      </c>
      <c r="I618" s="21">
        <f t="shared" ca="1" si="49"/>
        <v>2026</v>
      </c>
      <c r="J618" s="21">
        <v>3</v>
      </c>
      <c r="K618" s="25" t="str">
        <f t="shared" ca="1" si="45"/>
        <v>Activo</v>
      </c>
      <c r="O618" s="25">
        <v>30</v>
      </c>
      <c r="P618" s="26" t="s">
        <v>439</v>
      </c>
      <c r="Q618" s="34">
        <v>180</v>
      </c>
      <c r="S618" s="29">
        <v>46198</v>
      </c>
      <c r="T618" s="28">
        <f t="shared" si="46"/>
        <v>46378</v>
      </c>
      <c r="U618" s="25">
        <f t="shared" ca="1" si="47"/>
        <v>117</v>
      </c>
      <c r="V618" s="25" t="str">
        <f t="shared" ca="1" si="48"/>
        <v>AL DÍA</v>
      </c>
      <c r="W618" s="25" t="s">
        <v>24</v>
      </c>
      <c r="X618" s="25" t="s">
        <v>271</v>
      </c>
      <c r="Y618" s="25">
        <v>2</v>
      </c>
    </row>
    <row r="619" spans="1:25" ht="14.25" hidden="1" customHeight="1" x14ac:dyDescent="0.15">
      <c r="A619" s="24" t="s">
        <v>296</v>
      </c>
      <c r="B619" s="24" t="s">
        <v>188</v>
      </c>
      <c r="C619" s="26">
        <v>608</v>
      </c>
      <c r="D619" s="24" t="s">
        <v>16</v>
      </c>
      <c r="E619" s="24" t="s">
        <v>435</v>
      </c>
      <c r="F619" s="24" t="s">
        <v>420</v>
      </c>
      <c r="G619" s="71"/>
      <c r="H619" s="21">
        <v>0</v>
      </c>
      <c r="I619" s="21">
        <f t="shared" ca="1" si="49"/>
        <v>2026</v>
      </c>
      <c r="J619" s="21">
        <v>3</v>
      </c>
      <c r="K619" s="25" t="str">
        <f t="shared" ca="1" si="45"/>
        <v>Activo</v>
      </c>
      <c r="O619" s="25">
        <v>30</v>
      </c>
      <c r="P619" s="26" t="s">
        <v>439</v>
      </c>
      <c r="Q619" s="34">
        <v>180</v>
      </c>
      <c r="S619" s="29">
        <v>46198</v>
      </c>
      <c r="T619" s="28">
        <f t="shared" si="46"/>
        <v>46378</v>
      </c>
      <c r="U619" s="25">
        <f t="shared" ca="1" si="47"/>
        <v>117</v>
      </c>
      <c r="V619" s="25" t="str">
        <f t="shared" ca="1" si="48"/>
        <v>AL DÍA</v>
      </c>
      <c r="W619" s="25" t="s">
        <v>24</v>
      </c>
      <c r="X619" s="25" t="s">
        <v>271</v>
      </c>
      <c r="Y619" s="25">
        <v>2</v>
      </c>
    </row>
    <row r="620" spans="1:25" ht="14.25" hidden="1" customHeight="1" x14ac:dyDescent="0.15">
      <c r="A620" s="24" t="s">
        <v>296</v>
      </c>
      <c r="B620" s="24" t="s">
        <v>188</v>
      </c>
      <c r="C620" s="26">
        <v>609</v>
      </c>
      <c r="D620" s="24" t="s">
        <v>16</v>
      </c>
      <c r="E620" s="24" t="s">
        <v>435</v>
      </c>
      <c r="F620" s="24" t="s">
        <v>420</v>
      </c>
      <c r="G620" s="71"/>
      <c r="H620" s="21">
        <v>0</v>
      </c>
      <c r="I620" s="21">
        <f t="shared" ca="1" si="49"/>
        <v>2026</v>
      </c>
      <c r="J620" s="21">
        <v>3</v>
      </c>
      <c r="K620" s="25" t="str">
        <f t="shared" ca="1" si="45"/>
        <v>Activo</v>
      </c>
      <c r="O620" s="25">
        <v>30</v>
      </c>
      <c r="P620" s="26" t="s">
        <v>439</v>
      </c>
      <c r="Q620" s="34">
        <v>180</v>
      </c>
      <c r="S620" s="29">
        <v>46198</v>
      </c>
      <c r="T620" s="28">
        <f t="shared" si="46"/>
        <v>46378</v>
      </c>
      <c r="U620" s="25">
        <f t="shared" ca="1" si="47"/>
        <v>117</v>
      </c>
      <c r="V620" s="25" t="str">
        <f t="shared" ca="1" si="48"/>
        <v>AL DÍA</v>
      </c>
      <c r="W620" s="25" t="s">
        <v>24</v>
      </c>
      <c r="X620" s="25" t="s">
        <v>271</v>
      </c>
      <c r="Y620" s="25">
        <v>2</v>
      </c>
    </row>
    <row r="621" spans="1:25" ht="14.25" hidden="1" customHeight="1" x14ac:dyDescent="0.15">
      <c r="A621" s="24" t="s">
        <v>296</v>
      </c>
      <c r="B621" s="24" t="s">
        <v>188</v>
      </c>
      <c r="C621" s="26">
        <v>610</v>
      </c>
      <c r="D621" s="24" t="s">
        <v>16</v>
      </c>
      <c r="E621" s="24" t="s">
        <v>435</v>
      </c>
      <c r="F621" s="24" t="s">
        <v>420</v>
      </c>
      <c r="G621" s="71"/>
      <c r="H621" s="21">
        <v>0</v>
      </c>
      <c r="I621" s="21">
        <f t="shared" ca="1" si="49"/>
        <v>2026</v>
      </c>
      <c r="J621" s="21">
        <v>3</v>
      </c>
      <c r="K621" s="25" t="str">
        <f t="shared" ca="1" si="45"/>
        <v>Activo</v>
      </c>
      <c r="O621" s="25">
        <v>30</v>
      </c>
      <c r="P621" s="26" t="s">
        <v>439</v>
      </c>
      <c r="Q621" s="34">
        <v>180</v>
      </c>
      <c r="S621" s="29">
        <v>46198</v>
      </c>
      <c r="T621" s="28">
        <f t="shared" si="46"/>
        <v>46378</v>
      </c>
      <c r="U621" s="25">
        <f t="shared" ca="1" si="47"/>
        <v>117</v>
      </c>
      <c r="V621" s="25" t="str">
        <f t="shared" ca="1" si="48"/>
        <v>AL DÍA</v>
      </c>
      <c r="W621" s="25" t="s">
        <v>24</v>
      </c>
      <c r="X621" s="25" t="s">
        <v>271</v>
      </c>
      <c r="Y621" s="25">
        <v>2</v>
      </c>
    </row>
    <row r="622" spans="1:25" ht="14.25" hidden="1" customHeight="1" x14ac:dyDescent="0.15">
      <c r="A622" s="24" t="s">
        <v>296</v>
      </c>
      <c r="B622" s="24" t="s">
        <v>188</v>
      </c>
      <c r="C622" s="26">
        <v>611</v>
      </c>
      <c r="D622" s="24" t="s">
        <v>16</v>
      </c>
      <c r="E622" s="24" t="s">
        <v>435</v>
      </c>
      <c r="F622" s="24" t="s">
        <v>420</v>
      </c>
      <c r="G622" s="71"/>
      <c r="H622" s="21">
        <v>0</v>
      </c>
      <c r="I622" s="21">
        <f t="shared" ca="1" si="49"/>
        <v>2026</v>
      </c>
      <c r="J622" s="21">
        <v>3</v>
      </c>
      <c r="K622" s="25" t="str">
        <f t="shared" ca="1" si="45"/>
        <v>Activo</v>
      </c>
      <c r="O622" s="26">
        <v>30</v>
      </c>
      <c r="P622" s="26" t="s">
        <v>439</v>
      </c>
      <c r="Q622" s="34">
        <v>180</v>
      </c>
      <c r="S622" s="29">
        <v>46198</v>
      </c>
      <c r="T622" s="28">
        <f t="shared" si="46"/>
        <v>46378</v>
      </c>
      <c r="U622" s="25">
        <f t="shared" ca="1" si="47"/>
        <v>117</v>
      </c>
      <c r="V622" s="25" t="str">
        <f t="shared" ca="1" si="48"/>
        <v>AL DÍA</v>
      </c>
      <c r="W622" s="25" t="s">
        <v>24</v>
      </c>
      <c r="X622" s="25" t="s">
        <v>271</v>
      </c>
      <c r="Y622" s="25">
        <v>2</v>
      </c>
    </row>
    <row r="623" spans="1:25" ht="14.25" hidden="1" customHeight="1" x14ac:dyDescent="0.15">
      <c r="A623" s="24" t="s">
        <v>296</v>
      </c>
      <c r="B623" s="24" t="s">
        <v>188</v>
      </c>
      <c r="C623" s="26">
        <v>612</v>
      </c>
      <c r="D623" s="24" t="s">
        <v>16</v>
      </c>
      <c r="E623" s="24" t="s">
        <v>435</v>
      </c>
      <c r="F623" s="24" t="s">
        <v>420</v>
      </c>
      <c r="G623" s="71"/>
      <c r="H623" s="21">
        <v>0</v>
      </c>
      <c r="I623" s="21">
        <f t="shared" ca="1" si="49"/>
        <v>2026</v>
      </c>
      <c r="J623" s="21">
        <v>3</v>
      </c>
      <c r="K623" s="25" t="str">
        <f t="shared" ca="1" si="45"/>
        <v>Activo</v>
      </c>
      <c r="O623" s="25">
        <v>30</v>
      </c>
      <c r="P623" s="26" t="s">
        <v>439</v>
      </c>
      <c r="Q623" s="34">
        <v>180</v>
      </c>
      <c r="S623" s="29">
        <v>46198</v>
      </c>
      <c r="T623" s="28">
        <f t="shared" si="46"/>
        <v>46378</v>
      </c>
      <c r="U623" s="25">
        <f t="shared" ca="1" si="47"/>
        <v>117</v>
      </c>
      <c r="V623" s="25" t="str">
        <f t="shared" ca="1" si="48"/>
        <v>AL DÍA</v>
      </c>
      <c r="W623" s="25" t="s">
        <v>24</v>
      </c>
      <c r="X623" s="25" t="s">
        <v>271</v>
      </c>
      <c r="Y623" s="25">
        <v>2</v>
      </c>
    </row>
    <row r="624" spans="1:25" ht="14.25" hidden="1" customHeight="1" x14ac:dyDescent="0.15">
      <c r="A624" s="24" t="s">
        <v>296</v>
      </c>
      <c r="B624" s="24" t="s">
        <v>188</v>
      </c>
      <c r="C624" s="26">
        <v>613</v>
      </c>
      <c r="D624" s="24" t="s">
        <v>16</v>
      </c>
      <c r="E624" s="24" t="s">
        <v>435</v>
      </c>
      <c r="F624" s="24" t="s">
        <v>420</v>
      </c>
      <c r="G624" s="71"/>
      <c r="H624" s="21">
        <v>0</v>
      </c>
      <c r="I624" s="21">
        <f t="shared" ca="1" si="49"/>
        <v>2026</v>
      </c>
      <c r="J624" s="21">
        <v>3</v>
      </c>
      <c r="K624" s="25" t="str">
        <f t="shared" ca="1" si="45"/>
        <v>Activo</v>
      </c>
      <c r="O624" s="25">
        <v>30</v>
      </c>
      <c r="P624" s="26" t="s">
        <v>439</v>
      </c>
      <c r="Q624" s="34">
        <v>180</v>
      </c>
      <c r="S624" s="29">
        <v>46198</v>
      </c>
      <c r="T624" s="28">
        <f t="shared" si="46"/>
        <v>46378</v>
      </c>
      <c r="U624" s="25">
        <f t="shared" ca="1" si="47"/>
        <v>117</v>
      </c>
      <c r="V624" s="25" t="str">
        <f t="shared" ca="1" si="48"/>
        <v>AL DÍA</v>
      </c>
      <c r="W624" s="25" t="s">
        <v>24</v>
      </c>
      <c r="X624" s="25" t="s">
        <v>271</v>
      </c>
      <c r="Y624" s="25">
        <v>2</v>
      </c>
    </row>
    <row r="625" spans="1:25" ht="14.25" hidden="1" customHeight="1" x14ac:dyDescent="0.15">
      <c r="A625" s="24" t="s">
        <v>296</v>
      </c>
      <c r="B625" s="24" t="s">
        <v>188</v>
      </c>
      <c r="C625" s="26">
        <v>614</v>
      </c>
      <c r="D625" s="24" t="s">
        <v>16</v>
      </c>
      <c r="E625" s="24" t="s">
        <v>435</v>
      </c>
      <c r="F625" s="24" t="s">
        <v>420</v>
      </c>
      <c r="G625" s="71"/>
      <c r="H625" s="21">
        <v>0</v>
      </c>
      <c r="I625" s="21">
        <f t="shared" ca="1" si="49"/>
        <v>2026</v>
      </c>
      <c r="J625" s="21">
        <v>3</v>
      </c>
      <c r="K625" s="25" t="str">
        <f t="shared" ca="1" si="45"/>
        <v>Activo</v>
      </c>
      <c r="O625" s="25">
        <v>30</v>
      </c>
      <c r="P625" s="26" t="s">
        <v>439</v>
      </c>
      <c r="Q625" s="34">
        <v>180</v>
      </c>
      <c r="S625" s="29">
        <v>46198</v>
      </c>
      <c r="T625" s="28">
        <f t="shared" si="46"/>
        <v>46378</v>
      </c>
      <c r="U625" s="25">
        <f t="shared" ca="1" si="47"/>
        <v>117</v>
      </c>
      <c r="V625" s="25" t="str">
        <f t="shared" ca="1" si="48"/>
        <v>AL DÍA</v>
      </c>
      <c r="W625" s="25" t="s">
        <v>24</v>
      </c>
      <c r="X625" s="25" t="s">
        <v>271</v>
      </c>
      <c r="Y625" s="25">
        <v>2</v>
      </c>
    </row>
    <row r="626" spans="1:25" ht="14.25" hidden="1" customHeight="1" x14ac:dyDescent="0.15">
      <c r="A626" s="24" t="s">
        <v>296</v>
      </c>
      <c r="B626" s="24" t="s">
        <v>188</v>
      </c>
      <c r="C626" s="25">
        <v>615</v>
      </c>
      <c r="D626" s="24" t="s">
        <v>16</v>
      </c>
      <c r="E626" s="24" t="s">
        <v>435</v>
      </c>
      <c r="F626" s="24" t="s">
        <v>420</v>
      </c>
      <c r="G626" s="71"/>
      <c r="H626" s="21">
        <v>0</v>
      </c>
      <c r="I626" s="21">
        <f t="shared" ca="1" si="49"/>
        <v>2026</v>
      </c>
      <c r="J626" s="21">
        <v>3</v>
      </c>
      <c r="K626" s="25" t="str">
        <f t="shared" ca="1" si="45"/>
        <v>Activo</v>
      </c>
      <c r="O626" s="25">
        <v>30</v>
      </c>
      <c r="P626" s="26" t="s">
        <v>439</v>
      </c>
      <c r="Q626" s="34">
        <v>180</v>
      </c>
      <c r="S626" s="29">
        <v>46198</v>
      </c>
      <c r="T626" s="28">
        <f t="shared" si="46"/>
        <v>46378</v>
      </c>
      <c r="U626" s="25">
        <f t="shared" ca="1" si="47"/>
        <v>117</v>
      </c>
      <c r="V626" s="25" t="str">
        <f t="shared" ca="1" si="48"/>
        <v>AL DÍA</v>
      </c>
      <c r="W626" s="25" t="s">
        <v>24</v>
      </c>
      <c r="X626" s="25" t="s">
        <v>271</v>
      </c>
      <c r="Y626" s="25">
        <v>2</v>
      </c>
    </row>
    <row r="627" spans="1:25" ht="14.25" hidden="1" customHeight="1" x14ac:dyDescent="0.15">
      <c r="A627" s="24" t="s">
        <v>296</v>
      </c>
      <c r="B627" s="24" t="s">
        <v>188</v>
      </c>
      <c r="C627" s="25">
        <v>618</v>
      </c>
      <c r="D627" s="24" t="s">
        <v>16</v>
      </c>
      <c r="E627" s="24" t="s">
        <v>435</v>
      </c>
      <c r="F627" s="24" t="s">
        <v>420</v>
      </c>
      <c r="G627" s="71"/>
      <c r="H627" s="21">
        <v>0</v>
      </c>
      <c r="I627" s="21">
        <f t="shared" ref="I627:I658" ca="1" si="50">YEAR(TODAY())-G627</f>
        <v>2026</v>
      </c>
      <c r="J627" s="21">
        <v>3</v>
      </c>
      <c r="K627" s="25" t="str">
        <f t="shared" ca="1" si="45"/>
        <v>Activo</v>
      </c>
      <c r="O627" s="25">
        <v>30</v>
      </c>
      <c r="P627" s="26" t="s">
        <v>439</v>
      </c>
      <c r="Q627" s="34">
        <v>180</v>
      </c>
      <c r="S627" s="29">
        <v>46198</v>
      </c>
      <c r="T627" s="28">
        <f t="shared" si="46"/>
        <v>46378</v>
      </c>
      <c r="U627" s="25">
        <f t="shared" ca="1" si="47"/>
        <v>117</v>
      </c>
      <c r="V627" s="25" t="str">
        <f t="shared" ca="1" si="48"/>
        <v>AL DÍA</v>
      </c>
      <c r="W627" s="25" t="s">
        <v>24</v>
      </c>
      <c r="X627" s="25" t="s">
        <v>271</v>
      </c>
      <c r="Y627" s="25">
        <v>2</v>
      </c>
    </row>
    <row r="628" spans="1:25" ht="14.25" hidden="1" customHeight="1" x14ac:dyDescent="0.15">
      <c r="A628" s="24" t="s">
        <v>296</v>
      </c>
      <c r="B628" s="24" t="s">
        <v>188</v>
      </c>
      <c r="C628" s="25">
        <v>623</v>
      </c>
      <c r="D628" s="24" t="s">
        <v>16</v>
      </c>
      <c r="E628" s="24" t="s">
        <v>435</v>
      </c>
      <c r="F628" s="24" t="s">
        <v>420</v>
      </c>
      <c r="G628" s="71"/>
      <c r="H628" s="21">
        <v>0</v>
      </c>
      <c r="I628" s="21">
        <f t="shared" ca="1" si="50"/>
        <v>2026</v>
      </c>
      <c r="J628" s="21">
        <v>3</v>
      </c>
      <c r="K628" s="25" t="str">
        <f t="shared" ca="1" si="45"/>
        <v>Activo</v>
      </c>
      <c r="O628" s="25">
        <v>30</v>
      </c>
      <c r="P628" s="26" t="s">
        <v>439</v>
      </c>
      <c r="Q628" s="34">
        <v>180</v>
      </c>
      <c r="S628" s="29">
        <v>46198</v>
      </c>
      <c r="T628" s="28">
        <f t="shared" si="46"/>
        <v>46378</v>
      </c>
      <c r="U628" s="25">
        <f t="shared" ca="1" si="47"/>
        <v>117</v>
      </c>
      <c r="V628" s="25" t="str">
        <f t="shared" ca="1" si="48"/>
        <v>AL DÍA</v>
      </c>
      <c r="W628" s="25" t="s">
        <v>24</v>
      </c>
      <c r="X628" s="25" t="s">
        <v>271</v>
      </c>
      <c r="Y628" s="25">
        <v>2</v>
      </c>
    </row>
    <row r="629" spans="1:25" ht="14.25" hidden="1" customHeight="1" x14ac:dyDescent="0.15">
      <c r="A629" s="24" t="s">
        <v>296</v>
      </c>
      <c r="B629" s="24" t="s">
        <v>188</v>
      </c>
      <c r="C629" s="25">
        <v>624</v>
      </c>
      <c r="D629" s="24" t="s">
        <v>16</v>
      </c>
      <c r="E629" s="24" t="s">
        <v>435</v>
      </c>
      <c r="F629" s="24" t="s">
        <v>420</v>
      </c>
      <c r="G629" s="71"/>
      <c r="H629" s="21">
        <v>0</v>
      </c>
      <c r="I629" s="21">
        <f t="shared" ca="1" si="50"/>
        <v>2026</v>
      </c>
      <c r="J629" s="21">
        <v>3</v>
      </c>
      <c r="K629" s="25" t="str">
        <f t="shared" ca="1" si="45"/>
        <v>Activo</v>
      </c>
      <c r="O629" s="25">
        <v>30</v>
      </c>
      <c r="P629" s="26" t="s">
        <v>439</v>
      </c>
      <c r="Q629" s="34">
        <v>180</v>
      </c>
      <c r="S629" s="29">
        <v>46198</v>
      </c>
      <c r="T629" s="28">
        <f t="shared" si="46"/>
        <v>46378</v>
      </c>
      <c r="U629" s="25">
        <f t="shared" ca="1" si="47"/>
        <v>117</v>
      </c>
      <c r="V629" s="25" t="str">
        <f t="shared" ca="1" si="48"/>
        <v>AL DÍA</v>
      </c>
      <c r="W629" s="25" t="s">
        <v>24</v>
      </c>
      <c r="X629" s="25" t="s">
        <v>271</v>
      </c>
      <c r="Y629" s="25">
        <v>2</v>
      </c>
    </row>
    <row r="630" spans="1:25" ht="14.25" hidden="1" customHeight="1" x14ac:dyDescent="0.15">
      <c r="A630" s="24" t="s">
        <v>296</v>
      </c>
      <c r="B630" s="24" t="s">
        <v>188</v>
      </c>
      <c r="C630" s="25">
        <v>625</v>
      </c>
      <c r="D630" s="24" t="s">
        <v>16</v>
      </c>
      <c r="E630" s="24" t="s">
        <v>435</v>
      </c>
      <c r="F630" s="24" t="s">
        <v>420</v>
      </c>
      <c r="G630" s="71"/>
      <c r="H630" s="21">
        <v>0</v>
      </c>
      <c r="I630" s="21">
        <f t="shared" ca="1" si="50"/>
        <v>2026</v>
      </c>
      <c r="J630" s="21">
        <v>3</v>
      </c>
      <c r="K630" s="25" t="str">
        <f t="shared" ca="1" si="45"/>
        <v>Activo</v>
      </c>
      <c r="O630" s="25">
        <v>30</v>
      </c>
      <c r="P630" s="26" t="s">
        <v>439</v>
      </c>
      <c r="Q630" s="34">
        <v>180</v>
      </c>
      <c r="S630" s="29">
        <v>46198</v>
      </c>
      <c r="T630" s="28">
        <f t="shared" si="46"/>
        <v>46378</v>
      </c>
      <c r="U630" s="25">
        <f t="shared" ca="1" si="47"/>
        <v>117</v>
      </c>
      <c r="V630" s="25" t="str">
        <f t="shared" ca="1" si="48"/>
        <v>AL DÍA</v>
      </c>
      <c r="W630" s="25" t="s">
        <v>24</v>
      </c>
      <c r="X630" s="25" t="s">
        <v>271</v>
      </c>
      <c r="Y630" s="25">
        <v>2</v>
      </c>
    </row>
    <row r="631" spans="1:25" ht="14.25" hidden="1" customHeight="1" x14ac:dyDescent="0.15">
      <c r="A631" s="24" t="s">
        <v>296</v>
      </c>
      <c r="B631" s="24" t="s">
        <v>185</v>
      </c>
      <c r="C631" s="25">
        <v>501</v>
      </c>
      <c r="D631" s="24" t="s">
        <v>16</v>
      </c>
      <c r="E631" s="24" t="s">
        <v>450</v>
      </c>
      <c r="F631" s="24" t="s">
        <v>421</v>
      </c>
      <c r="G631" s="71"/>
      <c r="H631" s="21">
        <v>0</v>
      </c>
      <c r="I631" s="21">
        <f t="shared" ca="1" si="50"/>
        <v>2026</v>
      </c>
      <c r="J631" s="21">
        <v>3</v>
      </c>
      <c r="K631" s="25" t="str">
        <f t="shared" ca="1" si="45"/>
        <v>Activo</v>
      </c>
      <c r="N631" s="26"/>
      <c r="O631" s="72"/>
      <c r="P631" s="26" t="s">
        <v>439</v>
      </c>
      <c r="Q631" s="34">
        <v>180</v>
      </c>
      <c r="S631" s="29">
        <v>46198</v>
      </c>
      <c r="T631" s="28">
        <f t="shared" si="46"/>
        <v>46378</v>
      </c>
      <c r="U631" s="25">
        <f t="shared" ca="1" si="47"/>
        <v>117</v>
      </c>
      <c r="V631" s="25" t="str">
        <f t="shared" ca="1" si="48"/>
        <v>AL DÍA</v>
      </c>
      <c r="W631" s="25" t="s">
        <v>24</v>
      </c>
      <c r="X631" s="25" t="s">
        <v>271</v>
      </c>
      <c r="Y631" s="25">
        <v>2</v>
      </c>
    </row>
    <row r="632" spans="1:25" ht="14.25" hidden="1" customHeight="1" x14ac:dyDescent="0.15">
      <c r="A632" s="24" t="s">
        <v>296</v>
      </c>
      <c r="B632" s="24" t="s">
        <v>185</v>
      </c>
      <c r="C632" s="25">
        <v>502</v>
      </c>
      <c r="D632" s="24" t="s">
        <v>16</v>
      </c>
      <c r="E632" s="24" t="s">
        <v>450</v>
      </c>
      <c r="F632" s="24" t="s">
        <v>421</v>
      </c>
      <c r="G632" s="71"/>
      <c r="H632" s="21">
        <v>0</v>
      </c>
      <c r="I632" s="21">
        <f t="shared" ca="1" si="50"/>
        <v>2026</v>
      </c>
      <c r="J632" s="21">
        <v>3</v>
      </c>
      <c r="K632" s="25" t="str">
        <f t="shared" ca="1" si="45"/>
        <v>Activo</v>
      </c>
      <c r="O632" s="72"/>
      <c r="P632" s="26" t="s">
        <v>439</v>
      </c>
      <c r="Q632" s="34">
        <v>180</v>
      </c>
      <c r="S632" s="29">
        <v>46198</v>
      </c>
      <c r="T632" s="28">
        <f t="shared" si="46"/>
        <v>46378</v>
      </c>
      <c r="U632" s="25">
        <f t="shared" ca="1" si="47"/>
        <v>117</v>
      </c>
      <c r="V632" s="25" t="str">
        <f t="shared" ca="1" si="48"/>
        <v>AL DÍA</v>
      </c>
      <c r="W632" s="25" t="s">
        <v>24</v>
      </c>
      <c r="X632" s="25" t="s">
        <v>271</v>
      </c>
      <c r="Y632" s="25">
        <v>2</v>
      </c>
    </row>
    <row r="633" spans="1:25" ht="14.25" hidden="1" customHeight="1" x14ac:dyDescent="0.15">
      <c r="A633" s="24" t="s">
        <v>296</v>
      </c>
      <c r="B633" s="24" t="s">
        <v>185</v>
      </c>
      <c r="C633" s="25">
        <v>503</v>
      </c>
      <c r="D633" s="24" t="s">
        <v>16</v>
      </c>
      <c r="E633" s="24" t="s">
        <v>450</v>
      </c>
      <c r="F633" s="24" t="s">
        <v>421</v>
      </c>
      <c r="G633" s="71"/>
      <c r="H633" s="21">
        <v>0</v>
      </c>
      <c r="I633" s="21">
        <f t="shared" ca="1" si="50"/>
        <v>2026</v>
      </c>
      <c r="J633" s="21">
        <v>3</v>
      </c>
      <c r="K633" s="25" t="str">
        <f t="shared" ca="1" si="45"/>
        <v>Activo</v>
      </c>
      <c r="O633" s="72"/>
      <c r="P633" s="26" t="s">
        <v>439</v>
      </c>
      <c r="Q633" s="34">
        <v>180</v>
      </c>
      <c r="S633" s="29">
        <v>46198</v>
      </c>
      <c r="T633" s="28">
        <f t="shared" si="46"/>
        <v>46378</v>
      </c>
      <c r="U633" s="25">
        <f t="shared" ca="1" si="47"/>
        <v>117</v>
      </c>
      <c r="V633" s="25" t="str">
        <f t="shared" ca="1" si="48"/>
        <v>AL DÍA</v>
      </c>
      <c r="W633" s="25" t="s">
        <v>24</v>
      </c>
      <c r="X633" s="25" t="s">
        <v>271</v>
      </c>
      <c r="Y633" s="25">
        <v>2</v>
      </c>
    </row>
    <row r="634" spans="1:25" ht="14.25" hidden="1" customHeight="1" x14ac:dyDescent="0.15">
      <c r="A634" s="24" t="s">
        <v>296</v>
      </c>
      <c r="B634" s="24" t="s">
        <v>185</v>
      </c>
      <c r="C634" s="25">
        <v>504</v>
      </c>
      <c r="D634" s="24" t="s">
        <v>16</v>
      </c>
      <c r="E634" s="24" t="s">
        <v>450</v>
      </c>
      <c r="F634" s="24" t="s">
        <v>421</v>
      </c>
      <c r="G634" s="71"/>
      <c r="H634" s="21">
        <v>0</v>
      </c>
      <c r="I634" s="21">
        <f t="shared" ca="1" si="50"/>
        <v>2026</v>
      </c>
      <c r="J634" s="21">
        <v>3</v>
      </c>
      <c r="K634" s="25" t="str">
        <f t="shared" ca="1" si="45"/>
        <v>Activo</v>
      </c>
      <c r="O634" s="72"/>
      <c r="P634" s="26" t="s">
        <v>439</v>
      </c>
      <c r="Q634" s="34">
        <v>180</v>
      </c>
      <c r="S634" s="29">
        <v>46198</v>
      </c>
      <c r="T634" s="28">
        <f t="shared" si="46"/>
        <v>46378</v>
      </c>
      <c r="U634" s="25">
        <f t="shared" ca="1" si="47"/>
        <v>117</v>
      </c>
      <c r="V634" s="25" t="str">
        <f t="shared" ca="1" si="48"/>
        <v>AL DÍA</v>
      </c>
      <c r="W634" s="25" t="s">
        <v>24</v>
      </c>
      <c r="X634" s="25" t="s">
        <v>271</v>
      </c>
      <c r="Y634" s="25">
        <v>2</v>
      </c>
    </row>
    <row r="635" spans="1:25" ht="14.25" hidden="1" customHeight="1" x14ac:dyDescent="0.15">
      <c r="A635" s="24" t="s">
        <v>296</v>
      </c>
      <c r="B635" s="24" t="s">
        <v>185</v>
      </c>
      <c r="C635" s="25">
        <v>506</v>
      </c>
      <c r="D635" s="24" t="s">
        <v>16</v>
      </c>
      <c r="E635" s="24" t="s">
        <v>450</v>
      </c>
      <c r="F635" s="24" t="s">
        <v>421</v>
      </c>
      <c r="G635" s="71"/>
      <c r="H635" s="21">
        <v>0</v>
      </c>
      <c r="I635" s="21">
        <f t="shared" ca="1" si="50"/>
        <v>2026</v>
      </c>
      <c r="J635" s="21">
        <v>3</v>
      </c>
      <c r="K635" s="25" t="str">
        <f t="shared" ca="1" si="45"/>
        <v>Activo</v>
      </c>
      <c r="O635" s="72"/>
      <c r="P635" s="26" t="s">
        <v>439</v>
      </c>
      <c r="Q635" s="34">
        <v>180</v>
      </c>
      <c r="S635" s="29">
        <v>46198</v>
      </c>
      <c r="T635" s="28">
        <f t="shared" si="46"/>
        <v>46378</v>
      </c>
      <c r="U635" s="25">
        <f t="shared" ca="1" si="47"/>
        <v>117</v>
      </c>
      <c r="V635" s="25" t="str">
        <f t="shared" ca="1" si="48"/>
        <v>AL DÍA</v>
      </c>
      <c r="W635" s="25" t="s">
        <v>24</v>
      </c>
      <c r="X635" s="25" t="s">
        <v>271</v>
      </c>
      <c r="Y635" s="25">
        <v>2</v>
      </c>
    </row>
    <row r="636" spans="1:25" ht="14.25" hidden="1" customHeight="1" x14ac:dyDescent="0.15">
      <c r="A636" s="24" t="s">
        <v>296</v>
      </c>
      <c r="B636" s="24" t="s">
        <v>185</v>
      </c>
      <c r="C636" s="25">
        <v>507</v>
      </c>
      <c r="D636" s="24" t="s">
        <v>16</v>
      </c>
      <c r="E636" s="24" t="s">
        <v>450</v>
      </c>
      <c r="F636" s="24" t="s">
        <v>421</v>
      </c>
      <c r="G636" s="71"/>
      <c r="H636" s="21">
        <v>0</v>
      </c>
      <c r="I636" s="21">
        <f t="shared" ca="1" si="50"/>
        <v>2026</v>
      </c>
      <c r="J636" s="21">
        <v>3</v>
      </c>
      <c r="K636" s="25" t="str">
        <f t="shared" ca="1" si="45"/>
        <v>Activo</v>
      </c>
      <c r="O636" s="72"/>
      <c r="P636" s="26" t="s">
        <v>439</v>
      </c>
      <c r="Q636" s="34">
        <v>180</v>
      </c>
      <c r="S636" s="29">
        <v>46198</v>
      </c>
      <c r="T636" s="28">
        <f t="shared" si="46"/>
        <v>46378</v>
      </c>
      <c r="U636" s="25">
        <f t="shared" ca="1" si="47"/>
        <v>117</v>
      </c>
      <c r="V636" s="25" t="str">
        <f t="shared" ca="1" si="48"/>
        <v>AL DÍA</v>
      </c>
      <c r="W636" s="25" t="s">
        <v>24</v>
      </c>
      <c r="X636" s="25" t="s">
        <v>271</v>
      </c>
      <c r="Y636" s="25">
        <v>2</v>
      </c>
    </row>
    <row r="637" spans="1:25" ht="14.25" hidden="1" customHeight="1" x14ac:dyDescent="0.15">
      <c r="A637" s="24" t="s">
        <v>296</v>
      </c>
      <c r="B637" s="24" t="s">
        <v>185</v>
      </c>
      <c r="C637" s="25">
        <v>508</v>
      </c>
      <c r="D637" s="24" t="s">
        <v>16</v>
      </c>
      <c r="E637" s="24" t="s">
        <v>450</v>
      </c>
      <c r="F637" s="24" t="s">
        <v>421</v>
      </c>
      <c r="G637" s="71"/>
      <c r="H637" s="21">
        <v>0</v>
      </c>
      <c r="I637" s="21">
        <f t="shared" ca="1" si="50"/>
        <v>2026</v>
      </c>
      <c r="J637" s="21">
        <v>3</v>
      </c>
      <c r="K637" s="25" t="str">
        <f t="shared" ca="1" si="45"/>
        <v>Activo</v>
      </c>
      <c r="O637" s="72"/>
      <c r="P637" s="26" t="s">
        <v>439</v>
      </c>
      <c r="Q637" s="34">
        <v>180</v>
      </c>
      <c r="S637" s="29">
        <v>46198</v>
      </c>
      <c r="T637" s="28">
        <f t="shared" si="46"/>
        <v>46378</v>
      </c>
      <c r="U637" s="25">
        <f t="shared" ca="1" si="47"/>
        <v>117</v>
      </c>
      <c r="V637" s="25" t="str">
        <f t="shared" ca="1" si="48"/>
        <v>AL DÍA</v>
      </c>
      <c r="W637" s="25" t="s">
        <v>24</v>
      </c>
      <c r="X637" s="25" t="s">
        <v>271</v>
      </c>
      <c r="Y637" s="25">
        <v>2</v>
      </c>
    </row>
    <row r="638" spans="1:25" ht="14.25" hidden="1" customHeight="1" x14ac:dyDescent="0.15">
      <c r="A638" s="24" t="s">
        <v>296</v>
      </c>
      <c r="B638" s="24" t="s">
        <v>185</v>
      </c>
      <c r="C638" s="25">
        <v>509</v>
      </c>
      <c r="D638" s="24" t="s">
        <v>16</v>
      </c>
      <c r="E638" s="24" t="s">
        <v>450</v>
      </c>
      <c r="F638" s="24" t="s">
        <v>421</v>
      </c>
      <c r="G638" s="71"/>
      <c r="H638" s="21">
        <v>0</v>
      </c>
      <c r="I638" s="21">
        <f t="shared" ca="1" si="50"/>
        <v>2026</v>
      </c>
      <c r="J638" s="21">
        <v>3</v>
      </c>
      <c r="K638" s="25" t="str">
        <f t="shared" ca="1" si="45"/>
        <v>Activo</v>
      </c>
      <c r="N638" s="26"/>
      <c r="O638" s="72"/>
      <c r="P638" s="26" t="s">
        <v>439</v>
      </c>
      <c r="Q638" s="34">
        <v>180</v>
      </c>
      <c r="S638" s="29">
        <v>46198</v>
      </c>
      <c r="T638" s="28">
        <f t="shared" si="46"/>
        <v>46378</v>
      </c>
      <c r="U638" s="25">
        <f t="shared" ca="1" si="47"/>
        <v>117</v>
      </c>
      <c r="V638" s="25" t="str">
        <f t="shared" ca="1" si="48"/>
        <v>AL DÍA</v>
      </c>
      <c r="W638" s="25" t="s">
        <v>24</v>
      </c>
      <c r="X638" s="25" t="s">
        <v>271</v>
      </c>
      <c r="Y638" s="25">
        <v>2</v>
      </c>
    </row>
    <row r="639" spans="1:25" ht="14.25" hidden="1" customHeight="1" x14ac:dyDescent="0.15">
      <c r="A639" s="24" t="s">
        <v>296</v>
      </c>
      <c r="B639" s="24" t="s">
        <v>185</v>
      </c>
      <c r="C639" s="25">
        <v>510</v>
      </c>
      <c r="D639" s="24" t="s">
        <v>16</v>
      </c>
      <c r="E639" s="24" t="s">
        <v>450</v>
      </c>
      <c r="F639" s="24" t="s">
        <v>421</v>
      </c>
      <c r="G639" s="71"/>
      <c r="H639" s="21">
        <v>0</v>
      </c>
      <c r="I639" s="21">
        <f t="shared" ca="1" si="50"/>
        <v>2026</v>
      </c>
      <c r="J639" s="21">
        <v>3</v>
      </c>
      <c r="K639" s="25" t="str">
        <f t="shared" ca="1" si="45"/>
        <v>Activo</v>
      </c>
      <c r="O639" s="72"/>
      <c r="P639" s="26" t="s">
        <v>439</v>
      </c>
      <c r="Q639" s="34">
        <v>180</v>
      </c>
      <c r="S639" s="29">
        <v>46198</v>
      </c>
      <c r="T639" s="28">
        <f t="shared" si="46"/>
        <v>46378</v>
      </c>
      <c r="U639" s="25">
        <f t="shared" ca="1" si="47"/>
        <v>117</v>
      </c>
      <c r="V639" s="25" t="str">
        <f t="shared" ca="1" si="48"/>
        <v>AL DÍA</v>
      </c>
      <c r="W639" s="25" t="s">
        <v>24</v>
      </c>
      <c r="X639" s="25" t="s">
        <v>271</v>
      </c>
      <c r="Y639" s="25">
        <v>2</v>
      </c>
    </row>
    <row r="640" spans="1:25" ht="14.25" hidden="1" customHeight="1" x14ac:dyDescent="0.15">
      <c r="A640" s="24" t="s">
        <v>296</v>
      </c>
      <c r="B640" s="24" t="s">
        <v>185</v>
      </c>
      <c r="C640" s="25">
        <v>511</v>
      </c>
      <c r="D640" s="24" t="s">
        <v>16</v>
      </c>
      <c r="E640" s="24" t="s">
        <v>450</v>
      </c>
      <c r="F640" s="24" t="s">
        <v>421</v>
      </c>
      <c r="G640" s="71"/>
      <c r="H640" s="21">
        <v>0</v>
      </c>
      <c r="I640" s="21">
        <f t="shared" ca="1" si="50"/>
        <v>2026</v>
      </c>
      <c r="J640" s="21">
        <v>3</v>
      </c>
      <c r="K640" s="25" t="str">
        <f t="shared" ca="1" si="45"/>
        <v>Activo</v>
      </c>
      <c r="O640" s="72"/>
      <c r="P640" s="26" t="s">
        <v>439</v>
      </c>
      <c r="Q640" s="34">
        <v>180</v>
      </c>
      <c r="S640" s="29">
        <v>46198</v>
      </c>
      <c r="T640" s="28">
        <f t="shared" si="46"/>
        <v>46378</v>
      </c>
      <c r="U640" s="25">
        <f t="shared" ca="1" si="47"/>
        <v>117</v>
      </c>
      <c r="V640" s="25" t="str">
        <f t="shared" ca="1" si="48"/>
        <v>AL DÍA</v>
      </c>
      <c r="W640" s="25" t="s">
        <v>24</v>
      </c>
      <c r="X640" s="25" t="s">
        <v>271</v>
      </c>
      <c r="Y640" s="25">
        <v>2</v>
      </c>
    </row>
    <row r="641" spans="1:25" ht="14.25" hidden="1" customHeight="1" x14ac:dyDescent="0.15">
      <c r="A641" s="24" t="s">
        <v>296</v>
      </c>
      <c r="B641" s="24" t="s">
        <v>185</v>
      </c>
      <c r="C641" s="25">
        <v>512</v>
      </c>
      <c r="D641" s="24" t="s">
        <v>16</v>
      </c>
      <c r="E641" s="24" t="s">
        <v>450</v>
      </c>
      <c r="F641" s="24" t="s">
        <v>421</v>
      </c>
      <c r="G641" s="71"/>
      <c r="H641" s="21">
        <v>0</v>
      </c>
      <c r="I641" s="21">
        <f t="shared" ca="1" si="50"/>
        <v>2026</v>
      </c>
      <c r="J641" s="21">
        <v>3</v>
      </c>
      <c r="K641" s="25" t="str">
        <f t="shared" ca="1" si="45"/>
        <v>Activo</v>
      </c>
      <c r="O641" s="72"/>
      <c r="P641" s="26" t="s">
        <v>439</v>
      </c>
      <c r="Q641" s="34">
        <v>180</v>
      </c>
      <c r="S641" s="29">
        <v>46198</v>
      </c>
      <c r="T641" s="28">
        <f t="shared" si="46"/>
        <v>46378</v>
      </c>
      <c r="U641" s="25">
        <f t="shared" ca="1" si="47"/>
        <v>117</v>
      </c>
      <c r="V641" s="25" t="str">
        <f t="shared" ca="1" si="48"/>
        <v>AL DÍA</v>
      </c>
      <c r="W641" s="25" t="s">
        <v>24</v>
      </c>
      <c r="X641" s="25" t="s">
        <v>271</v>
      </c>
      <c r="Y641" s="25">
        <v>2</v>
      </c>
    </row>
    <row r="642" spans="1:25" ht="14.25" hidden="1" customHeight="1" x14ac:dyDescent="0.15">
      <c r="A642" s="24" t="s">
        <v>296</v>
      </c>
      <c r="B642" s="24" t="s">
        <v>185</v>
      </c>
      <c r="C642" s="25">
        <v>513</v>
      </c>
      <c r="D642" s="24" t="s">
        <v>16</v>
      </c>
      <c r="E642" s="24" t="s">
        <v>450</v>
      </c>
      <c r="F642" s="24" t="s">
        <v>421</v>
      </c>
      <c r="G642" s="71"/>
      <c r="H642" s="21">
        <v>0</v>
      </c>
      <c r="I642" s="21">
        <f t="shared" ca="1" si="50"/>
        <v>2026</v>
      </c>
      <c r="J642" s="21">
        <v>3</v>
      </c>
      <c r="K642" s="25" t="str">
        <f t="shared" ref="K642:K705" ca="1" si="51">IF(J642=1,"Cambiar",IF(J642=2,"Presupuestar",IF(H642=0,"Activo",IF(G642+H642&lt;YEAR(TODAY()),"Cambiar o Inspección externa",IF(G642+H642-1&lt;YEAR(TODAY()),"Presupuestar","Activo")))))</f>
        <v>Activo</v>
      </c>
      <c r="O642" s="72"/>
      <c r="P642" s="26" t="s">
        <v>439</v>
      </c>
      <c r="Q642" s="34">
        <v>180</v>
      </c>
      <c r="S642" s="29">
        <v>46198</v>
      </c>
      <c r="T642" s="28">
        <f t="shared" ref="T642:T705" si="52">+S642+Q642</f>
        <v>46378</v>
      </c>
      <c r="U642" s="25">
        <f t="shared" ref="U642:U705" ca="1" si="53">T642-TODAY()</f>
        <v>117</v>
      </c>
      <c r="V642" s="25" t="str">
        <f t="shared" ref="V642:V705" ca="1" si="54">IF(U642&lt;0, "VENCIDO", "AL DÍA")</f>
        <v>AL DÍA</v>
      </c>
      <c r="W642" s="25" t="s">
        <v>24</v>
      </c>
      <c r="X642" s="25" t="s">
        <v>271</v>
      </c>
      <c r="Y642" s="25">
        <v>2</v>
      </c>
    </row>
    <row r="643" spans="1:25" ht="14.25" hidden="1" customHeight="1" x14ac:dyDescent="0.15">
      <c r="A643" s="24" t="s">
        <v>296</v>
      </c>
      <c r="B643" s="24" t="s">
        <v>185</v>
      </c>
      <c r="C643" s="25">
        <v>515</v>
      </c>
      <c r="D643" s="24" t="s">
        <v>16</v>
      </c>
      <c r="E643" s="24" t="s">
        <v>450</v>
      </c>
      <c r="F643" s="24" t="s">
        <v>421</v>
      </c>
      <c r="G643" s="71"/>
      <c r="H643" s="21">
        <v>0</v>
      </c>
      <c r="I643" s="21">
        <f t="shared" ca="1" si="50"/>
        <v>2026</v>
      </c>
      <c r="J643" s="21">
        <v>3</v>
      </c>
      <c r="K643" s="25" t="str">
        <f t="shared" ca="1" si="51"/>
        <v>Activo</v>
      </c>
      <c r="O643" s="72"/>
      <c r="P643" s="26" t="s">
        <v>439</v>
      </c>
      <c r="Q643" s="34">
        <v>180</v>
      </c>
      <c r="S643" s="29">
        <v>46198</v>
      </c>
      <c r="T643" s="28">
        <f t="shared" si="52"/>
        <v>46378</v>
      </c>
      <c r="U643" s="25">
        <f t="shared" ca="1" si="53"/>
        <v>117</v>
      </c>
      <c r="V643" s="25" t="str">
        <f t="shared" ca="1" si="54"/>
        <v>AL DÍA</v>
      </c>
      <c r="W643" s="25" t="s">
        <v>24</v>
      </c>
      <c r="X643" s="25" t="s">
        <v>271</v>
      </c>
      <c r="Y643" s="25">
        <v>2</v>
      </c>
    </row>
    <row r="644" spans="1:25" ht="14.25" hidden="1" customHeight="1" x14ac:dyDescent="0.15">
      <c r="A644" s="24" t="s">
        <v>296</v>
      </c>
      <c r="B644" s="24" t="s">
        <v>185</v>
      </c>
      <c r="C644" s="25">
        <v>516</v>
      </c>
      <c r="D644" s="24" t="s">
        <v>16</v>
      </c>
      <c r="E644" s="24" t="s">
        <v>450</v>
      </c>
      <c r="F644" s="24" t="s">
        <v>421</v>
      </c>
      <c r="G644" s="71"/>
      <c r="H644" s="21">
        <v>0</v>
      </c>
      <c r="I644" s="21">
        <f t="shared" ca="1" si="50"/>
        <v>2026</v>
      </c>
      <c r="J644" s="21">
        <v>3</v>
      </c>
      <c r="K644" s="25" t="str">
        <f t="shared" ca="1" si="51"/>
        <v>Activo</v>
      </c>
      <c r="O644" s="72"/>
      <c r="P644" s="26" t="s">
        <v>439</v>
      </c>
      <c r="Q644" s="34">
        <v>180</v>
      </c>
      <c r="S644" s="29">
        <v>46198</v>
      </c>
      <c r="T644" s="28">
        <f t="shared" si="52"/>
        <v>46378</v>
      </c>
      <c r="U644" s="25">
        <f t="shared" ca="1" si="53"/>
        <v>117</v>
      </c>
      <c r="V644" s="25" t="str">
        <f t="shared" ca="1" si="54"/>
        <v>AL DÍA</v>
      </c>
      <c r="W644" s="25" t="s">
        <v>24</v>
      </c>
      <c r="X644" s="25" t="s">
        <v>271</v>
      </c>
      <c r="Y644" s="25">
        <v>2</v>
      </c>
    </row>
    <row r="645" spans="1:25" ht="14.25" hidden="1" customHeight="1" x14ac:dyDescent="0.15">
      <c r="A645" s="24" t="s">
        <v>296</v>
      </c>
      <c r="B645" s="24" t="s">
        <v>185</v>
      </c>
      <c r="C645" s="25">
        <v>522</v>
      </c>
      <c r="D645" s="24" t="s">
        <v>16</v>
      </c>
      <c r="E645" s="24" t="s">
        <v>450</v>
      </c>
      <c r="F645" s="24" t="s">
        <v>421</v>
      </c>
      <c r="G645" s="71"/>
      <c r="H645" s="21">
        <v>0</v>
      </c>
      <c r="I645" s="21">
        <f t="shared" ca="1" si="50"/>
        <v>2026</v>
      </c>
      <c r="J645" s="21">
        <v>3</v>
      </c>
      <c r="K645" s="25" t="str">
        <f t="shared" ca="1" si="51"/>
        <v>Activo</v>
      </c>
      <c r="N645" s="26"/>
      <c r="O645" s="72"/>
      <c r="P645" s="26" t="s">
        <v>439</v>
      </c>
      <c r="Q645" s="34">
        <v>180</v>
      </c>
      <c r="S645" s="29">
        <v>46198</v>
      </c>
      <c r="T645" s="28">
        <f t="shared" si="52"/>
        <v>46378</v>
      </c>
      <c r="U645" s="25">
        <f t="shared" ca="1" si="53"/>
        <v>117</v>
      </c>
      <c r="V645" s="25" t="str">
        <f t="shared" ca="1" si="54"/>
        <v>AL DÍA</v>
      </c>
      <c r="W645" s="25" t="s">
        <v>24</v>
      </c>
      <c r="X645" s="25" t="s">
        <v>271</v>
      </c>
      <c r="Y645" s="25">
        <v>2</v>
      </c>
    </row>
    <row r="646" spans="1:25" ht="14.25" hidden="1" customHeight="1" x14ac:dyDescent="0.15">
      <c r="A646" s="24" t="s">
        <v>296</v>
      </c>
      <c r="B646" s="24" t="s">
        <v>185</v>
      </c>
      <c r="C646" s="25">
        <v>523</v>
      </c>
      <c r="D646" s="24" t="s">
        <v>16</v>
      </c>
      <c r="E646" s="24" t="s">
        <v>450</v>
      </c>
      <c r="F646" s="24" t="s">
        <v>421</v>
      </c>
      <c r="G646" s="71"/>
      <c r="H646" s="21">
        <v>0</v>
      </c>
      <c r="I646" s="21">
        <f t="shared" ca="1" si="50"/>
        <v>2026</v>
      </c>
      <c r="J646" s="21">
        <v>3</v>
      </c>
      <c r="K646" s="25" t="str">
        <f t="shared" ca="1" si="51"/>
        <v>Activo</v>
      </c>
      <c r="O646" s="72"/>
      <c r="P646" s="26" t="s">
        <v>439</v>
      </c>
      <c r="Q646" s="34">
        <v>180</v>
      </c>
      <c r="S646" s="29">
        <v>46198</v>
      </c>
      <c r="T646" s="28">
        <f t="shared" si="52"/>
        <v>46378</v>
      </c>
      <c r="U646" s="25">
        <f t="shared" ca="1" si="53"/>
        <v>117</v>
      </c>
      <c r="V646" s="25" t="str">
        <f t="shared" ca="1" si="54"/>
        <v>AL DÍA</v>
      </c>
      <c r="W646" s="25" t="s">
        <v>24</v>
      </c>
      <c r="X646" s="25" t="s">
        <v>271</v>
      </c>
      <c r="Y646" s="25">
        <v>2</v>
      </c>
    </row>
    <row r="647" spans="1:25" ht="14.25" hidden="1" customHeight="1" x14ac:dyDescent="0.15">
      <c r="A647" s="24" t="s">
        <v>296</v>
      </c>
      <c r="B647" s="24" t="s">
        <v>185</v>
      </c>
      <c r="C647" s="25">
        <v>524</v>
      </c>
      <c r="D647" s="24" t="s">
        <v>16</v>
      </c>
      <c r="E647" s="24" t="s">
        <v>450</v>
      </c>
      <c r="F647" s="24" t="s">
        <v>421</v>
      </c>
      <c r="G647" s="71"/>
      <c r="H647" s="21">
        <v>0</v>
      </c>
      <c r="I647" s="21">
        <f t="shared" ca="1" si="50"/>
        <v>2026</v>
      </c>
      <c r="J647" s="21">
        <v>3</v>
      </c>
      <c r="K647" s="25" t="str">
        <f t="shared" ca="1" si="51"/>
        <v>Activo</v>
      </c>
      <c r="O647" s="72"/>
      <c r="P647" s="26" t="s">
        <v>439</v>
      </c>
      <c r="Q647" s="34">
        <v>180</v>
      </c>
      <c r="S647" s="29">
        <v>46198</v>
      </c>
      <c r="T647" s="28">
        <f t="shared" si="52"/>
        <v>46378</v>
      </c>
      <c r="U647" s="25">
        <f t="shared" ca="1" si="53"/>
        <v>117</v>
      </c>
      <c r="V647" s="25" t="str">
        <f t="shared" ca="1" si="54"/>
        <v>AL DÍA</v>
      </c>
      <c r="W647" s="25" t="s">
        <v>24</v>
      </c>
      <c r="X647" s="25" t="s">
        <v>271</v>
      </c>
      <c r="Y647" s="25">
        <v>2</v>
      </c>
    </row>
    <row r="648" spans="1:25" ht="14.25" hidden="1" customHeight="1" x14ac:dyDescent="0.15">
      <c r="A648" s="24" t="s">
        <v>296</v>
      </c>
      <c r="B648" s="24" t="s">
        <v>185</v>
      </c>
      <c r="C648" s="25">
        <v>525</v>
      </c>
      <c r="D648" s="24" t="s">
        <v>16</v>
      </c>
      <c r="E648" s="24" t="s">
        <v>450</v>
      </c>
      <c r="F648" s="24" t="s">
        <v>421</v>
      </c>
      <c r="G648" s="71"/>
      <c r="H648" s="21">
        <v>0</v>
      </c>
      <c r="I648" s="21">
        <f t="shared" ca="1" si="50"/>
        <v>2026</v>
      </c>
      <c r="J648" s="21">
        <v>3</v>
      </c>
      <c r="K648" s="25" t="str">
        <f t="shared" ca="1" si="51"/>
        <v>Activo</v>
      </c>
      <c r="O648" s="72"/>
      <c r="P648" s="26" t="s">
        <v>439</v>
      </c>
      <c r="Q648" s="34">
        <v>180</v>
      </c>
      <c r="S648" s="29">
        <v>46198</v>
      </c>
      <c r="T648" s="28">
        <f t="shared" si="52"/>
        <v>46378</v>
      </c>
      <c r="U648" s="25">
        <f t="shared" ca="1" si="53"/>
        <v>117</v>
      </c>
      <c r="V648" s="25" t="str">
        <f t="shared" ca="1" si="54"/>
        <v>AL DÍA</v>
      </c>
      <c r="W648" s="25" t="s">
        <v>24</v>
      </c>
      <c r="X648" s="25" t="s">
        <v>271</v>
      </c>
      <c r="Y648" s="25">
        <v>2</v>
      </c>
    </row>
    <row r="649" spans="1:25" ht="14.25" hidden="1" customHeight="1" x14ac:dyDescent="0.15">
      <c r="A649" s="24" t="s">
        <v>296</v>
      </c>
      <c r="B649" s="24" t="s">
        <v>188</v>
      </c>
      <c r="C649" s="25">
        <v>601</v>
      </c>
      <c r="D649" s="24" t="s">
        <v>16</v>
      </c>
      <c r="E649" s="24" t="s">
        <v>450</v>
      </c>
      <c r="F649" s="24" t="s">
        <v>421</v>
      </c>
      <c r="G649" s="71"/>
      <c r="H649" s="21">
        <v>0</v>
      </c>
      <c r="I649" s="21">
        <f t="shared" ca="1" si="50"/>
        <v>2026</v>
      </c>
      <c r="J649" s="21">
        <v>3</v>
      </c>
      <c r="K649" s="25" t="str">
        <f t="shared" ca="1" si="51"/>
        <v>Activo</v>
      </c>
      <c r="O649" s="72"/>
      <c r="P649" s="26" t="s">
        <v>439</v>
      </c>
      <c r="Q649" s="34">
        <v>180</v>
      </c>
      <c r="S649" s="29">
        <v>46198</v>
      </c>
      <c r="T649" s="28">
        <f t="shared" si="52"/>
        <v>46378</v>
      </c>
      <c r="U649" s="25">
        <f t="shared" ca="1" si="53"/>
        <v>117</v>
      </c>
      <c r="V649" s="25" t="str">
        <f t="shared" ca="1" si="54"/>
        <v>AL DÍA</v>
      </c>
      <c r="W649" s="25" t="s">
        <v>24</v>
      </c>
      <c r="X649" s="25" t="s">
        <v>271</v>
      </c>
      <c r="Y649" s="25">
        <v>2</v>
      </c>
    </row>
    <row r="650" spans="1:25" ht="14.25" hidden="1" customHeight="1" x14ac:dyDescent="0.15">
      <c r="A650" s="24" t="s">
        <v>296</v>
      </c>
      <c r="B650" s="24" t="s">
        <v>188</v>
      </c>
      <c r="C650" s="25">
        <v>602</v>
      </c>
      <c r="D650" s="24" t="s">
        <v>16</v>
      </c>
      <c r="E650" s="24" t="s">
        <v>450</v>
      </c>
      <c r="F650" s="24" t="s">
        <v>421</v>
      </c>
      <c r="G650" s="71"/>
      <c r="H650" s="21">
        <v>0</v>
      </c>
      <c r="I650" s="21">
        <f t="shared" ca="1" si="50"/>
        <v>2026</v>
      </c>
      <c r="J650" s="21">
        <v>3</v>
      </c>
      <c r="K650" s="25" t="str">
        <f t="shared" ca="1" si="51"/>
        <v>Activo</v>
      </c>
      <c r="O650" s="72"/>
      <c r="P650" s="26" t="s">
        <v>439</v>
      </c>
      <c r="Q650" s="34">
        <v>180</v>
      </c>
      <c r="S650" s="29">
        <v>46198</v>
      </c>
      <c r="T650" s="28">
        <f t="shared" si="52"/>
        <v>46378</v>
      </c>
      <c r="U650" s="25">
        <f t="shared" ca="1" si="53"/>
        <v>117</v>
      </c>
      <c r="V650" s="25" t="str">
        <f t="shared" ca="1" si="54"/>
        <v>AL DÍA</v>
      </c>
      <c r="W650" s="25" t="s">
        <v>24</v>
      </c>
      <c r="X650" s="25" t="s">
        <v>271</v>
      </c>
      <c r="Y650" s="25">
        <v>2</v>
      </c>
    </row>
    <row r="651" spans="1:25" ht="14.25" hidden="1" customHeight="1" x14ac:dyDescent="0.15">
      <c r="A651" s="24" t="s">
        <v>296</v>
      </c>
      <c r="B651" s="24" t="s">
        <v>188</v>
      </c>
      <c r="C651" s="25">
        <v>603</v>
      </c>
      <c r="D651" s="24" t="s">
        <v>16</v>
      </c>
      <c r="E651" s="24" t="s">
        <v>450</v>
      </c>
      <c r="F651" s="24" t="s">
        <v>421</v>
      </c>
      <c r="G651" s="71"/>
      <c r="H651" s="21">
        <v>0</v>
      </c>
      <c r="I651" s="21">
        <f t="shared" ca="1" si="50"/>
        <v>2026</v>
      </c>
      <c r="J651" s="21">
        <v>3</v>
      </c>
      <c r="K651" s="25" t="str">
        <f t="shared" ca="1" si="51"/>
        <v>Activo</v>
      </c>
      <c r="O651" s="72"/>
      <c r="P651" s="26" t="s">
        <v>439</v>
      </c>
      <c r="Q651" s="34">
        <v>180</v>
      </c>
      <c r="S651" s="29">
        <v>46198</v>
      </c>
      <c r="T651" s="28">
        <f t="shared" si="52"/>
        <v>46378</v>
      </c>
      <c r="U651" s="25">
        <f t="shared" ca="1" si="53"/>
        <v>117</v>
      </c>
      <c r="V651" s="25" t="str">
        <f t="shared" ca="1" si="54"/>
        <v>AL DÍA</v>
      </c>
      <c r="W651" s="25" t="s">
        <v>24</v>
      </c>
      <c r="X651" s="25" t="s">
        <v>271</v>
      </c>
      <c r="Y651" s="25">
        <v>2</v>
      </c>
    </row>
    <row r="652" spans="1:25" ht="14.25" hidden="1" customHeight="1" x14ac:dyDescent="0.15">
      <c r="A652" s="24" t="s">
        <v>296</v>
      </c>
      <c r="B652" s="24" t="s">
        <v>188</v>
      </c>
      <c r="C652" s="25">
        <v>604</v>
      </c>
      <c r="D652" s="24" t="s">
        <v>16</v>
      </c>
      <c r="E652" s="24" t="s">
        <v>450</v>
      </c>
      <c r="F652" s="24" t="s">
        <v>421</v>
      </c>
      <c r="G652" s="71"/>
      <c r="H652" s="21">
        <v>0</v>
      </c>
      <c r="I652" s="21">
        <f t="shared" ca="1" si="50"/>
        <v>2026</v>
      </c>
      <c r="J652" s="21">
        <v>3</v>
      </c>
      <c r="K652" s="25" t="str">
        <f t="shared" ca="1" si="51"/>
        <v>Activo</v>
      </c>
      <c r="N652" s="26"/>
      <c r="O652" s="72"/>
      <c r="P652" s="26" t="s">
        <v>439</v>
      </c>
      <c r="Q652" s="34">
        <v>180</v>
      </c>
      <c r="S652" s="29">
        <v>46198</v>
      </c>
      <c r="T652" s="28">
        <f t="shared" si="52"/>
        <v>46378</v>
      </c>
      <c r="U652" s="25">
        <f t="shared" ca="1" si="53"/>
        <v>117</v>
      </c>
      <c r="V652" s="25" t="str">
        <f t="shared" ca="1" si="54"/>
        <v>AL DÍA</v>
      </c>
      <c r="W652" s="25" t="s">
        <v>24</v>
      </c>
      <c r="X652" s="25" t="s">
        <v>271</v>
      </c>
      <c r="Y652" s="25">
        <v>2</v>
      </c>
    </row>
    <row r="653" spans="1:25" ht="14.25" hidden="1" customHeight="1" x14ac:dyDescent="0.15">
      <c r="A653" s="24" t="s">
        <v>296</v>
      </c>
      <c r="B653" s="24" t="s">
        <v>188</v>
      </c>
      <c r="C653" s="25">
        <v>606</v>
      </c>
      <c r="D653" s="24" t="s">
        <v>16</v>
      </c>
      <c r="E653" s="24" t="s">
        <v>450</v>
      </c>
      <c r="F653" s="24" t="s">
        <v>421</v>
      </c>
      <c r="G653" s="71"/>
      <c r="H653" s="21">
        <v>0</v>
      </c>
      <c r="I653" s="21">
        <f t="shared" ca="1" si="50"/>
        <v>2026</v>
      </c>
      <c r="J653" s="21">
        <v>3</v>
      </c>
      <c r="K653" s="25" t="str">
        <f t="shared" ca="1" si="51"/>
        <v>Activo</v>
      </c>
      <c r="O653" s="72"/>
      <c r="P653" s="26" t="s">
        <v>439</v>
      </c>
      <c r="Q653" s="34">
        <v>180</v>
      </c>
      <c r="S653" s="29">
        <v>46198</v>
      </c>
      <c r="T653" s="28">
        <f t="shared" si="52"/>
        <v>46378</v>
      </c>
      <c r="U653" s="25">
        <f t="shared" ca="1" si="53"/>
        <v>117</v>
      </c>
      <c r="V653" s="25" t="str">
        <f t="shared" ca="1" si="54"/>
        <v>AL DÍA</v>
      </c>
      <c r="W653" s="25" t="s">
        <v>24</v>
      </c>
      <c r="X653" s="25" t="s">
        <v>271</v>
      </c>
      <c r="Y653" s="25">
        <v>2</v>
      </c>
    </row>
    <row r="654" spans="1:25" ht="14.25" hidden="1" customHeight="1" x14ac:dyDescent="0.15">
      <c r="A654" s="24" t="s">
        <v>296</v>
      </c>
      <c r="B654" s="24" t="s">
        <v>188</v>
      </c>
      <c r="C654" s="25">
        <v>607</v>
      </c>
      <c r="D654" s="24" t="s">
        <v>16</v>
      </c>
      <c r="E654" s="24" t="s">
        <v>450</v>
      </c>
      <c r="F654" s="24" t="s">
        <v>421</v>
      </c>
      <c r="G654" s="71"/>
      <c r="H654" s="21">
        <v>0</v>
      </c>
      <c r="I654" s="21">
        <f t="shared" ca="1" si="50"/>
        <v>2026</v>
      </c>
      <c r="J654" s="21">
        <v>3</v>
      </c>
      <c r="K654" s="25" t="str">
        <f t="shared" ca="1" si="51"/>
        <v>Activo</v>
      </c>
      <c r="O654" s="72"/>
      <c r="P654" s="26" t="s">
        <v>439</v>
      </c>
      <c r="Q654" s="34">
        <v>180</v>
      </c>
      <c r="S654" s="29">
        <v>46198</v>
      </c>
      <c r="T654" s="28">
        <f t="shared" si="52"/>
        <v>46378</v>
      </c>
      <c r="U654" s="25">
        <f t="shared" ca="1" si="53"/>
        <v>117</v>
      </c>
      <c r="V654" s="25" t="str">
        <f t="shared" ca="1" si="54"/>
        <v>AL DÍA</v>
      </c>
      <c r="W654" s="25" t="s">
        <v>24</v>
      </c>
      <c r="X654" s="25" t="s">
        <v>271</v>
      </c>
      <c r="Y654" s="25">
        <v>2</v>
      </c>
    </row>
    <row r="655" spans="1:25" ht="14.25" hidden="1" customHeight="1" x14ac:dyDescent="0.15">
      <c r="A655" s="24" t="s">
        <v>296</v>
      </c>
      <c r="B655" s="24" t="s">
        <v>188</v>
      </c>
      <c r="C655" s="25">
        <v>608</v>
      </c>
      <c r="D655" s="24" t="s">
        <v>16</v>
      </c>
      <c r="E655" s="24" t="s">
        <v>450</v>
      </c>
      <c r="F655" s="24" t="s">
        <v>421</v>
      </c>
      <c r="G655" s="71"/>
      <c r="H655" s="21">
        <v>0</v>
      </c>
      <c r="I655" s="21">
        <f t="shared" ca="1" si="50"/>
        <v>2026</v>
      </c>
      <c r="J655" s="21">
        <v>3</v>
      </c>
      <c r="K655" s="25" t="str">
        <f t="shared" ca="1" si="51"/>
        <v>Activo</v>
      </c>
      <c r="O655" s="72"/>
      <c r="P655" s="26" t="s">
        <v>439</v>
      </c>
      <c r="Q655" s="34">
        <v>180</v>
      </c>
      <c r="S655" s="29">
        <v>46198</v>
      </c>
      <c r="T655" s="28">
        <f t="shared" si="52"/>
        <v>46378</v>
      </c>
      <c r="U655" s="25">
        <f t="shared" ca="1" si="53"/>
        <v>117</v>
      </c>
      <c r="V655" s="25" t="str">
        <f t="shared" ca="1" si="54"/>
        <v>AL DÍA</v>
      </c>
      <c r="W655" s="25" t="s">
        <v>24</v>
      </c>
      <c r="X655" s="25" t="s">
        <v>271</v>
      </c>
      <c r="Y655" s="25">
        <v>2</v>
      </c>
    </row>
    <row r="656" spans="1:25" ht="14.25" hidden="1" customHeight="1" x14ac:dyDescent="0.15">
      <c r="A656" s="24" t="s">
        <v>296</v>
      </c>
      <c r="B656" s="24" t="s">
        <v>188</v>
      </c>
      <c r="C656" s="25">
        <v>609</v>
      </c>
      <c r="D656" s="24" t="s">
        <v>16</v>
      </c>
      <c r="E656" s="24" t="s">
        <v>450</v>
      </c>
      <c r="F656" s="24" t="s">
        <v>421</v>
      </c>
      <c r="G656" s="71"/>
      <c r="H656" s="21">
        <v>0</v>
      </c>
      <c r="I656" s="21">
        <f t="shared" ca="1" si="50"/>
        <v>2026</v>
      </c>
      <c r="J656" s="21">
        <v>3</v>
      </c>
      <c r="K656" s="25" t="str">
        <f t="shared" ca="1" si="51"/>
        <v>Activo</v>
      </c>
      <c r="O656" s="72"/>
      <c r="P656" s="26" t="s">
        <v>439</v>
      </c>
      <c r="Q656" s="34">
        <v>180</v>
      </c>
      <c r="S656" s="29">
        <v>46198</v>
      </c>
      <c r="T656" s="28">
        <f t="shared" si="52"/>
        <v>46378</v>
      </c>
      <c r="U656" s="25">
        <f t="shared" ca="1" si="53"/>
        <v>117</v>
      </c>
      <c r="V656" s="25" t="str">
        <f t="shared" ca="1" si="54"/>
        <v>AL DÍA</v>
      </c>
      <c r="W656" s="25" t="s">
        <v>24</v>
      </c>
      <c r="X656" s="25" t="s">
        <v>271</v>
      </c>
      <c r="Y656" s="25">
        <v>2</v>
      </c>
    </row>
    <row r="657" spans="1:25" ht="14.25" hidden="1" customHeight="1" x14ac:dyDescent="0.15">
      <c r="A657" s="24" t="s">
        <v>296</v>
      </c>
      <c r="B657" s="24" t="s">
        <v>188</v>
      </c>
      <c r="C657" s="25">
        <v>610</v>
      </c>
      <c r="D657" s="24" t="s">
        <v>16</v>
      </c>
      <c r="E657" s="24" t="s">
        <v>450</v>
      </c>
      <c r="F657" s="24" t="s">
        <v>421</v>
      </c>
      <c r="G657" s="71"/>
      <c r="H657" s="21">
        <v>0</v>
      </c>
      <c r="I657" s="21">
        <f t="shared" ca="1" si="50"/>
        <v>2026</v>
      </c>
      <c r="J657" s="21">
        <v>3</v>
      </c>
      <c r="K657" s="25" t="str">
        <f t="shared" ca="1" si="51"/>
        <v>Activo</v>
      </c>
      <c r="O657" s="72"/>
      <c r="P657" s="26" t="s">
        <v>439</v>
      </c>
      <c r="Q657" s="34">
        <v>180</v>
      </c>
      <c r="S657" s="29">
        <v>46198</v>
      </c>
      <c r="T657" s="28">
        <f t="shared" si="52"/>
        <v>46378</v>
      </c>
      <c r="U657" s="25">
        <f t="shared" ca="1" si="53"/>
        <v>117</v>
      </c>
      <c r="V657" s="25" t="str">
        <f t="shared" ca="1" si="54"/>
        <v>AL DÍA</v>
      </c>
      <c r="W657" s="25" t="s">
        <v>24</v>
      </c>
      <c r="X657" s="25" t="s">
        <v>271</v>
      </c>
      <c r="Y657" s="25">
        <v>2</v>
      </c>
    </row>
    <row r="658" spans="1:25" ht="14.25" hidden="1" customHeight="1" x14ac:dyDescent="0.15">
      <c r="A658" s="24" t="s">
        <v>296</v>
      </c>
      <c r="B658" s="24" t="s">
        <v>188</v>
      </c>
      <c r="C658" s="25">
        <v>611</v>
      </c>
      <c r="D658" s="24" t="s">
        <v>16</v>
      </c>
      <c r="E658" s="24" t="s">
        <v>450</v>
      </c>
      <c r="F658" s="24" t="s">
        <v>421</v>
      </c>
      <c r="G658" s="71"/>
      <c r="H658" s="21">
        <v>0</v>
      </c>
      <c r="I658" s="21">
        <f t="shared" ca="1" si="50"/>
        <v>2026</v>
      </c>
      <c r="J658" s="21">
        <v>3</v>
      </c>
      <c r="K658" s="25" t="str">
        <f t="shared" ca="1" si="51"/>
        <v>Activo</v>
      </c>
      <c r="O658" s="72"/>
      <c r="P658" s="26" t="s">
        <v>439</v>
      </c>
      <c r="Q658" s="34">
        <v>180</v>
      </c>
      <c r="S658" s="29">
        <v>46198</v>
      </c>
      <c r="T658" s="28">
        <f t="shared" si="52"/>
        <v>46378</v>
      </c>
      <c r="U658" s="25">
        <f t="shared" ca="1" si="53"/>
        <v>117</v>
      </c>
      <c r="V658" s="25" t="str">
        <f t="shared" ca="1" si="54"/>
        <v>AL DÍA</v>
      </c>
      <c r="W658" s="25" t="s">
        <v>24</v>
      </c>
      <c r="X658" s="25" t="s">
        <v>271</v>
      </c>
      <c r="Y658" s="25">
        <v>2</v>
      </c>
    </row>
    <row r="659" spans="1:25" ht="14.25" hidden="1" customHeight="1" x14ac:dyDescent="0.15">
      <c r="A659" s="24" t="s">
        <v>296</v>
      </c>
      <c r="B659" s="24" t="s">
        <v>188</v>
      </c>
      <c r="C659" s="25">
        <v>612</v>
      </c>
      <c r="D659" s="24" t="s">
        <v>16</v>
      </c>
      <c r="E659" s="24" t="s">
        <v>450</v>
      </c>
      <c r="F659" s="24" t="s">
        <v>421</v>
      </c>
      <c r="G659" s="71"/>
      <c r="H659" s="21">
        <v>0</v>
      </c>
      <c r="I659" s="21">
        <f t="shared" ref="I659:I690" ca="1" si="55">YEAR(TODAY())-G659</f>
        <v>2026</v>
      </c>
      <c r="J659" s="21">
        <v>3</v>
      </c>
      <c r="K659" s="25" t="str">
        <f t="shared" ca="1" si="51"/>
        <v>Activo</v>
      </c>
      <c r="N659" s="26"/>
      <c r="O659" s="72"/>
      <c r="P659" s="26" t="s">
        <v>439</v>
      </c>
      <c r="Q659" s="34">
        <v>180</v>
      </c>
      <c r="S659" s="29">
        <v>46198</v>
      </c>
      <c r="T659" s="28">
        <f t="shared" si="52"/>
        <v>46378</v>
      </c>
      <c r="U659" s="25">
        <f t="shared" ca="1" si="53"/>
        <v>117</v>
      </c>
      <c r="V659" s="25" t="str">
        <f t="shared" ca="1" si="54"/>
        <v>AL DÍA</v>
      </c>
      <c r="W659" s="25" t="s">
        <v>24</v>
      </c>
      <c r="X659" s="25" t="s">
        <v>271</v>
      </c>
      <c r="Y659" s="25">
        <v>2</v>
      </c>
    </row>
    <row r="660" spans="1:25" ht="14.25" hidden="1" customHeight="1" x14ac:dyDescent="0.15">
      <c r="A660" s="24" t="s">
        <v>296</v>
      </c>
      <c r="B660" s="24" t="s">
        <v>188</v>
      </c>
      <c r="C660" s="25">
        <v>613</v>
      </c>
      <c r="D660" s="24" t="s">
        <v>16</v>
      </c>
      <c r="E660" s="24" t="s">
        <v>450</v>
      </c>
      <c r="F660" s="24" t="s">
        <v>421</v>
      </c>
      <c r="G660" s="71"/>
      <c r="H660" s="21">
        <v>0</v>
      </c>
      <c r="I660" s="21">
        <f t="shared" ca="1" si="55"/>
        <v>2026</v>
      </c>
      <c r="J660" s="21">
        <v>3</v>
      </c>
      <c r="K660" s="25" t="str">
        <f t="shared" ca="1" si="51"/>
        <v>Activo</v>
      </c>
      <c r="O660" s="73"/>
      <c r="P660" s="26" t="s">
        <v>439</v>
      </c>
      <c r="Q660" s="34">
        <v>180</v>
      </c>
      <c r="S660" s="29">
        <v>46198</v>
      </c>
      <c r="T660" s="28">
        <f t="shared" si="52"/>
        <v>46378</v>
      </c>
      <c r="U660" s="25">
        <f t="shared" ca="1" si="53"/>
        <v>117</v>
      </c>
      <c r="V660" s="25" t="str">
        <f t="shared" ca="1" si="54"/>
        <v>AL DÍA</v>
      </c>
      <c r="W660" s="25" t="s">
        <v>24</v>
      </c>
      <c r="X660" s="25" t="s">
        <v>271</v>
      </c>
      <c r="Y660" s="25">
        <v>2</v>
      </c>
    </row>
    <row r="661" spans="1:25" ht="14.25" hidden="1" customHeight="1" x14ac:dyDescent="0.15">
      <c r="A661" s="24" t="s">
        <v>296</v>
      </c>
      <c r="B661" s="24" t="s">
        <v>188</v>
      </c>
      <c r="C661" s="25">
        <v>614</v>
      </c>
      <c r="D661" s="24" t="s">
        <v>16</v>
      </c>
      <c r="E661" s="24" t="s">
        <v>450</v>
      </c>
      <c r="F661" s="24" t="s">
        <v>421</v>
      </c>
      <c r="G661" s="71"/>
      <c r="H661" s="21">
        <v>0</v>
      </c>
      <c r="I661" s="21">
        <f t="shared" ca="1" si="55"/>
        <v>2026</v>
      </c>
      <c r="J661" s="21">
        <v>3</v>
      </c>
      <c r="K661" s="25" t="str">
        <f t="shared" ca="1" si="51"/>
        <v>Activo</v>
      </c>
      <c r="O661" s="72"/>
      <c r="P661" s="26" t="s">
        <v>439</v>
      </c>
      <c r="Q661" s="34">
        <v>180</v>
      </c>
      <c r="S661" s="29">
        <v>46198</v>
      </c>
      <c r="T661" s="28">
        <f t="shared" si="52"/>
        <v>46378</v>
      </c>
      <c r="U661" s="25">
        <f t="shared" ca="1" si="53"/>
        <v>117</v>
      </c>
      <c r="V661" s="25" t="str">
        <f t="shared" ca="1" si="54"/>
        <v>AL DÍA</v>
      </c>
      <c r="W661" s="25" t="s">
        <v>24</v>
      </c>
      <c r="X661" s="25" t="s">
        <v>271</v>
      </c>
      <c r="Y661" s="25">
        <v>2</v>
      </c>
    </row>
    <row r="662" spans="1:25" ht="14.25" hidden="1" customHeight="1" x14ac:dyDescent="0.15">
      <c r="A662" s="24" t="s">
        <v>296</v>
      </c>
      <c r="B662" s="24" t="s">
        <v>188</v>
      </c>
      <c r="C662" s="25">
        <v>615</v>
      </c>
      <c r="D662" s="24" t="s">
        <v>16</v>
      </c>
      <c r="E662" s="24" t="s">
        <v>450</v>
      </c>
      <c r="F662" s="24" t="s">
        <v>421</v>
      </c>
      <c r="G662" s="71"/>
      <c r="H662" s="21">
        <v>0</v>
      </c>
      <c r="I662" s="21">
        <f t="shared" ca="1" si="55"/>
        <v>2026</v>
      </c>
      <c r="J662" s="21">
        <v>3</v>
      </c>
      <c r="K662" s="25" t="str">
        <f t="shared" ca="1" si="51"/>
        <v>Activo</v>
      </c>
      <c r="O662" s="72"/>
      <c r="P662" s="26" t="s">
        <v>439</v>
      </c>
      <c r="Q662" s="34">
        <v>180</v>
      </c>
      <c r="S662" s="29">
        <v>46198</v>
      </c>
      <c r="T662" s="28">
        <f t="shared" si="52"/>
        <v>46378</v>
      </c>
      <c r="U662" s="25">
        <f t="shared" ca="1" si="53"/>
        <v>117</v>
      </c>
      <c r="V662" s="25" t="str">
        <f t="shared" ca="1" si="54"/>
        <v>AL DÍA</v>
      </c>
      <c r="W662" s="25" t="s">
        <v>24</v>
      </c>
      <c r="X662" s="25" t="s">
        <v>271</v>
      </c>
      <c r="Y662" s="25">
        <v>2</v>
      </c>
    </row>
    <row r="663" spans="1:25" ht="14.25" hidden="1" customHeight="1" x14ac:dyDescent="0.15">
      <c r="A663" s="24" t="s">
        <v>296</v>
      </c>
      <c r="B663" s="24" t="s">
        <v>188</v>
      </c>
      <c r="C663" s="25">
        <v>618</v>
      </c>
      <c r="D663" s="24" t="s">
        <v>16</v>
      </c>
      <c r="E663" s="24" t="s">
        <v>450</v>
      </c>
      <c r="F663" s="24" t="s">
        <v>421</v>
      </c>
      <c r="G663" s="71"/>
      <c r="H663" s="21">
        <v>0</v>
      </c>
      <c r="I663" s="21">
        <f t="shared" ca="1" si="55"/>
        <v>2026</v>
      </c>
      <c r="J663" s="21">
        <v>3</v>
      </c>
      <c r="K663" s="25" t="str">
        <f t="shared" ca="1" si="51"/>
        <v>Activo</v>
      </c>
      <c r="O663" s="72"/>
      <c r="P663" s="26" t="s">
        <v>439</v>
      </c>
      <c r="Q663" s="34">
        <v>180</v>
      </c>
      <c r="S663" s="29">
        <v>46198</v>
      </c>
      <c r="T663" s="28">
        <f t="shared" si="52"/>
        <v>46378</v>
      </c>
      <c r="U663" s="25">
        <f t="shared" ca="1" si="53"/>
        <v>117</v>
      </c>
      <c r="V663" s="25" t="str">
        <f t="shared" ca="1" si="54"/>
        <v>AL DÍA</v>
      </c>
      <c r="W663" s="25" t="s">
        <v>24</v>
      </c>
      <c r="X663" s="25" t="s">
        <v>271</v>
      </c>
      <c r="Y663" s="25">
        <v>2</v>
      </c>
    </row>
    <row r="664" spans="1:25" ht="14.25" hidden="1" customHeight="1" x14ac:dyDescent="0.15">
      <c r="A664" s="24" t="s">
        <v>296</v>
      </c>
      <c r="B664" s="24" t="s">
        <v>188</v>
      </c>
      <c r="C664" s="25">
        <v>623</v>
      </c>
      <c r="D664" s="24" t="s">
        <v>16</v>
      </c>
      <c r="E664" s="24" t="s">
        <v>450</v>
      </c>
      <c r="F664" s="24" t="s">
        <v>421</v>
      </c>
      <c r="G664" s="71"/>
      <c r="H664" s="21">
        <v>0</v>
      </c>
      <c r="I664" s="21">
        <f t="shared" ca="1" si="55"/>
        <v>2026</v>
      </c>
      <c r="J664" s="21">
        <v>3</v>
      </c>
      <c r="K664" s="25" t="str">
        <f t="shared" ca="1" si="51"/>
        <v>Activo</v>
      </c>
      <c r="O664" s="72"/>
      <c r="P664" s="26" t="s">
        <v>439</v>
      </c>
      <c r="Q664" s="34">
        <v>180</v>
      </c>
      <c r="S664" s="29">
        <v>46198</v>
      </c>
      <c r="T664" s="28">
        <f t="shared" si="52"/>
        <v>46378</v>
      </c>
      <c r="U664" s="25">
        <f t="shared" ca="1" si="53"/>
        <v>117</v>
      </c>
      <c r="V664" s="25" t="str">
        <f t="shared" ca="1" si="54"/>
        <v>AL DÍA</v>
      </c>
      <c r="W664" s="25" t="s">
        <v>24</v>
      </c>
      <c r="X664" s="25" t="s">
        <v>271</v>
      </c>
      <c r="Y664" s="25">
        <v>2</v>
      </c>
    </row>
    <row r="665" spans="1:25" ht="14.25" hidden="1" customHeight="1" x14ac:dyDescent="0.15">
      <c r="A665" s="24" t="s">
        <v>296</v>
      </c>
      <c r="B665" s="24" t="s">
        <v>188</v>
      </c>
      <c r="C665" s="25">
        <v>624</v>
      </c>
      <c r="D665" s="24" t="s">
        <v>16</v>
      </c>
      <c r="E665" s="24" t="s">
        <v>450</v>
      </c>
      <c r="F665" s="24" t="s">
        <v>421</v>
      </c>
      <c r="G665" s="71"/>
      <c r="H665" s="21">
        <v>0</v>
      </c>
      <c r="I665" s="21">
        <f t="shared" ca="1" si="55"/>
        <v>2026</v>
      </c>
      <c r="J665" s="21">
        <v>3</v>
      </c>
      <c r="K665" s="25" t="str">
        <f t="shared" ca="1" si="51"/>
        <v>Activo</v>
      </c>
      <c r="N665" s="26"/>
      <c r="O665" s="72"/>
      <c r="P665" s="26" t="s">
        <v>439</v>
      </c>
      <c r="Q665" s="34">
        <v>180</v>
      </c>
      <c r="S665" s="29">
        <v>46198</v>
      </c>
      <c r="T665" s="28">
        <f t="shared" si="52"/>
        <v>46378</v>
      </c>
      <c r="U665" s="25">
        <f t="shared" ca="1" si="53"/>
        <v>117</v>
      </c>
      <c r="V665" s="25" t="str">
        <f t="shared" ca="1" si="54"/>
        <v>AL DÍA</v>
      </c>
      <c r="W665" s="25" t="s">
        <v>24</v>
      </c>
      <c r="X665" s="25" t="s">
        <v>271</v>
      </c>
      <c r="Y665" s="25">
        <v>2</v>
      </c>
    </row>
    <row r="666" spans="1:25" ht="14.25" hidden="1" customHeight="1" x14ac:dyDescent="0.15">
      <c r="A666" s="24" t="s">
        <v>296</v>
      </c>
      <c r="B666" s="24" t="s">
        <v>188</v>
      </c>
      <c r="C666" s="25">
        <v>625</v>
      </c>
      <c r="D666" s="24" t="s">
        <v>16</v>
      </c>
      <c r="E666" s="24" t="s">
        <v>450</v>
      </c>
      <c r="F666" s="24" t="s">
        <v>421</v>
      </c>
      <c r="G666" s="71"/>
      <c r="H666" s="21">
        <v>0</v>
      </c>
      <c r="I666" s="21">
        <f t="shared" ca="1" si="55"/>
        <v>2026</v>
      </c>
      <c r="J666" s="21">
        <v>3</v>
      </c>
      <c r="K666" s="25" t="str">
        <f t="shared" ca="1" si="51"/>
        <v>Activo</v>
      </c>
      <c r="M666" s="26"/>
      <c r="N666" s="26"/>
      <c r="O666" s="72"/>
      <c r="P666" s="26" t="s">
        <v>439</v>
      </c>
      <c r="Q666" s="34">
        <v>180</v>
      </c>
      <c r="S666" s="29">
        <v>46198</v>
      </c>
      <c r="T666" s="28">
        <f t="shared" si="52"/>
        <v>46378</v>
      </c>
      <c r="U666" s="25">
        <f t="shared" ca="1" si="53"/>
        <v>117</v>
      </c>
      <c r="V666" s="25" t="str">
        <f t="shared" ca="1" si="54"/>
        <v>AL DÍA</v>
      </c>
      <c r="W666" s="25" t="s">
        <v>24</v>
      </c>
      <c r="X666" s="25" t="s">
        <v>271</v>
      </c>
      <c r="Y666" s="25">
        <v>2</v>
      </c>
    </row>
    <row r="667" spans="1:25" ht="14.25" hidden="1" customHeight="1" x14ac:dyDescent="0.15">
      <c r="A667" s="24" t="s">
        <v>296</v>
      </c>
      <c r="B667" s="24" t="s">
        <v>185</v>
      </c>
      <c r="C667" s="25">
        <v>501</v>
      </c>
      <c r="D667" s="24" t="s">
        <v>16</v>
      </c>
      <c r="E667" s="24" t="s">
        <v>450</v>
      </c>
      <c r="F667" s="24" t="s">
        <v>422</v>
      </c>
      <c r="G667" s="71"/>
      <c r="H667" s="21">
        <v>0</v>
      </c>
      <c r="I667" s="21">
        <f t="shared" ca="1" si="55"/>
        <v>2026</v>
      </c>
      <c r="J667" s="21">
        <v>3</v>
      </c>
      <c r="K667" s="25" t="str">
        <f t="shared" ca="1" si="51"/>
        <v>Activo</v>
      </c>
      <c r="O667" s="72">
        <v>1</v>
      </c>
      <c r="P667" s="26" t="s">
        <v>439</v>
      </c>
      <c r="Q667" s="34">
        <v>180</v>
      </c>
      <c r="S667" s="29">
        <v>46198</v>
      </c>
      <c r="T667" s="28">
        <f t="shared" si="52"/>
        <v>46378</v>
      </c>
      <c r="U667" s="25">
        <f t="shared" ca="1" si="53"/>
        <v>117</v>
      </c>
      <c r="V667" s="25" t="str">
        <f t="shared" ca="1" si="54"/>
        <v>AL DÍA</v>
      </c>
      <c r="W667" s="25" t="s">
        <v>24</v>
      </c>
      <c r="X667" s="25" t="s">
        <v>271</v>
      </c>
      <c r="Y667" s="25">
        <v>2</v>
      </c>
    </row>
    <row r="668" spans="1:25" ht="14.25" hidden="1" customHeight="1" x14ac:dyDescent="0.15">
      <c r="A668" s="24" t="s">
        <v>296</v>
      </c>
      <c r="B668" s="24" t="s">
        <v>185</v>
      </c>
      <c r="C668" s="25">
        <v>502</v>
      </c>
      <c r="D668" s="24" t="s">
        <v>16</v>
      </c>
      <c r="E668" s="24" t="s">
        <v>450</v>
      </c>
      <c r="F668" s="24" t="s">
        <v>422</v>
      </c>
      <c r="G668" s="71"/>
      <c r="H668" s="21">
        <v>0</v>
      </c>
      <c r="I668" s="21">
        <f t="shared" ca="1" si="55"/>
        <v>2026</v>
      </c>
      <c r="J668" s="21">
        <v>3</v>
      </c>
      <c r="K668" s="25" t="str">
        <f t="shared" ca="1" si="51"/>
        <v>Activo</v>
      </c>
      <c r="O668" s="73">
        <v>1</v>
      </c>
      <c r="P668" s="26" t="s">
        <v>439</v>
      </c>
      <c r="Q668" s="34">
        <v>180</v>
      </c>
      <c r="S668" s="29">
        <v>46198</v>
      </c>
      <c r="T668" s="28">
        <f t="shared" si="52"/>
        <v>46378</v>
      </c>
      <c r="U668" s="25">
        <f t="shared" ca="1" si="53"/>
        <v>117</v>
      </c>
      <c r="V668" s="25" t="str">
        <f t="shared" ca="1" si="54"/>
        <v>AL DÍA</v>
      </c>
      <c r="W668" s="25" t="s">
        <v>24</v>
      </c>
      <c r="X668" s="25" t="s">
        <v>271</v>
      </c>
      <c r="Y668" s="25">
        <v>2</v>
      </c>
    </row>
    <row r="669" spans="1:25" ht="14.25" hidden="1" customHeight="1" x14ac:dyDescent="0.15">
      <c r="A669" s="24" t="s">
        <v>296</v>
      </c>
      <c r="B669" s="24" t="s">
        <v>185</v>
      </c>
      <c r="C669" s="25">
        <v>503</v>
      </c>
      <c r="D669" s="24" t="s">
        <v>16</v>
      </c>
      <c r="E669" s="24" t="s">
        <v>450</v>
      </c>
      <c r="F669" s="24" t="s">
        <v>422</v>
      </c>
      <c r="G669" s="71"/>
      <c r="H669" s="21">
        <v>0</v>
      </c>
      <c r="I669" s="21">
        <f t="shared" ca="1" si="55"/>
        <v>2026</v>
      </c>
      <c r="J669" s="21">
        <v>3</v>
      </c>
      <c r="K669" s="25" t="str">
        <f t="shared" ca="1" si="51"/>
        <v>Activo</v>
      </c>
      <c r="O669" s="73">
        <v>1</v>
      </c>
      <c r="P669" s="26" t="s">
        <v>439</v>
      </c>
      <c r="Q669" s="34">
        <v>180</v>
      </c>
      <c r="S669" s="29">
        <v>46198</v>
      </c>
      <c r="T669" s="28">
        <f t="shared" si="52"/>
        <v>46378</v>
      </c>
      <c r="U669" s="25">
        <f t="shared" ca="1" si="53"/>
        <v>117</v>
      </c>
      <c r="V669" s="25" t="str">
        <f t="shared" ca="1" si="54"/>
        <v>AL DÍA</v>
      </c>
      <c r="W669" s="25" t="s">
        <v>24</v>
      </c>
      <c r="X669" s="25" t="s">
        <v>271</v>
      </c>
      <c r="Y669" s="25">
        <v>2</v>
      </c>
    </row>
    <row r="670" spans="1:25" ht="14.25" hidden="1" customHeight="1" x14ac:dyDescent="0.15">
      <c r="A670" s="24" t="s">
        <v>296</v>
      </c>
      <c r="B670" s="24" t="s">
        <v>185</v>
      </c>
      <c r="C670" s="25">
        <v>504</v>
      </c>
      <c r="D670" s="24" t="s">
        <v>16</v>
      </c>
      <c r="E670" s="24" t="s">
        <v>450</v>
      </c>
      <c r="F670" s="24" t="s">
        <v>422</v>
      </c>
      <c r="G670" s="71"/>
      <c r="H670" s="21">
        <v>0</v>
      </c>
      <c r="I670" s="21">
        <f t="shared" ca="1" si="55"/>
        <v>2026</v>
      </c>
      <c r="J670" s="21">
        <v>3</v>
      </c>
      <c r="K670" s="25" t="str">
        <f t="shared" ca="1" si="51"/>
        <v>Activo</v>
      </c>
      <c r="O670" s="72">
        <v>1</v>
      </c>
      <c r="P670" s="26" t="s">
        <v>439</v>
      </c>
      <c r="Q670" s="34">
        <v>180</v>
      </c>
      <c r="S670" s="29">
        <v>46198</v>
      </c>
      <c r="T670" s="28">
        <f t="shared" si="52"/>
        <v>46378</v>
      </c>
      <c r="U670" s="25">
        <f t="shared" ca="1" si="53"/>
        <v>117</v>
      </c>
      <c r="V670" s="25" t="str">
        <f t="shared" ca="1" si="54"/>
        <v>AL DÍA</v>
      </c>
      <c r="W670" s="25" t="s">
        <v>24</v>
      </c>
      <c r="X670" s="25" t="s">
        <v>271</v>
      </c>
      <c r="Y670" s="25">
        <v>2</v>
      </c>
    </row>
    <row r="671" spans="1:25" ht="14.25" hidden="1" customHeight="1" x14ac:dyDescent="0.15">
      <c r="A671" s="24" t="s">
        <v>296</v>
      </c>
      <c r="B671" s="24" t="s">
        <v>185</v>
      </c>
      <c r="C671" s="25">
        <v>506</v>
      </c>
      <c r="D671" s="24" t="s">
        <v>16</v>
      </c>
      <c r="E671" s="24" t="s">
        <v>450</v>
      </c>
      <c r="F671" s="24" t="s">
        <v>422</v>
      </c>
      <c r="G671" s="71"/>
      <c r="H671" s="21">
        <v>0</v>
      </c>
      <c r="I671" s="21">
        <f t="shared" ca="1" si="55"/>
        <v>2026</v>
      </c>
      <c r="J671" s="21">
        <v>3</v>
      </c>
      <c r="K671" s="25" t="str">
        <f t="shared" ca="1" si="51"/>
        <v>Activo</v>
      </c>
      <c r="O671" s="72">
        <v>1</v>
      </c>
      <c r="P671" s="26" t="s">
        <v>439</v>
      </c>
      <c r="Q671" s="34">
        <v>180</v>
      </c>
      <c r="S671" s="29">
        <v>46198</v>
      </c>
      <c r="T671" s="28">
        <f t="shared" si="52"/>
        <v>46378</v>
      </c>
      <c r="U671" s="25">
        <f t="shared" ca="1" si="53"/>
        <v>117</v>
      </c>
      <c r="V671" s="25" t="str">
        <f t="shared" ca="1" si="54"/>
        <v>AL DÍA</v>
      </c>
      <c r="W671" s="25" t="s">
        <v>24</v>
      </c>
      <c r="X671" s="25" t="s">
        <v>271</v>
      </c>
      <c r="Y671" s="25">
        <v>2</v>
      </c>
    </row>
    <row r="672" spans="1:25" ht="14.25" hidden="1" customHeight="1" x14ac:dyDescent="0.15">
      <c r="A672" s="24" t="s">
        <v>296</v>
      </c>
      <c r="B672" s="24" t="s">
        <v>185</v>
      </c>
      <c r="C672" s="25">
        <v>507</v>
      </c>
      <c r="D672" s="24" t="s">
        <v>16</v>
      </c>
      <c r="E672" s="24" t="s">
        <v>450</v>
      </c>
      <c r="F672" s="24" t="s">
        <v>422</v>
      </c>
      <c r="G672" s="71"/>
      <c r="H672" s="21">
        <v>0</v>
      </c>
      <c r="I672" s="21">
        <f t="shared" ca="1" si="55"/>
        <v>2026</v>
      </c>
      <c r="J672" s="21">
        <v>3</v>
      </c>
      <c r="K672" s="25" t="str">
        <f t="shared" ca="1" si="51"/>
        <v>Activo</v>
      </c>
      <c r="O672" s="72">
        <v>1</v>
      </c>
      <c r="P672" s="26" t="s">
        <v>439</v>
      </c>
      <c r="Q672" s="34">
        <v>180</v>
      </c>
      <c r="S672" s="29">
        <v>46198</v>
      </c>
      <c r="T672" s="28">
        <f t="shared" si="52"/>
        <v>46378</v>
      </c>
      <c r="U672" s="25">
        <f t="shared" ca="1" si="53"/>
        <v>117</v>
      </c>
      <c r="V672" s="25" t="str">
        <f t="shared" ca="1" si="54"/>
        <v>AL DÍA</v>
      </c>
      <c r="W672" s="25" t="s">
        <v>24</v>
      </c>
      <c r="X672" s="25" t="s">
        <v>271</v>
      </c>
      <c r="Y672" s="25">
        <v>2</v>
      </c>
    </row>
    <row r="673" spans="1:25" ht="14.25" hidden="1" customHeight="1" x14ac:dyDescent="0.15">
      <c r="A673" s="24" t="s">
        <v>296</v>
      </c>
      <c r="B673" s="24" t="s">
        <v>185</v>
      </c>
      <c r="C673" s="25">
        <v>508</v>
      </c>
      <c r="D673" s="24" t="s">
        <v>16</v>
      </c>
      <c r="E673" s="24" t="s">
        <v>450</v>
      </c>
      <c r="F673" s="24" t="s">
        <v>422</v>
      </c>
      <c r="G673" s="71"/>
      <c r="H673" s="21">
        <v>0</v>
      </c>
      <c r="I673" s="21">
        <f t="shared" ca="1" si="55"/>
        <v>2026</v>
      </c>
      <c r="J673" s="21">
        <v>3</v>
      </c>
      <c r="K673" s="25" t="str">
        <f t="shared" ca="1" si="51"/>
        <v>Activo</v>
      </c>
      <c r="O673" s="72">
        <v>1</v>
      </c>
      <c r="P673" s="26" t="s">
        <v>439</v>
      </c>
      <c r="Q673" s="34">
        <v>180</v>
      </c>
      <c r="S673" s="29">
        <v>46198</v>
      </c>
      <c r="T673" s="28">
        <f t="shared" si="52"/>
        <v>46378</v>
      </c>
      <c r="U673" s="25">
        <f t="shared" ca="1" si="53"/>
        <v>117</v>
      </c>
      <c r="V673" s="25" t="str">
        <f t="shared" ca="1" si="54"/>
        <v>AL DÍA</v>
      </c>
      <c r="W673" s="25" t="s">
        <v>24</v>
      </c>
      <c r="X673" s="25" t="s">
        <v>271</v>
      </c>
      <c r="Y673" s="25">
        <v>2</v>
      </c>
    </row>
    <row r="674" spans="1:25" ht="14.25" hidden="1" customHeight="1" x14ac:dyDescent="0.15">
      <c r="A674" s="24" t="s">
        <v>296</v>
      </c>
      <c r="B674" s="24" t="s">
        <v>185</v>
      </c>
      <c r="C674" s="25">
        <v>509</v>
      </c>
      <c r="D674" s="24" t="s">
        <v>16</v>
      </c>
      <c r="E674" s="24" t="s">
        <v>450</v>
      </c>
      <c r="F674" s="24" t="s">
        <v>422</v>
      </c>
      <c r="G674" s="71"/>
      <c r="H674" s="21">
        <v>0</v>
      </c>
      <c r="I674" s="21">
        <f t="shared" ca="1" si="55"/>
        <v>2026</v>
      </c>
      <c r="J674" s="21">
        <v>3</v>
      </c>
      <c r="K674" s="25" t="str">
        <f t="shared" ca="1" si="51"/>
        <v>Activo</v>
      </c>
      <c r="O674" s="72">
        <v>1</v>
      </c>
      <c r="P674" s="26" t="s">
        <v>439</v>
      </c>
      <c r="Q674" s="34">
        <v>180</v>
      </c>
      <c r="S674" s="29">
        <v>46198</v>
      </c>
      <c r="T674" s="28">
        <f t="shared" si="52"/>
        <v>46378</v>
      </c>
      <c r="U674" s="25">
        <f t="shared" ca="1" si="53"/>
        <v>117</v>
      </c>
      <c r="V674" s="25" t="str">
        <f t="shared" ca="1" si="54"/>
        <v>AL DÍA</v>
      </c>
      <c r="W674" s="25" t="s">
        <v>24</v>
      </c>
      <c r="X674" s="25" t="s">
        <v>271</v>
      </c>
      <c r="Y674" s="25">
        <v>2</v>
      </c>
    </row>
    <row r="675" spans="1:25" ht="14.25" hidden="1" customHeight="1" x14ac:dyDescent="0.15">
      <c r="A675" s="24" t="s">
        <v>296</v>
      </c>
      <c r="B675" s="24" t="s">
        <v>185</v>
      </c>
      <c r="C675" s="25">
        <v>510</v>
      </c>
      <c r="D675" s="24" t="s">
        <v>16</v>
      </c>
      <c r="E675" s="24" t="s">
        <v>450</v>
      </c>
      <c r="F675" s="24" t="s">
        <v>422</v>
      </c>
      <c r="G675" s="71"/>
      <c r="H675" s="21">
        <v>0</v>
      </c>
      <c r="I675" s="21">
        <f t="shared" ca="1" si="55"/>
        <v>2026</v>
      </c>
      <c r="J675" s="21">
        <v>3</v>
      </c>
      <c r="K675" s="25" t="str">
        <f t="shared" ca="1" si="51"/>
        <v>Activo</v>
      </c>
      <c r="O675" s="72">
        <v>1</v>
      </c>
      <c r="P675" s="26" t="s">
        <v>439</v>
      </c>
      <c r="Q675" s="34">
        <v>180</v>
      </c>
      <c r="S675" s="29">
        <v>46198</v>
      </c>
      <c r="T675" s="28">
        <f t="shared" si="52"/>
        <v>46378</v>
      </c>
      <c r="U675" s="25">
        <f t="shared" ca="1" si="53"/>
        <v>117</v>
      </c>
      <c r="V675" s="25" t="str">
        <f t="shared" ca="1" si="54"/>
        <v>AL DÍA</v>
      </c>
      <c r="W675" s="25" t="s">
        <v>24</v>
      </c>
      <c r="X675" s="25" t="s">
        <v>271</v>
      </c>
      <c r="Y675" s="25">
        <v>2</v>
      </c>
    </row>
    <row r="676" spans="1:25" ht="14.25" hidden="1" customHeight="1" x14ac:dyDescent="0.15">
      <c r="A676" s="24" t="s">
        <v>296</v>
      </c>
      <c r="B676" s="24" t="s">
        <v>185</v>
      </c>
      <c r="C676" s="25">
        <v>511</v>
      </c>
      <c r="D676" s="24" t="s">
        <v>16</v>
      </c>
      <c r="E676" s="24" t="s">
        <v>450</v>
      </c>
      <c r="F676" s="24" t="s">
        <v>422</v>
      </c>
      <c r="G676" s="71"/>
      <c r="H676" s="21">
        <v>0</v>
      </c>
      <c r="I676" s="21">
        <f t="shared" ca="1" si="55"/>
        <v>2026</v>
      </c>
      <c r="J676" s="21">
        <v>3</v>
      </c>
      <c r="K676" s="25" t="str">
        <f t="shared" ca="1" si="51"/>
        <v>Activo</v>
      </c>
      <c r="M676" s="26"/>
      <c r="N676" s="26"/>
      <c r="O676" s="72">
        <v>1</v>
      </c>
      <c r="P676" s="26" t="s">
        <v>439</v>
      </c>
      <c r="Q676" s="34">
        <v>180</v>
      </c>
      <c r="S676" s="29">
        <v>46198</v>
      </c>
      <c r="T676" s="28">
        <f t="shared" si="52"/>
        <v>46378</v>
      </c>
      <c r="U676" s="25">
        <f t="shared" ca="1" si="53"/>
        <v>117</v>
      </c>
      <c r="V676" s="25" t="str">
        <f t="shared" ca="1" si="54"/>
        <v>AL DÍA</v>
      </c>
      <c r="W676" s="25" t="s">
        <v>24</v>
      </c>
      <c r="X676" s="25" t="s">
        <v>271</v>
      </c>
      <c r="Y676" s="25">
        <v>2</v>
      </c>
    </row>
    <row r="677" spans="1:25" ht="14.25" hidden="1" customHeight="1" x14ac:dyDescent="0.15">
      <c r="A677" s="24" t="s">
        <v>296</v>
      </c>
      <c r="B677" s="24" t="s">
        <v>185</v>
      </c>
      <c r="C677" s="25">
        <v>512</v>
      </c>
      <c r="D677" s="24" t="s">
        <v>16</v>
      </c>
      <c r="E677" s="24" t="s">
        <v>450</v>
      </c>
      <c r="F677" s="24" t="s">
        <v>422</v>
      </c>
      <c r="G677" s="71"/>
      <c r="H677" s="21">
        <v>0</v>
      </c>
      <c r="I677" s="21">
        <f t="shared" ca="1" si="55"/>
        <v>2026</v>
      </c>
      <c r="J677" s="21">
        <v>3</v>
      </c>
      <c r="K677" s="25" t="str">
        <f t="shared" ca="1" si="51"/>
        <v>Activo</v>
      </c>
      <c r="L677" s="26"/>
      <c r="M677" s="26"/>
      <c r="N677" s="26"/>
      <c r="O677" s="72">
        <v>1</v>
      </c>
      <c r="P677" s="26" t="s">
        <v>439</v>
      </c>
      <c r="Q677" s="34">
        <v>180</v>
      </c>
      <c r="S677" s="29">
        <v>46198</v>
      </c>
      <c r="T677" s="28">
        <f t="shared" si="52"/>
        <v>46378</v>
      </c>
      <c r="U677" s="25">
        <f t="shared" ca="1" si="53"/>
        <v>117</v>
      </c>
      <c r="V677" s="25" t="str">
        <f t="shared" ca="1" si="54"/>
        <v>AL DÍA</v>
      </c>
      <c r="W677" s="25" t="s">
        <v>24</v>
      </c>
      <c r="X677" s="25" t="s">
        <v>271</v>
      </c>
      <c r="Y677" s="25">
        <v>2</v>
      </c>
    </row>
    <row r="678" spans="1:25" ht="14.25" hidden="1" customHeight="1" x14ac:dyDescent="0.15">
      <c r="A678" s="24" t="s">
        <v>296</v>
      </c>
      <c r="B678" s="24" t="s">
        <v>185</v>
      </c>
      <c r="C678" s="25">
        <v>513</v>
      </c>
      <c r="D678" s="24" t="s">
        <v>16</v>
      </c>
      <c r="E678" s="24" t="s">
        <v>450</v>
      </c>
      <c r="F678" s="24" t="s">
        <v>422</v>
      </c>
      <c r="G678" s="71"/>
      <c r="H678" s="21">
        <v>0</v>
      </c>
      <c r="I678" s="21">
        <f t="shared" ca="1" si="55"/>
        <v>2026</v>
      </c>
      <c r="J678" s="21">
        <v>3</v>
      </c>
      <c r="K678" s="25" t="str">
        <f t="shared" ca="1" si="51"/>
        <v>Activo</v>
      </c>
      <c r="O678" s="72">
        <v>1</v>
      </c>
      <c r="P678" s="26" t="s">
        <v>439</v>
      </c>
      <c r="Q678" s="34">
        <v>180</v>
      </c>
      <c r="S678" s="29">
        <v>46198</v>
      </c>
      <c r="T678" s="28">
        <f t="shared" si="52"/>
        <v>46378</v>
      </c>
      <c r="U678" s="25">
        <f t="shared" ca="1" si="53"/>
        <v>117</v>
      </c>
      <c r="V678" s="25" t="str">
        <f t="shared" ca="1" si="54"/>
        <v>AL DÍA</v>
      </c>
      <c r="W678" s="25" t="s">
        <v>24</v>
      </c>
      <c r="X678" s="25" t="s">
        <v>271</v>
      </c>
      <c r="Y678" s="25">
        <v>2</v>
      </c>
    </row>
    <row r="679" spans="1:25" ht="14.25" hidden="1" customHeight="1" x14ac:dyDescent="0.15">
      <c r="A679" s="24" t="s">
        <v>296</v>
      </c>
      <c r="B679" s="24" t="s">
        <v>185</v>
      </c>
      <c r="C679" s="25">
        <v>515</v>
      </c>
      <c r="D679" s="24" t="s">
        <v>16</v>
      </c>
      <c r="E679" s="24" t="s">
        <v>450</v>
      </c>
      <c r="F679" s="24" t="s">
        <v>422</v>
      </c>
      <c r="G679" s="71"/>
      <c r="H679" s="21">
        <v>0</v>
      </c>
      <c r="I679" s="21">
        <f t="shared" ca="1" si="55"/>
        <v>2026</v>
      </c>
      <c r="J679" s="21">
        <v>3</v>
      </c>
      <c r="K679" s="25" t="str">
        <f t="shared" ca="1" si="51"/>
        <v>Activo</v>
      </c>
      <c r="O679" s="73">
        <v>1</v>
      </c>
      <c r="P679" s="26" t="s">
        <v>439</v>
      </c>
      <c r="Q679" s="34">
        <v>180</v>
      </c>
      <c r="S679" s="29">
        <v>46198</v>
      </c>
      <c r="T679" s="28">
        <f t="shared" si="52"/>
        <v>46378</v>
      </c>
      <c r="U679" s="25">
        <f t="shared" ca="1" si="53"/>
        <v>117</v>
      </c>
      <c r="V679" s="25" t="str">
        <f t="shared" ca="1" si="54"/>
        <v>AL DÍA</v>
      </c>
      <c r="W679" s="25" t="s">
        <v>24</v>
      </c>
      <c r="X679" s="25" t="s">
        <v>271</v>
      </c>
      <c r="Y679" s="25">
        <v>2</v>
      </c>
    </row>
    <row r="680" spans="1:25" ht="14.25" hidden="1" customHeight="1" x14ac:dyDescent="0.15">
      <c r="A680" s="24" t="s">
        <v>296</v>
      </c>
      <c r="B680" s="24" t="s">
        <v>185</v>
      </c>
      <c r="C680" s="25">
        <v>516</v>
      </c>
      <c r="D680" s="24" t="s">
        <v>16</v>
      </c>
      <c r="E680" s="24" t="s">
        <v>450</v>
      </c>
      <c r="F680" s="24" t="s">
        <v>422</v>
      </c>
      <c r="G680" s="71"/>
      <c r="H680" s="21">
        <v>0</v>
      </c>
      <c r="I680" s="21">
        <f t="shared" ca="1" si="55"/>
        <v>2026</v>
      </c>
      <c r="J680" s="21">
        <v>3</v>
      </c>
      <c r="K680" s="25" t="str">
        <f t="shared" ca="1" si="51"/>
        <v>Activo</v>
      </c>
      <c r="O680" s="73">
        <v>1</v>
      </c>
      <c r="P680" s="26" t="s">
        <v>439</v>
      </c>
      <c r="Q680" s="34">
        <v>180</v>
      </c>
      <c r="S680" s="29">
        <v>46198</v>
      </c>
      <c r="T680" s="28">
        <f t="shared" si="52"/>
        <v>46378</v>
      </c>
      <c r="U680" s="25">
        <f t="shared" ca="1" si="53"/>
        <v>117</v>
      </c>
      <c r="V680" s="25" t="str">
        <f t="shared" ca="1" si="54"/>
        <v>AL DÍA</v>
      </c>
      <c r="W680" s="25" t="s">
        <v>24</v>
      </c>
      <c r="X680" s="25" t="s">
        <v>271</v>
      </c>
      <c r="Y680" s="25">
        <v>2</v>
      </c>
    </row>
    <row r="681" spans="1:25" ht="14.25" hidden="1" customHeight="1" x14ac:dyDescent="0.15">
      <c r="A681" s="24" t="s">
        <v>296</v>
      </c>
      <c r="B681" s="24" t="s">
        <v>185</v>
      </c>
      <c r="C681" s="25">
        <v>522</v>
      </c>
      <c r="D681" s="24" t="s">
        <v>16</v>
      </c>
      <c r="E681" s="24" t="s">
        <v>450</v>
      </c>
      <c r="F681" s="24" t="s">
        <v>422</v>
      </c>
      <c r="G681" s="71"/>
      <c r="H681" s="21">
        <v>0</v>
      </c>
      <c r="I681" s="21">
        <f t="shared" ca="1" si="55"/>
        <v>2026</v>
      </c>
      <c r="J681" s="21">
        <v>3</v>
      </c>
      <c r="K681" s="25" t="str">
        <f t="shared" ca="1" si="51"/>
        <v>Activo</v>
      </c>
      <c r="O681" s="72">
        <v>1</v>
      </c>
      <c r="P681" s="26" t="s">
        <v>439</v>
      </c>
      <c r="Q681" s="34">
        <v>180</v>
      </c>
      <c r="S681" s="29">
        <v>46198</v>
      </c>
      <c r="T681" s="28">
        <f t="shared" si="52"/>
        <v>46378</v>
      </c>
      <c r="U681" s="25">
        <f t="shared" ca="1" si="53"/>
        <v>117</v>
      </c>
      <c r="V681" s="25" t="str">
        <f t="shared" ca="1" si="54"/>
        <v>AL DÍA</v>
      </c>
      <c r="W681" s="25" t="s">
        <v>24</v>
      </c>
      <c r="X681" s="25" t="s">
        <v>271</v>
      </c>
      <c r="Y681" s="25">
        <v>2</v>
      </c>
    </row>
    <row r="682" spans="1:25" ht="14.25" hidden="1" customHeight="1" x14ac:dyDescent="0.15">
      <c r="A682" s="24" t="s">
        <v>296</v>
      </c>
      <c r="B682" s="24" t="s">
        <v>185</v>
      </c>
      <c r="C682" s="25">
        <v>523</v>
      </c>
      <c r="D682" s="24" t="s">
        <v>16</v>
      </c>
      <c r="E682" s="24" t="s">
        <v>450</v>
      </c>
      <c r="F682" s="24" t="s">
        <v>422</v>
      </c>
      <c r="G682" s="71"/>
      <c r="H682" s="21">
        <v>0</v>
      </c>
      <c r="I682" s="21">
        <f t="shared" ca="1" si="55"/>
        <v>2026</v>
      </c>
      <c r="J682" s="21">
        <v>3</v>
      </c>
      <c r="K682" s="25" t="str">
        <f t="shared" ca="1" si="51"/>
        <v>Activo</v>
      </c>
      <c r="O682" s="72">
        <v>1</v>
      </c>
      <c r="P682" s="26" t="s">
        <v>439</v>
      </c>
      <c r="Q682" s="34">
        <v>180</v>
      </c>
      <c r="S682" s="29">
        <v>46198</v>
      </c>
      <c r="T682" s="28">
        <f t="shared" si="52"/>
        <v>46378</v>
      </c>
      <c r="U682" s="25">
        <f t="shared" ca="1" si="53"/>
        <v>117</v>
      </c>
      <c r="V682" s="25" t="str">
        <f t="shared" ca="1" si="54"/>
        <v>AL DÍA</v>
      </c>
      <c r="W682" s="25" t="s">
        <v>24</v>
      </c>
      <c r="X682" s="25" t="s">
        <v>271</v>
      </c>
      <c r="Y682" s="25">
        <v>2</v>
      </c>
    </row>
    <row r="683" spans="1:25" ht="14.25" hidden="1" customHeight="1" x14ac:dyDescent="0.15">
      <c r="A683" s="24" t="s">
        <v>296</v>
      </c>
      <c r="B683" s="24" t="s">
        <v>185</v>
      </c>
      <c r="C683" s="25">
        <v>524</v>
      </c>
      <c r="D683" s="24" t="s">
        <v>16</v>
      </c>
      <c r="E683" s="24" t="s">
        <v>450</v>
      </c>
      <c r="F683" s="24" t="s">
        <v>422</v>
      </c>
      <c r="G683" s="71"/>
      <c r="H683" s="21">
        <v>0</v>
      </c>
      <c r="I683" s="21">
        <f t="shared" ca="1" si="55"/>
        <v>2026</v>
      </c>
      <c r="J683" s="21">
        <v>3</v>
      </c>
      <c r="K683" s="25" t="str">
        <f t="shared" ca="1" si="51"/>
        <v>Activo</v>
      </c>
      <c r="O683" s="72">
        <v>1</v>
      </c>
      <c r="P683" s="26" t="s">
        <v>439</v>
      </c>
      <c r="Q683" s="34">
        <v>180</v>
      </c>
      <c r="S683" s="29">
        <v>46198</v>
      </c>
      <c r="T683" s="28">
        <f t="shared" si="52"/>
        <v>46378</v>
      </c>
      <c r="U683" s="25">
        <f t="shared" ca="1" si="53"/>
        <v>117</v>
      </c>
      <c r="V683" s="25" t="str">
        <f t="shared" ca="1" si="54"/>
        <v>AL DÍA</v>
      </c>
      <c r="W683" s="25" t="s">
        <v>24</v>
      </c>
      <c r="X683" s="25" t="s">
        <v>271</v>
      </c>
      <c r="Y683" s="25">
        <v>2</v>
      </c>
    </row>
    <row r="684" spans="1:25" ht="14.25" hidden="1" customHeight="1" x14ac:dyDescent="0.15">
      <c r="A684" s="24" t="s">
        <v>296</v>
      </c>
      <c r="B684" s="24" t="s">
        <v>185</v>
      </c>
      <c r="C684" s="25">
        <v>525</v>
      </c>
      <c r="D684" s="24" t="s">
        <v>16</v>
      </c>
      <c r="E684" s="24" t="s">
        <v>450</v>
      </c>
      <c r="F684" s="24" t="s">
        <v>422</v>
      </c>
      <c r="G684" s="71"/>
      <c r="H684" s="21">
        <v>0</v>
      </c>
      <c r="I684" s="21">
        <f t="shared" ca="1" si="55"/>
        <v>2026</v>
      </c>
      <c r="J684" s="21">
        <v>3</v>
      </c>
      <c r="K684" s="25" t="str">
        <f t="shared" ca="1" si="51"/>
        <v>Activo</v>
      </c>
      <c r="O684" s="72">
        <v>1</v>
      </c>
      <c r="P684" s="26" t="s">
        <v>439</v>
      </c>
      <c r="Q684" s="34">
        <v>180</v>
      </c>
      <c r="S684" s="29">
        <v>46198</v>
      </c>
      <c r="T684" s="28">
        <f t="shared" si="52"/>
        <v>46378</v>
      </c>
      <c r="U684" s="25">
        <f t="shared" ca="1" si="53"/>
        <v>117</v>
      </c>
      <c r="V684" s="25" t="str">
        <f t="shared" ca="1" si="54"/>
        <v>AL DÍA</v>
      </c>
      <c r="W684" s="25" t="s">
        <v>24</v>
      </c>
      <c r="X684" s="25" t="s">
        <v>271</v>
      </c>
      <c r="Y684" s="25">
        <v>2</v>
      </c>
    </row>
    <row r="685" spans="1:25" ht="14.25" hidden="1" customHeight="1" x14ac:dyDescent="0.15">
      <c r="A685" s="24" t="s">
        <v>296</v>
      </c>
      <c r="B685" s="24" t="s">
        <v>188</v>
      </c>
      <c r="C685" s="26">
        <v>601</v>
      </c>
      <c r="D685" s="24" t="s">
        <v>16</v>
      </c>
      <c r="E685" s="24" t="s">
        <v>450</v>
      </c>
      <c r="F685" s="24" t="s">
        <v>422</v>
      </c>
      <c r="G685" s="71"/>
      <c r="H685" s="21">
        <v>0</v>
      </c>
      <c r="I685" s="21">
        <f t="shared" ca="1" si="55"/>
        <v>2026</v>
      </c>
      <c r="J685" s="21">
        <v>3</v>
      </c>
      <c r="K685" s="25" t="str">
        <f t="shared" ca="1" si="51"/>
        <v>Activo</v>
      </c>
      <c r="O685" s="72">
        <v>1</v>
      </c>
      <c r="P685" s="26" t="s">
        <v>439</v>
      </c>
      <c r="Q685" s="34">
        <v>180</v>
      </c>
      <c r="S685" s="29">
        <v>46198</v>
      </c>
      <c r="T685" s="28">
        <f t="shared" si="52"/>
        <v>46378</v>
      </c>
      <c r="U685" s="25">
        <f t="shared" ca="1" si="53"/>
        <v>117</v>
      </c>
      <c r="V685" s="25" t="str">
        <f t="shared" ca="1" si="54"/>
        <v>AL DÍA</v>
      </c>
      <c r="W685" s="25" t="s">
        <v>24</v>
      </c>
      <c r="X685" s="25" t="s">
        <v>271</v>
      </c>
      <c r="Y685" s="25">
        <v>2</v>
      </c>
    </row>
    <row r="686" spans="1:25" ht="14.25" hidden="1" customHeight="1" x14ac:dyDescent="0.15">
      <c r="A686" s="24" t="s">
        <v>296</v>
      </c>
      <c r="B686" s="24" t="s">
        <v>188</v>
      </c>
      <c r="C686" s="26">
        <v>602</v>
      </c>
      <c r="D686" s="24" t="s">
        <v>16</v>
      </c>
      <c r="E686" s="24" t="s">
        <v>450</v>
      </c>
      <c r="F686" s="24" t="s">
        <v>422</v>
      </c>
      <c r="G686" s="71"/>
      <c r="H686" s="21">
        <v>0</v>
      </c>
      <c r="I686" s="21">
        <f t="shared" ca="1" si="55"/>
        <v>2026</v>
      </c>
      <c r="J686" s="21">
        <v>3</v>
      </c>
      <c r="K686" s="25" t="str">
        <f t="shared" ca="1" si="51"/>
        <v>Activo</v>
      </c>
      <c r="O686" s="72">
        <v>1</v>
      </c>
      <c r="P686" s="26" t="s">
        <v>439</v>
      </c>
      <c r="Q686" s="34">
        <v>180</v>
      </c>
      <c r="S686" s="29">
        <v>46198</v>
      </c>
      <c r="T686" s="28">
        <f t="shared" si="52"/>
        <v>46378</v>
      </c>
      <c r="U686" s="25">
        <f t="shared" ca="1" si="53"/>
        <v>117</v>
      </c>
      <c r="V686" s="25" t="str">
        <f t="shared" ca="1" si="54"/>
        <v>AL DÍA</v>
      </c>
      <c r="W686" s="25" t="s">
        <v>24</v>
      </c>
      <c r="X686" s="25" t="s">
        <v>271</v>
      </c>
      <c r="Y686" s="25">
        <v>2</v>
      </c>
    </row>
    <row r="687" spans="1:25" ht="14.25" hidden="1" customHeight="1" x14ac:dyDescent="0.15">
      <c r="A687" s="24" t="s">
        <v>296</v>
      </c>
      <c r="B687" s="24" t="s">
        <v>188</v>
      </c>
      <c r="C687" s="26">
        <v>603</v>
      </c>
      <c r="D687" s="24" t="s">
        <v>16</v>
      </c>
      <c r="E687" s="24" t="s">
        <v>450</v>
      </c>
      <c r="F687" s="24" t="s">
        <v>422</v>
      </c>
      <c r="G687" s="71"/>
      <c r="H687" s="21">
        <v>0</v>
      </c>
      <c r="I687" s="21">
        <f t="shared" ca="1" si="55"/>
        <v>2026</v>
      </c>
      <c r="J687" s="21">
        <v>3</v>
      </c>
      <c r="K687" s="25" t="str">
        <f t="shared" ca="1" si="51"/>
        <v>Activo</v>
      </c>
      <c r="O687" s="72">
        <v>1</v>
      </c>
      <c r="P687" s="26" t="s">
        <v>439</v>
      </c>
      <c r="Q687" s="34">
        <v>180</v>
      </c>
      <c r="S687" s="29">
        <v>46198</v>
      </c>
      <c r="T687" s="28">
        <f t="shared" si="52"/>
        <v>46378</v>
      </c>
      <c r="U687" s="25">
        <f t="shared" ca="1" si="53"/>
        <v>117</v>
      </c>
      <c r="V687" s="25" t="str">
        <f t="shared" ca="1" si="54"/>
        <v>AL DÍA</v>
      </c>
      <c r="W687" s="25" t="s">
        <v>24</v>
      </c>
      <c r="X687" s="25" t="s">
        <v>271</v>
      </c>
      <c r="Y687" s="25">
        <v>2</v>
      </c>
    </row>
    <row r="688" spans="1:25" ht="14.25" hidden="1" customHeight="1" x14ac:dyDescent="0.15">
      <c r="A688" s="24" t="s">
        <v>296</v>
      </c>
      <c r="B688" s="24" t="s">
        <v>188</v>
      </c>
      <c r="C688" s="26">
        <v>604</v>
      </c>
      <c r="D688" s="24" t="s">
        <v>16</v>
      </c>
      <c r="E688" s="24" t="s">
        <v>450</v>
      </c>
      <c r="F688" s="24" t="s">
        <v>422</v>
      </c>
      <c r="G688" s="71"/>
      <c r="H688" s="21">
        <v>0</v>
      </c>
      <c r="I688" s="21">
        <f t="shared" ca="1" si="55"/>
        <v>2026</v>
      </c>
      <c r="J688" s="21">
        <v>3</v>
      </c>
      <c r="K688" s="25" t="str">
        <f t="shared" ca="1" si="51"/>
        <v>Activo</v>
      </c>
      <c r="O688" s="72">
        <v>1</v>
      </c>
      <c r="P688" s="26" t="s">
        <v>439</v>
      </c>
      <c r="Q688" s="34">
        <v>180</v>
      </c>
      <c r="S688" s="29">
        <v>46198</v>
      </c>
      <c r="T688" s="28">
        <f t="shared" si="52"/>
        <v>46378</v>
      </c>
      <c r="U688" s="25">
        <f t="shared" ca="1" si="53"/>
        <v>117</v>
      </c>
      <c r="V688" s="25" t="str">
        <f t="shared" ca="1" si="54"/>
        <v>AL DÍA</v>
      </c>
      <c r="W688" s="25" t="s">
        <v>24</v>
      </c>
      <c r="X688" s="25" t="s">
        <v>271</v>
      </c>
      <c r="Y688" s="25">
        <v>2</v>
      </c>
    </row>
    <row r="689" spans="1:25" ht="14.25" hidden="1" customHeight="1" x14ac:dyDescent="0.15">
      <c r="A689" s="24" t="s">
        <v>296</v>
      </c>
      <c r="B689" s="24" t="s">
        <v>188</v>
      </c>
      <c r="C689" s="25">
        <v>606</v>
      </c>
      <c r="D689" s="24" t="s">
        <v>16</v>
      </c>
      <c r="E689" s="24" t="s">
        <v>450</v>
      </c>
      <c r="F689" s="24" t="s">
        <v>422</v>
      </c>
      <c r="G689" s="71"/>
      <c r="H689" s="21">
        <v>0</v>
      </c>
      <c r="I689" s="21">
        <f t="shared" ca="1" si="55"/>
        <v>2026</v>
      </c>
      <c r="J689" s="21">
        <v>3</v>
      </c>
      <c r="K689" s="25" t="str">
        <f t="shared" ca="1" si="51"/>
        <v>Activo</v>
      </c>
      <c r="O689" s="72">
        <v>1</v>
      </c>
      <c r="P689" s="26" t="s">
        <v>439</v>
      </c>
      <c r="Q689" s="34">
        <v>180</v>
      </c>
      <c r="S689" s="29">
        <v>46198</v>
      </c>
      <c r="T689" s="28">
        <f t="shared" si="52"/>
        <v>46378</v>
      </c>
      <c r="U689" s="25">
        <f t="shared" ca="1" si="53"/>
        <v>117</v>
      </c>
      <c r="V689" s="25" t="str">
        <f t="shared" ca="1" si="54"/>
        <v>AL DÍA</v>
      </c>
      <c r="W689" s="25" t="s">
        <v>24</v>
      </c>
      <c r="X689" s="25" t="s">
        <v>271</v>
      </c>
      <c r="Y689" s="25">
        <v>2</v>
      </c>
    </row>
    <row r="690" spans="1:25" ht="14.25" hidden="1" customHeight="1" x14ac:dyDescent="0.15">
      <c r="A690" s="24" t="s">
        <v>296</v>
      </c>
      <c r="B690" s="24" t="s">
        <v>188</v>
      </c>
      <c r="C690" s="25">
        <v>607</v>
      </c>
      <c r="D690" s="24" t="s">
        <v>16</v>
      </c>
      <c r="E690" s="24" t="s">
        <v>450</v>
      </c>
      <c r="F690" s="24" t="s">
        <v>422</v>
      </c>
      <c r="G690" s="71"/>
      <c r="H690" s="21">
        <v>0</v>
      </c>
      <c r="I690" s="21">
        <f t="shared" ca="1" si="55"/>
        <v>2026</v>
      </c>
      <c r="J690" s="21">
        <v>3</v>
      </c>
      <c r="K690" s="25" t="str">
        <f t="shared" ca="1" si="51"/>
        <v>Activo</v>
      </c>
      <c r="O690" s="72">
        <v>1</v>
      </c>
      <c r="P690" s="26" t="s">
        <v>439</v>
      </c>
      <c r="Q690" s="34">
        <v>180</v>
      </c>
      <c r="S690" s="29">
        <v>46198</v>
      </c>
      <c r="T690" s="28">
        <f t="shared" si="52"/>
        <v>46378</v>
      </c>
      <c r="U690" s="25">
        <f t="shared" ca="1" si="53"/>
        <v>117</v>
      </c>
      <c r="V690" s="25" t="str">
        <f t="shared" ca="1" si="54"/>
        <v>AL DÍA</v>
      </c>
      <c r="W690" s="25" t="s">
        <v>24</v>
      </c>
      <c r="X690" s="25" t="s">
        <v>271</v>
      </c>
      <c r="Y690" s="25">
        <v>2</v>
      </c>
    </row>
    <row r="691" spans="1:25" ht="14.25" hidden="1" customHeight="1" x14ac:dyDescent="0.15">
      <c r="A691" s="24" t="s">
        <v>296</v>
      </c>
      <c r="B691" s="24" t="s">
        <v>188</v>
      </c>
      <c r="C691" s="25">
        <v>608</v>
      </c>
      <c r="D691" s="24" t="s">
        <v>16</v>
      </c>
      <c r="E691" s="24" t="s">
        <v>450</v>
      </c>
      <c r="F691" s="24" t="s">
        <v>422</v>
      </c>
      <c r="G691" s="71"/>
      <c r="H691" s="21">
        <v>0</v>
      </c>
      <c r="I691" s="21">
        <f t="shared" ref="I691:I722" ca="1" si="56">YEAR(TODAY())-G691</f>
        <v>2026</v>
      </c>
      <c r="J691" s="21">
        <v>3</v>
      </c>
      <c r="K691" s="25" t="str">
        <f t="shared" ca="1" si="51"/>
        <v>Activo</v>
      </c>
      <c r="M691" s="26"/>
      <c r="N691" s="26"/>
      <c r="O691" s="72">
        <v>1</v>
      </c>
      <c r="P691" s="26" t="s">
        <v>439</v>
      </c>
      <c r="Q691" s="34">
        <v>180</v>
      </c>
      <c r="S691" s="29">
        <v>46198</v>
      </c>
      <c r="T691" s="28">
        <f t="shared" si="52"/>
        <v>46378</v>
      </c>
      <c r="U691" s="25">
        <f t="shared" ca="1" si="53"/>
        <v>117</v>
      </c>
      <c r="V691" s="25" t="str">
        <f t="shared" ca="1" si="54"/>
        <v>AL DÍA</v>
      </c>
      <c r="W691" s="25" t="s">
        <v>24</v>
      </c>
      <c r="X691" s="25" t="s">
        <v>271</v>
      </c>
      <c r="Y691" s="25">
        <v>2</v>
      </c>
    </row>
    <row r="692" spans="1:25" ht="14.25" hidden="1" customHeight="1" x14ac:dyDescent="0.15">
      <c r="A692" s="24" t="s">
        <v>296</v>
      </c>
      <c r="B692" s="24" t="s">
        <v>188</v>
      </c>
      <c r="C692" s="25">
        <v>609</v>
      </c>
      <c r="D692" s="24" t="s">
        <v>16</v>
      </c>
      <c r="E692" s="24" t="s">
        <v>450</v>
      </c>
      <c r="F692" s="24" t="s">
        <v>422</v>
      </c>
      <c r="G692" s="71"/>
      <c r="H692" s="21">
        <v>0</v>
      </c>
      <c r="I692" s="21">
        <f t="shared" ca="1" si="56"/>
        <v>2026</v>
      </c>
      <c r="J692" s="21">
        <v>3</v>
      </c>
      <c r="K692" s="25" t="str">
        <f t="shared" ca="1" si="51"/>
        <v>Activo</v>
      </c>
      <c r="O692" s="72">
        <v>1</v>
      </c>
      <c r="P692" s="26" t="s">
        <v>439</v>
      </c>
      <c r="Q692" s="34">
        <v>180</v>
      </c>
      <c r="S692" s="29">
        <v>46198</v>
      </c>
      <c r="T692" s="28">
        <f t="shared" si="52"/>
        <v>46378</v>
      </c>
      <c r="U692" s="25">
        <f t="shared" ca="1" si="53"/>
        <v>117</v>
      </c>
      <c r="V692" s="25" t="str">
        <f t="shared" ca="1" si="54"/>
        <v>AL DÍA</v>
      </c>
      <c r="W692" s="25" t="s">
        <v>24</v>
      </c>
      <c r="X692" s="25" t="s">
        <v>271</v>
      </c>
      <c r="Y692" s="25">
        <v>2</v>
      </c>
    </row>
    <row r="693" spans="1:25" ht="14.25" hidden="1" customHeight="1" x14ac:dyDescent="0.15">
      <c r="A693" s="24" t="s">
        <v>296</v>
      </c>
      <c r="B693" s="24" t="s">
        <v>188</v>
      </c>
      <c r="C693" s="25">
        <v>610</v>
      </c>
      <c r="D693" s="24" t="s">
        <v>16</v>
      </c>
      <c r="E693" s="24" t="s">
        <v>450</v>
      </c>
      <c r="F693" s="24" t="s">
        <v>422</v>
      </c>
      <c r="G693" s="71"/>
      <c r="H693" s="21">
        <v>0</v>
      </c>
      <c r="I693" s="21">
        <f t="shared" ca="1" si="56"/>
        <v>2026</v>
      </c>
      <c r="J693" s="21">
        <v>3</v>
      </c>
      <c r="K693" s="25" t="str">
        <f t="shared" ca="1" si="51"/>
        <v>Activo</v>
      </c>
      <c r="O693" s="72">
        <v>1</v>
      </c>
      <c r="P693" s="26" t="s">
        <v>439</v>
      </c>
      <c r="Q693" s="34">
        <v>180</v>
      </c>
      <c r="S693" s="29">
        <v>46198</v>
      </c>
      <c r="T693" s="28">
        <f t="shared" si="52"/>
        <v>46378</v>
      </c>
      <c r="U693" s="25">
        <f t="shared" ca="1" si="53"/>
        <v>117</v>
      </c>
      <c r="V693" s="25" t="str">
        <f t="shared" ca="1" si="54"/>
        <v>AL DÍA</v>
      </c>
      <c r="W693" s="25" t="s">
        <v>24</v>
      </c>
      <c r="X693" s="25" t="s">
        <v>271</v>
      </c>
      <c r="Y693" s="25">
        <v>2</v>
      </c>
    </row>
    <row r="694" spans="1:25" ht="14.25" hidden="1" customHeight="1" x14ac:dyDescent="0.15">
      <c r="A694" s="24" t="s">
        <v>296</v>
      </c>
      <c r="B694" s="24" t="s">
        <v>188</v>
      </c>
      <c r="C694" s="25">
        <v>611</v>
      </c>
      <c r="D694" s="24" t="s">
        <v>16</v>
      </c>
      <c r="E694" s="24" t="s">
        <v>450</v>
      </c>
      <c r="F694" s="24" t="s">
        <v>422</v>
      </c>
      <c r="G694" s="71"/>
      <c r="H694" s="21">
        <v>0</v>
      </c>
      <c r="I694" s="21">
        <f t="shared" ca="1" si="56"/>
        <v>2026</v>
      </c>
      <c r="J694" s="21">
        <v>3</v>
      </c>
      <c r="K694" s="25" t="str">
        <f t="shared" ca="1" si="51"/>
        <v>Activo</v>
      </c>
      <c r="O694" s="72">
        <v>1</v>
      </c>
      <c r="P694" s="26" t="s">
        <v>439</v>
      </c>
      <c r="Q694" s="34">
        <v>180</v>
      </c>
      <c r="S694" s="29">
        <v>46198</v>
      </c>
      <c r="T694" s="28">
        <f t="shared" si="52"/>
        <v>46378</v>
      </c>
      <c r="U694" s="25">
        <f t="shared" ca="1" si="53"/>
        <v>117</v>
      </c>
      <c r="V694" s="25" t="str">
        <f t="shared" ca="1" si="54"/>
        <v>AL DÍA</v>
      </c>
      <c r="W694" s="25" t="s">
        <v>24</v>
      </c>
      <c r="X694" s="25" t="s">
        <v>271</v>
      </c>
      <c r="Y694" s="25">
        <v>2</v>
      </c>
    </row>
    <row r="695" spans="1:25" ht="14.25" hidden="1" customHeight="1" x14ac:dyDescent="0.15">
      <c r="A695" s="24" t="s">
        <v>296</v>
      </c>
      <c r="B695" s="24" t="s">
        <v>188</v>
      </c>
      <c r="C695" s="25">
        <v>612</v>
      </c>
      <c r="D695" s="24" t="s">
        <v>16</v>
      </c>
      <c r="E695" s="24" t="s">
        <v>450</v>
      </c>
      <c r="F695" s="24" t="s">
        <v>422</v>
      </c>
      <c r="G695" s="71"/>
      <c r="H695" s="21">
        <v>0</v>
      </c>
      <c r="I695" s="21">
        <f t="shared" ca="1" si="56"/>
        <v>2026</v>
      </c>
      <c r="J695" s="21">
        <v>3</v>
      </c>
      <c r="K695" s="25" t="str">
        <f t="shared" ca="1" si="51"/>
        <v>Activo</v>
      </c>
      <c r="O695" s="72">
        <v>1</v>
      </c>
      <c r="P695" s="26" t="s">
        <v>439</v>
      </c>
      <c r="Q695" s="34">
        <v>180</v>
      </c>
      <c r="S695" s="29">
        <v>46198</v>
      </c>
      <c r="T695" s="28">
        <f t="shared" si="52"/>
        <v>46378</v>
      </c>
      <c r="U695" s="25">
        <f t="shared" ca="1" si="53"/>
        <v>117</v>
      </c>
      <c r="V695" s="25" t="str">
        <f t="shared" ca="1" si="54"/>
        <v>AL DÍA</v>
      </c>
      <c r="W695" s="25" t="s">
        <v>24</v>
      </c>
      <c r="X695" s="25" t="s">
        <v>271</v>
      </c>
      <c r="Y695" s="25">
        <v>2</v>
      </c>
    </row>
    <row r="696" spans="1:25" ht="14.25" hidden="1" customHeight="1" x14ac:dyDescent="0.15">
      <c r="A696" s="24" t="s">
        <v>296</v>
      </c>
      <c r="B696" s="24" t="s">
        <v>188</v>
      </c>
      <c r="C696" s="25">
        <v>613</v>
      </c>
      <c r="D696" s="24" t="s">
        <v>16</v>
      </c>
      <c r="E696" s="24" t="s">
        <v>450</v>
      </c>
      <c r="F696" s="24" t="s">
        <v>422</v>
      </c>
      <c r="G696" s="71"/>
      <c r="H696" s="21">
        <v>0</v>
      </c>
      <c r="I696" s="21">
        <f t="shared" ca="1" si="56"/>
        <v>2026</v>
      </c>
      <c r="J696" s="21">
        <v>3</v>
      </c>
      <c r="K696" s="25" t="str">
        <f t="shared" ca="1" si="51"/>
        <v>Activo</v>
      </c>
      <c r="O696" s="72">
        <v>1</v>
      </c>
      <c r="P696" s="26" t="s">
        <v>439</v>
      </c>
      <c r="Q696" s="34">
        <v>180</v>
      </c>
      <c r="S696" s="29">
        <v>46198</v>
      </c>
      <c r="T696" s="28">
        <f t="shared" si="52"/>
        <v>46378</v>
      </c>
      <c r="U696" s="25">
        <f t="shared" ca="1" si="53"/>
        <v>117</v>
      </c>
      <c r="V696" s="25" t="str">
        <f t="shared" ca="1" si="54"/>
        <v>AL DÍA</v>
      </c>
      <c r="W696" s="25" t="s">
        <v>24</v>
      </c>
      <c r="X696" s="25" t="s">
        <v>271</v>
      </c>
      <c r="Y696" s="25">
        <v>2</v>
      </c>
    </row>
    <row r="697" spans="1:25" ht="14.25" hidden="1" customHeight="1" x14ac:dyDescent="0.15">
      <c r="A697" s="24" t="s">
        <v>296</v>
      </c>
      <c r="B697" s="24" t="s">
        <v>188</v>
      </c>
      <c r="C697" s="25">
        <v>614</v>
      </c>
      <c r="D697" s="24" t="s">
        <v>16</v>
      </c>
      <c r="E697" s="24" t="s">
        <v>450</v>
      </c>
      <c r="F697" s="24" t="s">
        <v>422</v>
      </c>
      <c r="G697" s="71"/>
      <c r="H697" s="21">
        <v>0</v>
      </c>
      <c r="I697" s="21">
        <f t="shared" ca="1" si="56"/>
        <v>2026</v>
      </c>
      <c r="J697" s="21">
        <v>3</v>
      </c>
      <c r="K697" s="25" t="str">
        <f t="shared" ca="1" si="51"/>
        <v>Activo</v>
      </c>
      <c r="O697" s="73">
        <v>1</v>
      </c>
      <c r="P697" s="26" t="s">
        <v>439</v>
      </c>
      <c r="Q697" s="34">
        <v>180</v>
      </c>
      <c r="S697" s="29">
        <v>46198</v>
      </c>
      <c r="T697" s="28">
        <f t="shared" si="52"/>
        <v>46378</v>
      </c>
      <c r="U697" s="25">
        <f t="shared" ca="1" si="53"/>
        <v>117</v>
      </c>
      <c r="V697" s="25" t="str">
        <f t="shared" ca="1" si="54"/>
        <v>AL DÍA</v>
      </c>
      <c r="W697" s="25" t="s">
        <v>24</v>
      </c>
      <c r="X697" s="25" t="s">
        <v>271</v>
      </c>
      <c r="Y697" s="25">
        <v>2</v>
      </c>
    </row>
    <row r="698" spans="1:25" ht="14.25" hidden="1" customHeight="1" x14ac:dyDescent="0.15">
      <c r="A698" s="24" t="s">
        <v>296</v>
      </c>
      <c r="B698" s="24" t="s">
        <v>188</v>
      </c>
      <c r="C698" s="25">
        <v>615</v>
      </c>
      <c r="D698" s="24" t="s">
        <v>16</v>
      </c>
      <c r="E698" s="24" t="s">
        <v>450</v>
      </c>
      <c r="F698" s="24" t="s">
        <v>422</v>
      </c>
      <c r="G698" s="71"/>
      <c r="H698" s="21">
        <v>0</v>
      </c>
      <c r="I698" s="21">
        <f t="shared" ca="1" si="56"/>
        <v>2026</v>
      </c>
      <c r="J698" s="21">
        <v>3</v>
      </c>
      <c r="K698" s="25" t="str">
        <f t="shared" ca="1" si="51"/>
        <v>Activo</v>
      </c>
      <c r="O698" s="73">
        <v>1</v>
      </c>
      <c r="P698" s="26" t="s">
        <v>439</v>
      </c>
      <c r="Q698" s="34">
        <v>180</v>
      </c>
      <c r="S698" s="29">
        <v>46198</v>
      </c>
      <c r="T698" s="28">
        <f t="shared" si="52"/>
        <v>46378</v>
      </c>
      <c r="U698" s="25">
        <f t="shared" ca="1" si="53"/>
        <v>117</v>
      </c>
      <c r="V698" s="25" t="str">
        <f t="shared" ca="1" si="54"/>
        <v>AL DÍA</v>
      </c>
      <c r="W698" s="25" t="s">
        <v>24</v>
      </c>
      <c r="X698" s="25" t="s">
        <v>271</v>
      </c>
      <c r="Y698" s="25">
        <v>2</v>
      </c>
    </row>
    <row r="699" spans="1:25" ht="14.25" hidden="1" customHeight="1" x14ac:dyDescent="0.15">
      <c r="A699" s="24" t="s">
        <v>296</v>
      </c>
      <c r="B699" s="24" t="s">
        <v>188</v>
      </c>
      <c r="C699" s="25">
        <v>618</v>
      </c>
      <c r="D699" s="24" t="s">
        <v>16</v>
      </c>
      <c r="E699" s="24" t="s">
        <v>450</v>
      </c>
      <c r="F699" s="24" t="s">
        <v>422</v>
      </c>
      <c r="G699" s="71"/>
      <c r="H699" s="21">
        <v>0</v>
      </c>
      <c r="I699" s="21">
        <f t="shared" ca="1" si="56"/>
        <v>2026</v>
      </c>
      <c r="J699" s="21">
        <v>3</v>
      </c>
      <c r="K699" s="25" t="str">
        <f t="shared" ca="1" si="51"/>
        <v>Activo</v>
      </c>
      <c r="L699" s="26"/>
      <c r="M699" s="26"/>
      <c r="N699" s="26"/>
      <c r="O699" s="72">
        <v>1</v>
      </c>
      <c r="P699" s="26" t="s">
        <v>439</v>
      </c>
      <c r="Q699" s="34">
        <v>180</v>
      </c>
      <c r="S699" s="29">
        <v>46198</v>
      </c>
      <c r="T699" s="28">
        <f t="shared" si="52"/>
        <v>46378</v>
      </c>
      <c r="U699" s="25">
        <f t="shared" ca="1" si="53"/>
        <v>117</v>
      </c>
      <c r="V699" s="25" t="str">
        <f t="shared" ca="1" si="54"/>
        <v>AL DÍA</v>
      </c>
      <c r="W699" s="25" t="s">
        <v>24</v>
      </c>
      <c r="X699" s="25" t="s">
        <v>271</v>
      </c>
      <c r="Y699" s="25">
        <v>2</v>
      </c>
    </row>
    <row r="700" spans="1:25" ht="14.25" hidden="1" customHeight="1" x14ac:dyDescent="0.15">
      <c r="A700" s="24" t="s">
        <v>296</v>
      </c>
      <c r="B700" s="24" t="s">
        <v>188</v>
      </c>
      <c r="C700" s="25">
        <v>623</v>
      </c>
      <c r="D700" s="24" t="s">
        <v>16</v>
      </c>
      <c r="E700" s="24" t="s">
        <v>450</v>
      </c>
      <c r="F700" s="24" t="s">
        <v>422</v>
      </c>
      <c r="G700" s="71"/>
      <c r="H700" s="21">
        <v>0</v>
      </c>
      <c r="I700" s="21">
        <f t="shared" ca="1" si="56"/>
        <v>2026</v>
      </c>
      <c r="J700" s="21">
        <v>3</v>
      </c>
      <c r="K700" s="25" t="str">
        <f t="shared" ca="1" si="51"/>
        <v>Activo</v>
      </c>
      <c r="O700" s="72">
        <v>1</v>
      </c>
      <c r="P700" s="26" t="s">
        <v>439</v>
      </c>
      <c r="Q700" s="34">
        <v>180</v>
      </c>
      <c r="S700" s="29">
        <v>46198</v>
      </c>
      <c r="T700" s="28">
        <f t="shared" si="52"/>
        <v>46378</v>
      </c>
      <c r="U700" s="25">
        <f t="shared" ca="1" si="53"/>
        <v>117</v>
      </c>
      <c r="V700" s="25" t="str">
        <f t="shared" ca="1" si="54"/>
        <v>AL DÍA</v>
      </c>
      <c r="W700" s="25" t="s">
        <v>24</v>
      </c>
      <c r="X700" s="25" t="s">
        <v>271</v>
      </c>
      <c r="Y700" s="25">
        <v>2</v>
      </c>
    </row>
    <row r="701" spans="1:25" ht="14.25" hidden="1" customHeight="1" x14ac:dyDescent="0.15">
      <c r="A701" s="24" t="s">
        <v>296</v>
      </c>
      <c r="B701" s="24" t="s">
        <v>188</v>
      </c>
      <c r="C701" s="25">
        <v>624</v>
      </c>
      <c r="D701" s="24" t="s">
        <v>16</v>
      </c>
      <c r="E701" s="24" t="s">
        <v>450</v>
      </c>
      <c r="F701" s="24" t="s">
        <v>422</v>
      </c>
      <c r="G701" s="71"/>
      <c r="H701" s="21">
        <v>0</v>
      </c>
      <c r="I701" s="21">
        <f t="shared" ca="1" si="56"/>
        <v>2026</v>
      </c>
      <c r="J701" s="21">
        <v>3</v>
      </c>
      <c r="K701" s="25" t="str">
        <f t="shared" ca="1" si="51"/>
        <v>Activo</v>
      </c>
      <c r="O701" s="73">
        <v>1</v>
      </c>
      <c r="P701" s="26" t="s">
        <v>439</v>
      </c>
      <c r="Q701" s="34">
        <v>180</v>
      </c>
      <c r="S701" s="29">
        <v>46198</v>
      </c>
      <c r="T701" s="28">
        <f t="shared" si="52"/>
        <v>46378</v>
      </c>
      <c r="U701" s="25">
        <f t="shared" ca="1" si="53"/>
        <v>117</v>
      </c>
      <c r="V701" s="25" t="str">
        <f t="shared" ca="1" si="54"/>
        <v>AL DÍA</v>
      </c>
      <c r="W701" s="25" t="s">
        <v>24</v>
      </c>
      <c r="X701" s="25" t="s">
        <v>271</v>
      </c>
      <c r="Y701" s="25">
        <v>2</v>
      </c>
    </row>
    <row r="702" spans="1:25" ht="14.25" hidden="1" customHeight="1" x14ac:dyDescent="0.15">
      <c r="A702" s="24" t="s">
        <v>296</v>
      </c>
      <c r="B702" s="24" t="s">
        <v>188</v>
      </c>
      <c r="C702" s="26">
        <v>625</v>
      </c>
      <c r="D702" s="24" t="s">
        <v>16</v>
      </c>
      <c r="E702" s="24" t="s">
        <v>450</v>
      </c>
      <c r="F702" s="24" t="s">
        <v>422</v>
      </c>
      <c r="G702" s="71"/>
      <c r="H702" s="21">
        <v>0</v>
      </c>
      <c r="I702" s="21">
        <f t="shared" ca="1" si="56"/>
        <v>2026</v>
      </c>
      <c r="J702" s="21">
        <v>3</v>
      </c>
      <c r="K702" s="25" t="str">
        <f t="shared" ca="1" si="51"/>
        <v>Activo</v>
      </c>
      <c r="O702" s="72">
        <v>1</v>
      </c>
      <c r="P702" s="26" t="s">
        <v>439</v>
      </c>
      <c r="Q702" s="34">
        <v>180</v>
      </c>
      <c r="S702" s="29">
        <v>46198</v>
      </c>
      <c r="T702" s="28">
        <f t="shared" si="52"/>
        <v>46378</v>
      </c>
      <c r="U702" s="25">
        <f t="shared" ca="1" si="53"/>
        <v>117</v>
      </c>
      <c r="V702" s="25" t="str">
        <f t="shared" ca="1" si="54"/>
        <v>AL DÍA</v>
      </c>
      <c r="W702" s="25" t="s">
        <v>24</v>
      </c>
      <c r="X702" s="25" t="s">
        <v>271</v>
      </c>
      <c r="Y702" s="25">
        <v>2</v>
      </c>
    </row>
    <row r="703" spans="1:25" ht="14.25" hidden="1" customHeight="1" x14ac:dyDescent="0.15">
      <c r="A703" s="24" t="s">
        <v>296</v>
      </c>
      <c r="B703" s="24" t="s">
        <v>185</v>
      </c>
      <c r="C703" s="26">
        <v>501</v>
      </c>
      <c r="D703" s="24" t="s">
        <v>16</v>
      </c>
      <c r="E703" s="24" t="s">
        <v>435</v>
      </c>
      <c r="F703" s="24" t="s">
        <v>423</v>
      </c>
      <c r="G703" s="71"/>
      <c r="H703" s="21">
        <v>0</v>
      </c>
      <c r="I703" s="21">
        <f t="shared" ca="1" si="56"/>
        <v>2026</v>
      </c>
      <c r="J703" s="21">
        <v>3</v>
      </c>
      <c r="K703" s="25" t="str">
        <f t="shared" ca="1" si="51"/>
        <v>Activo</v>
      </c>
      <c r="O703" s="72">
        <v>1</v>
      </c>
      <c r="P703" s="26" t="s">
        <v>439</v>
      </c>
      <c r="Q703" s="34">
        <v>180</v>
      </c>
      <c r="S703" s="29">
        <v>46198</v>
      </c>
      <c r="T703" s="28">
        <f t="shared" si="52"/>
        <v>46378</v>
      </c>
      <c r="U703" s="25">
        <f t="shared" ca="1" si="53"/>
        <v>117</v>
      </c>
      <c r="V703" s="25" t="str">
        <f t="shared" ca="1" si="54"/>
        <v>AL DÍA</v>
      </c>
      <c r="W703" s="25" t="s">
        <v>24</v>
      </c>
      <c r="X703" s="25" t="s">
        <v>271</v>
      </c>
      <c r="Y703" s="25">
        <v>2</v>
      </c>
    </row>
    <row r="704" spans="1:25" ht="14.25" hidden="1" customHeight="1" x14ac:dyDescent="0.15">
      <c r="A704" s="24" t="s">
        <v>296</v>
      </c>
      <c r="B704" s="24" t="s">
        <v>185</v>
      </c>
      <c r="C704" s="26">
        <v>502</v>
      </c>
      <c r="D704" s="24" t="s">
        <v>16</v>
      </c>
      <c r="E704" s="24" t="s">
        <v>435</v>
      </c>
      <c r="F704" s="24" t="s">
        <v>423</v>
      </c>
      <c r="G704" s="71"/>
      <c r="H704" s="21">
        <v>0</v>
      </c>
      <c r="I704" s="21">
        <f t="shared" ca="1" si="56"/>
        <v>2026</v>
      </c>
      <c r="J704" s="21">
        <v>3</v>
      </c>
      <c r="K704" s="25" t="str">
        <f t="shared" ca="1" si="51"/>
        <v>Activo</v>
      </c>
      <c r="O704" s="72">
        <v>1</v>
      </c>
      <c r="P704" s="26" t="s">
        <v>439</v>
      </c>
      <c r="Q704" s="34">
        <v>180</v>
      </c>
      <c r="S704" s="29">
        <v>46198</v>
      </c>
      <c r="T704" s="28">
        <f t="shared" si="52"/>
        <v>46378</v>
      </c>
      <c r="U704" s="25">
        <f t="shared" ca="1" si="53"/>
        <v>117</v>
      </c>
      <c r="V704" s="25" t="str">
        <f t="shared" ca="1" si="54"/>
        <v>AL DÍA</v>
      </c>
      <c r="W704" s="25" t="s">
        <v>24</v>
      </c>
      <c r="X704" s="25" t="s">
        <v>271</v>
      </c>
      <c r="Y704" s="25">
        <v>2</v>
      </c>
    </row>
    <row r="705" spans="1:25" ht="14.25" hidden="1" customHeight="1" x14ac:dyDescent="0.15">
      <c r="A705" s="24" t="s">
        <v>296</v>
      </c>
      <c r="B705" s="24" t="s">
        <v>185</v>
      </c>
      <c r="C705" s="26">
        <v>503</v>
      </c>
      <c r="D705" s="24" t="s">
        <v>16</v>
      </c>
      <c r="E705" s="24" t="s">
        <v>435</v>
      </c>
      <c r="F705" s="24" t="s">
        <v>423</v>
      </c>
      <c r="G705" s="71"/>
      <c r="H705" s="21">
        <v>0</v>
      </c>
      <c r="I705" s="21">
        <f t="shared" ca="1" si="56"/>
        <v>2026</v>
      </c>
      <c r="J705" s="21">
        <v>3</v>
      </c>
      <c r="K705" s="25" t="str">
        <f t="shared" ca="1" si="51"/>
        <v>Activo</v>
      </c>
      <c r="O705" s="72">
        <v>1</v>
      </c>
      <c r="P705" s="26" t="s">
        <v>439</v>
      </c>
      <c r="Q705" s="34">
        <v>180</v>
      </c>
      <c r="S705" s="29">
        <v>46198</v>
      </c>
      <c r="T705" s="28">
        <f t="shared" si="52"/>
        <v>46378</v>
      </c>
      <c r="U705" s="25">
        <f t="shared" ca="1" si="53"/>
        <v>117</v>
      </c>
      <c r="V705" s="25" t="str">
        <f t="shared" ca="1" si="54"/>
        <v>AL DÍA</v>
      </c>
      <c r="W705" s="25" t="s">
        <v>24</v>
      </c>
      <c r="X705" s="25" t="s">
        <v>271</v>
      </c>
      <c r="Y705" s="25">
        <v>2</v>
      </c>
    </row>
    <row r="706" spans="1:25" ht="14.25" hidden="1" customHeight="1" x14ac:dyDescent="0.15">
      <c r="A706" s="24" t="s">
        <v>296</v>
      </c>
      <c r="B706" s="24" t="s">
        <v>185</v>
      </c>
      <c r="C706" s="26">
        <v>504</v>
      </c>
      <c r="D706" s="24" t="s">
        <v>16</v>
      </c>
      <c r="E706" s="24" t="s">
        <v>435</v>
      </c>
      <c r="F706" s="24" t="s">
        <v>423</v>
      </c>
      <c r="G706" s="71"/>
      <c r="H706" s="21">
        <v>0</v>
      </c>
      <c r="I706" s="21">
        <f t="shared" ca="1" si="56"/>
        <v>2026</v>
      </c>
      <c r="J706" s="21">
        <v>3</v>
      </c>
      <c r="K706" s="25" t="str">
        <f t="shared" ref="K706:K769" ca="1" si="57">IF(J706=1,"Cambiar",IF(J706=2,"Presupuestar",IF(H706=0,"Activo",IF(G706+H706&lt;YEAR(TODAY()),"Cambiar o Inspección externa",IF(G706+H706-1&lt;YEAR(TODAY()),"Presupuestar","Activo")))))</f>
        <v>Activo</v>
      </c>
      <c r="O706" s="72">
        <v>1</v>
      </c>
      <c r="P706" s="26" t="s">
        <v>439</v>
      </c>
      <c r="Q706" s="34">
        <v>180</v>
      </c>
      <c r="S706" s="29">
        <v>46198</v>
      </c>
      <c r="T706" s="28">
        <f t="shared" ref="T706:T769" si="58">+S706+Q706</f>
        <v>46378</v>
      </c>
      <c r="U706" s="25">
        <f t="shared" ref="U706:U769" ca="1" si="59">T706-TODAY()</f>
        <v>117</v>
      </c>
      <c r="V706" s="25" t="str">
        <f t="shared" ref="V706:V769" ca="1" si="60">IF(U706&lt;0, "VENCIDO", "AL DÍA")</f>
        <v>AL DÍA</v>
      </c>
      <c r="W706" s="25" t="s">
        <v>24</v>
      </c>
      <c r="X706" s="25" t="s">
        <v>271</v>
      </c>
      <c r="Y706" s="25">
        <v>2</v>
      </c>
    </row>
    <row r="707" spans="1:25" ht="14.25" hidden="1" customHeight="1" x14ac:dyDescent="0.15">
      <c r="A707" s="24" t="s">
        <v>296</v>
      </c>
      <c r="B707" s="24" t="s">
        <v>185</v>
      </c>
      <c r="C707" s="26">
        <v>506</v>
      </c>
      <c r="D707" s="24" t="s">
        <v>16</v>
      </c>
      <c r="E707" s="24" t="s">
        <v>435</v>
      </c>
      <c r="F707" s="24" t="s">
        <v>423</v>
      </c>
      <c r="G707" s="71"/>
      <c r="H707" s="21">
        <v>0</v>
      </c>
      <c r="I707" s="21">
        <f t="shared" ca="1" si="56"/>
        <v>2026</v>
      </c>
      <c r="J707" s="21">
        <v>3</v>
      </c>
      <c r="K707" s="25" t="str">
        <f t="shared" ca="1" si="57"/>
        <v>Activo</v>
      </c>
      <c r="O707" s="72">
        <v>1</v>
      </c>
      <c r="P707" s="26" t="s">
        <v>439</v>
      </c>
      <c r="Q707" s="34">
        <v>180</v>
      </c>
      <c r="S707" s="29">
        <v>46198</v>
      </c>
      <c r="T707" s="28">
        <f t="shared" si="58"/>
        <v>46378</v>
      </c>
      <c r="U707" s="25">
        <f t="shared" ca="1" si="59"/>
        <v>117</v>
      </c>
      <c r="V707" s="25" t="str">
        <f t="shared" ca="1" si="60"/>
        <v>AL DÍA</v>
      </c>
      <c r="W707" s="25" t="s">
        <v>24</v>
      </c>
      <c r="X707" s="25" t="s">
        <v>271</v>
      </c>
      <c r="Y707" s="25">
        <v>2</v>
      </c>
    </row>
    <row r="708" spans="1:25" ht="14.25" hidden="1" customHeight="1" x14ac:dyDescent="0.15">
      <c r="A708" s="24" t="s">
        <v>296</v>
      </c>
      <c r="B708" s="24" t="s">
        <v>185</v>
      </c>
      <c r="C708" s="26">
        <v>507</v>
      </c>
      <c r="D708" s="24" t="s">
        <v>16</v>
      </c>
      <c r="E708" s="24" t="s">
        <v>435</v>
      </c>
      <c r="F708" s="24" t="s">
        <v>423</v>
      </c>
      <c r="G708" s="71"/>
      <c r="H708" s="21">
        <v>0</v>
      </c>
      <c r="I708" s="21">
        <f t="shared" ca="1" si="56"/>
        <v>2026</v>
      </c>
      <c r="J708" s="21">
        <v>3</v>
      </c>
      <c r="K708" s="25" t="str">
        <f t="shared" ca="1" si="57"/>
        <v>Activo</v>
      </c>
      <c r="O708" s="72">
        <v>1</v>
      </c>
      <c r="P708" s="26" t="s">
        <v>439</v>
      </c>
      <c r="Q708" s="34">
        <v>180</v>
      </c>
      <c r="S708" s="29">
        <v>46198</v>
      </c>
      <c r="T708" s="28">
        <f t="shared" si="58"/>
        <v>46378</v>
      </c>
      <c r="U708" s="25">
        <f t="shared" ca="1" si="59"/>
        <v>117</v>
      </c>
      <c r="V708" s="25" t="str">
        <f t="shared" ca="1" si="60"/>
        <v>AL DÍA</v>
      </c>
      <c r="W708" s="25" t="s">
        <v>24</v>
      </c>
      <c r="X708" s="25" t="s">
        <v>271</v>
      </c>
      <c r="Y708" s="25">
        <v>2</v>
      </c>
    </row>
    <row r="709" spans="1:25" ht="14.25" hidden="1" customHeight="1" x14ac:dyDescent="0.15">
      <c r="A709" s="24" t="s">
        <v>296</v>
      </c>
      <c r="B709" s="24" t="s">
        <v>185</v>
      </c>
      <c r="C709" s="26">
        <v>508</v>
      </c>
      <c r="D709" s="24" t="s">
        <v>16</v>
      </c>
      <c r="E709" s="24" t="s">
        <v>435</v>
      </c>
      <c r="F709" s="24" t="s">
        <v>423</v>
      </c>
      <c r="G709" s="71"/>
      <c r="H709" s="21">
        <v>0</v>
      </c>
      <c r="I709" s="21">
        <f t="shared" ca="1" si="56"/>
        <v>2026</v>
      </c>
      <c r="J709" s="21">
        <v>3</v>
      </c>
      <c r="K709" s="25" t="str">
        <f t="shared" ca="1" si="57"/>
        <v>Activo</v>
      </c>
      <c r="O709" s="72">
        <v>1</v>
      </c>
      <c r="P709" s="26" t="s">
        <v>439</v>
      </c>
      <c r="Q709" s="34">
        <v>180</v>
      </c>
      <c r="S709" s="29">
        <v>46198</v>
      </c>
      <c r="T709" s="28">
        <f t="shared" si="58"/>
        <v>46378</v>
      </c>
      <c r="U709" s="25">
        <f t="shared" ca="1" si="59"/>
        <v>117</v>
      </c>
      <c r="V709" s="25" t="str">
        <f t="shared" ca="1" si="60"/>
        <v>AL DÍA</v>
      </c>
      <c r="W709" s="25" t="s">
        <v>24</v>
      </c>
      <c r="X709" s="25" t="s">
        <v>271</v>
      </c>
      <c r="Y709" s="25">
        <v>2</v>
      </c>
    </row>
    <row r="710" spans="1:25" ht="14.25" hidden="1" customHeight="1" x14ac:dyDescent="0.15">
      <c r="A710" s="24" t="s">
        <v>296</v>
      </c>
      <c r="B710" s="24" t="s">
        <v>185</v>
      </c>
      <c r="C710" s="26">
        <v>509</v>
      </c>
      <c r="D710" s="24" t="s">
        <v>16</v>
      </c>
      <c r="E710" s="24" t="s">
        <v>435</v>
      </c>
      <c r="F710" s="24" t="s">
        <v>423</v>
      </c>
      <c r="G710" s="71"/>
      <c r="H710" s="21">
        <v>0</v>
      </c>
      <c r="I710" s="21">
        <f t="shared" ca="1" si="56"/>
        <v>2026</v>
      </c>
      <c r="J710" s="21">
        <v>3</v>
      </c>
      <c r="K710" s="25" t="str">
        <f t="shared" ca="1" si="57"/>
        <v>Activo</v>
      </c>
      <c r="O710" s="72">
        <v>1</v>
      </c>
      <c r="P710" s="26" t="s">
        <v>439</v>
      </c>
      <c r="Q710" s="34">
        <v>180</v>
      </c>
      <c r="S710" s="29">
        <v>46198</v>
      </c>
      <c r="T710" s="28">
        <f t="shared" si="58"/>
        <v>46378</v>
      </c>
      <c r="U710" s="25">
        <f t="shared" ca="1" si="59"/>
        <v>117</v>
      </c>
      <c r="V710" s="25" t="str">
        <f t="shared" ca="1" si="60"/>
        <v>AL DÍA</v>
      </c>
      <c r="W710" s="25" t="s">
        <v>24</v>
      </c>
      <c r="X710" s="25" t="s">
        <v>271</v>
      </c>
      <c r="Y710" s="25">
        <v>2</v>
      </c>
    </row>
    <row r="711" spans="1:25" ht="14.25" hidden="1" customHeight="1" x14ac:dyDescent="0.15">
      <c r="A711" s="24" t="s">
        <v>296</v>
      </c>
      <c r="B711" s="24" t="s">
        <v>185</v>
      </c>
      <c r="C711" s="26">
        <v>510</v>
      </c>
      <c r="D711" s="24" t="s">
        <v>16</v>
      </c>
      <c r="E711" s="24" t="s">
        <v>435</v>
      </c>
      <c r="F711" s="24" t="s">
        <v>423</v>
      </c>
      <c r="G711" s="71"/>
      <c r="H711" s="21">
        <v>0</v>
      </c>
      <c r="I711" s="21">
        <f t="shared" ca="1" si="56"/>
        <v>2026</v>
      </c>
      <c r="J711" s="21">
        <v>3</v>
      </c>
      <c r="K711" s="25" t="str">
        <f t="shared" ca="1" si="57"/>
        <v>Activo</v>
      </c>
      <c r="O711" s="72">
        <v>1</v>
      </c>
      <c r="P711" s="26" t="s">
        <v>439</v>
      </c>
      <c r="Q711" s="34">
        <v>180</v>
      </c>
      <c r="S711" s="29">
        <v>46198</v>
      </c>
      <c r="T711" s="28">
        <f t="shared" si="58"/>
        <v>46378</v>
      </c>
      <c r="U711" s="25">
        <f t="shared" ca="1" si="59"/>
        <v>117</v>
      </c>
      <c r="V711" s="25" t="str">
        <f t="shared" ca="1" si="60"/>
        <v>AL DÍA</v>
      </c>
      <c r="W711" s="25" t="s">
        <v>24</v>
      </c>
      <c r="X711" s="25" t="s">
        <v>271</v>
      </c>
      <c r="Y711" s="25">
        <v>2</v>
      </c>
    </row>
    <row r="712" spans="1:25" ht="14.25" hidden="1" customHeight="1" x14ac:dyDescent="0.15">
      <c r="A712" s="24" t="s">
        <v>296</v>
      </c>
      <c r="B712" s="24" t="s">
        <v>185</v>
      </c>
      <c r="C712" s="26">
        <v>511</v>
      </c>
      <c r="D712" s="24" t="s">
        <v>16</v>
      </c>
      <c r="E712" s="24" t="s">
        <v>435</v>
      </c>
      <c r="F712" s="24" t="s">
        <v>423</v>
      </c>
      <c r="G712" s="71"/>
      <c r="H712" s="21">
        <v>0</v>
      </c>
      <c r="I712" s="21">
        <f t="shared" ca="1" si="56"/>
        <v>2026</v>
      </c>
      <c r="J712" s="21">
        <v>3</v>
      </c>
      <c r="K712" s="25" t="str">
        <f t="shared" ca="1" si="57"/>
        <v>Activo</v>
      </c>
      <c r="O712" s="72">
        <v>1</v>
      </c>
      <c r="P712" s="26" t="s">
        <v>439</v>
      </c>
      <c r="Q712" s="34">
        <v>180</v>
      </c>
      <c r="S712" s="29">
        <v>46198</v>
      </c>
      <c r="T712" s="28">
        <f t="shared" si="58"/>
        <v>46378</v>
      </c>
      <c r="U712" s="25">
        <f t="shared" ca="1" si="59"/>
        <v>117</v>
      </c>
      <c r="V712" s="25" t="str">
        <f t="shared" ca="1" si="60"/>
        <v>AL DÍA</v>
      </c>
      <c r="W712" s="25" t="s">
        <v>24</v>
      </c>
      <c r="X712" s="25" t="s">
        <v>271</v>
      </c>
      <c r="Y712" s="25">
        <v>2</v>
      </c>
    </row>
    <row r="713" spans="1:25" ht="14.25" hidden="1" customHeight="1" x14ac:dyDescent="0.15">
      <c r="A713" s="24" t="s">
        <v>296</v>
      </c>
      <c r="B713" s="24" t="s">
        <v>185</v>
      </c>
      <c r="C713" s="26">
        <v>512</v>
      </c>
      <c r="D713" s="24" t="s">
        <v>16</v>
      </c>
      <c r="E713" s="24" t="s">
        <v>435</v>
      </c>
      <c r="F713" s="24" t="s">
        <v>423</v>
      </c>
      <c r="G713" s="71"/>
      <c r="H713" s="21">
        <v>0</v>
      </c>
      <c r="I713" s="21">
        <f t="shared" ca="1" si="56"/>
        <v>2026</v>
      </c>
      <c r="J713" s="21">
        <v>3</v>
      </c>
      <c r="K713" s="25" t="str">
        <f t="shared" ca="1" si="57"/>
        <v>Activo</v>
      </c>
      <c r="O713" s="72">
        <v>1</v>
      </c>
      <c r="P713" s="26" t="s">
        <v>439</v>
      </c>
      <c r="Q713" s="34">
        <v>180</v>
      </c>
      <c r="S713" s="29">
        <v>46198</v>
      </c>
      <c r="T713" s="28">
        <f t="shared" si="58"/>
        <v>46378</v>
      </c>
      <c r="U713" s="25">
        <f t="shared" ca="1" si="59"/>
        <v>117</v>
      </c>
      <c r="V713" s="25" t="str">
        <f t="shared" ca="1" si="60"/>
        <v>AL DÍA</v>
      </c>
      <c r="W713" s="25" t="s">
        <v>24</v>
      </c>
      <c r="X713" s="25" t="s">
        <v>271</v>
      </c>
      <c r="Y713" s="25">
        <v>2</v>
      </c>
    </row>
    <row r="714" spans="1:25" ht="14.25" hidden="1" customHeight="1" x14ac:dyDescent="0.15">
      <c r="A714" s="24" t="s">
        <v>296</v>
      </c>
      <c r="B714" s="24" t="s">
        <v>185</v>
      </c>
      <c r="C714" s="26">
        <v>513</v>
      </c>
      <c r="D714" s="24" t="s">
        <v>16</v>
      </c>
      <c r="E714" s="24" t="s">
        <v>435</v>
      </c>
      <c r="F714" s="24" t="s">
        <v>423</v>
      </c>
      <c r="G714" s="71"/>
      <c r="H714" s="21">
        <v>0</v>
      </c>
      <c r="I714" s="21">
        <f t="shared" ca="1" si="56"/>
        <v>2026</v>
      </c>
      <c r="J714" s="21">
        <v>3</v>
      </c>
      <c r="K714" s="25" t="str">
        <f t="shared" ca="1" si="57"/>
        <v>Activo</v>
      </c>
      <c r="O714" s="72">
        <v>1</v>
      </c>
      <c r="P714" s="26" t="s">
        <v>439</v>
      </c>
      <c r="Q714" s="34">
        <v>180</v>
      </c>
      <c r="S714" s="29">
        <v>46198</v>
      </c>
      <c r="T714" s="28">
        <f t="shared" si="58"/>
        <v>46378</v>
      </c>
      <c r="U714" s="25">
        <f t="shared" ca="1" si="59"/>
        <v>117</v>
      </c>
      <c r="V714" s="25" t="str">
        <f t="shared" ca="1" si="60"/>
        <v>AL DÍA</v>
      </c>
      <c r="W714" s="25" t="s">
        <v>24</v>
      </c>
      <c r="X714" s="25" t="s">
        <v>271</v>
      </c>
      <c r="Y714" s="25">
        <v>2</v>
      </c>
    </row>
    <row r="715" spans="1:25" ht="14.25" hidden="1" customHeight="1" x14ac:dyDescent="0.15">
      <c r="A715" s="24" t="s">
        <v>296</v>
      </c>
      <c r="B715" s="24" t="s">
        <v>185</v>
      </c>
      <c r="C715" s="26">
        <v>515</v>
      </c>
      <c r="D715" s="24" t="s">
        <v>16</v>
      </c>
      <c r="E715" s="24" t="s">
        <v>435</v>
      </c>
      <c r="F715" s="24" t="s">
        <v>423</v>
      </c>
      <c r="G715" s="71"/>
      <c r="H715" s="21">
        <v>0</v>
      </c>
      <c r="I715" s="21">
        <f t="shared" ca="1" si="56"/>
        <v>2026</v>
      </c>
      <c r="J715" s="21">
        <v>3</v>
      </c>
      <c r="K715" s="25" t="str">
        <f t="shared" ca="1" si="57"/>
        <v>Activo</v>
      </c>
      <c r="O715" s="72">
        <v>1</v>
      </c>
      <c r="P715" s="26" t="s">
        <v>439</v>
      </c>
      <c r="Q715" s="34">
        <v>180</v>
      </c>
      <c r="S715" s="29">
        <v>46198</v>
      </c>
      <c r="T715" s="28">
        <f t="shared" si="58"/>
        <v>46378</v>
      </c>
      <c r="U715" s="25">
        <f t="shared" ca="1" si="59"/>
        <v>117</v>
      </c>
      <c r="V715" s="25" t="str">
        <f t="shared" ca="1" si="60"/>
        <v>AL DÍA</v>
      </c>
      <c r="W715" s="25" t="s">
        <v>24</v>
      </c>
      <c r="X715" s="25" t="s">
        <v>271</v>
      </c>
      <c r="Y715" s="25">
        <v>2</v>
      </c>
    </row>
    <row r="716" spans="1:25" ht="14.25" hidden="1" customHeight="1" x14ac:dyDescent="0.15">
      <c r="A716" s="24" t="s">
        <v>296</v>
      </c>
      <c r="B716" s="24" t="s">
        <v>185</v>
      </c>
      <c r="C716" s="25">
        <v>516</v>
      </c>
      <c r="D716" s="24" t="s">
        <v>16</v>
      </c>
      <c r="E716" s="24" t="s">
        <v>435</v>
      </c>
      <c r="F716" s="24" t="s">
        <v>423</v>
      </c>
      <c r="G716" s="71"/>
      <c r="H716" s="21">
        <v>0</v>
      </c>
      <c r="I716" s="21">
        <f t="shared" ca="1" si="56"/>
        <v>2026</v>
      </c>
      <c r="J716" s="21">
        <v>3</v>
      </c>
      <c r="K716" s="25" t="str">
        <f t="shared" ca="1" si="57"/>
        <v>Activo</v>
      </c>
      <c r="O716" s="72">
        <v>1</v>
      </c>
      <c r="P716" s="26" t="s">
        <v>439</v>
      </c>
      <c r="Q716" s="34">
        <v>180</v>
      </c>
      <c r="S716" s="29">
        <v>46198</v>
      </c>
      <c r="T716" s="28">
        <f t="shared" si="58"/>
        <v>46378</v>
      </c>
      <c r="U716" s="25">
        <f t="shared" ca="1" si="59"/>
        <v>117</v>
      </c>
      <c r="V716" s="25" t="str">
        <f t="shared" ca="1" si="60"/>
        <v>AL DÍA</v>
      </c>
      <c r="W716" s="25" t="s">
        <v>24</v>
      </c>
      <c r="X716" s="25" t="s">
        <v>271</v>
      </c>
      <c r="Y716" s="25">
        <v>2</v>
      </c>
    </row>
    <row r="717" spans="1:25" ht="14.25" hidden="1" customHeight="1" x14ac:dyDescent="0.15">
      <c r="A717" s="24" t="s">
        <v>296</v>
      </c>
      <c r="B717" s="24" t="s">
        <v>185</v>
      </c>
      <c r="C717" s="26">
        <v>522</v>
      </c>
      <c r="D717" s="24" t="s">
        <v>16</v>
      </c>
      <c r="E717" s="24" t="s">
        <v>435</v>
      </c>
      <c r="F717" s="24" t="s">
        <v>423</v>
      </c>
      <c r="G717" s="71"/>
      <c r="H717" s="21">
        <v>0</v>
      </c>
      <c r="I717" s="21">
        <f t="shared" ca="1" si="56"/>
        <v>2026</v>
      </c>
      <c r="J717" s="21">
        <v>3</v>
      </c>
      <c r="K717" s="25" t="str">
        <f t="shared" ca="1" si="57"/>
        <v>Activo</v>
      </c>
      <c r="O717" s="72">
        <v>1</v>
      </c>
      <c r="P717" s="26" t="s">
        <v>439</v>
      </c>
      <c r="Q717" s="34">
        <v>180</v>
      </c>
      <c r="S717" s="29">
        <v>46198</v>
      </c>
      <c r="T717" s="28">
        <f t="shared" si="58"/>
        <v>46378</v>
      </c>
      <c r="U717" s="25">
        <f t="shared" ca="1" si="59"/>
        <v>117</v>
      </c>
      <c r="V717" s="25" t="str">
        <f t="shared" ca="1" si="60"/>
        <v>AL DÍA</v>
      </c>
      <c r="W717" s="25" t="s">
        <v>24</v>
      </c>
      <c r="X717" s="25" t="s">
        <v>271</v>
      </c>
      <c r="Y717" s="25">
        <v>2</v>
      </c>
    </row>
    <row r="718" spans="1:25" ht="14.25" hidden="1" customHeight="1" x14ac:dyDescent="0.15">
      <c r="A718" s="24" t="s">
        <v>296</v>
      </c>
      <c r="B718" s="24" t="s">
        <v>185</v>
      </c>
      <c r="C718" s="26">
        <v>523</v>
      </c>
      <c r="D718" s="24" t="s">
        <v>16</v>
      </c>
      <c r="E718" s="24" t="s">
        <v>435</v>
      </c>
      <c r="F718" s="24" t="s">
        <v>423</v>
      </c>
      <c r="G718" s="71"/>
      <c r="H718" s="21">
        <v>0</v>
      </c>
      <c r="I718" s="21">
        <f t="shared" ca="1" si="56"/>
        <v>2026</v>
      </c>
      <c r="J718" s="21">
        <v>3</v>
      </c>
      <c r="K718" s="25" t="str">
        <f t="shared" ca="1" si="57"/>
        <v>Activo</v>
      </c>
      <c r="O718" s="72">
        <v>1</v>
      </c>
      <c r="P718" s="26" t="s">
        <v>439</v>
      </c>
      <c r="Q718" s="34">
        <v>180</v>
      </c>
      <c r="S718" s="29">
        <v>46198</v>
      </c>
      <c r="T718" s="28">
        <f t="shared" si="58"/>
        <v>46378</v>
      </c>
      <c r="U718" s="25">
        <f t="shared" ca="1" si="59"/>
        <v>117</v>
      </c>
      <c r="V718" s="25" t="str">
        <f t="shared" ca="1" si="60"/>
        <v>AL DÍA</v>
      </c>
      <c r="W718" s="25" t="s">
        <v>24</v>
      </c>
      <c r="X718" s="25" t="s">
        <v>271</v>
      </c>
      <c r="Y718" s="25">
        <v>2</v>
      </c>
    </row>
    <row r="719" spans="1:25" ht="14.25" hidden="1" customHeight="1" x14ac:dyDescent="0.15">
      <c r="A719" s="24" t="s">
        <v>296</v>
      </c>
      <c r="B719" s="24" t="s">
        <v>185</v>
      </c>
      <c r="C719" s="26">
        <v>524</v>
      </c>
      <c r="D719" s="24" t="s">
        <v>16</v>
      </c>
      <c r="E719" s="24" t="s">
        <v>435</v>
      </c>
      <c r="F719" s="24" t="s">
        <v>423</v>
      </c>
      <c r="G719" s="71"/>
      <c r="H719" s="21">
        <v>0</v>
      </c>
      <c r="I719" s="21">
        <f t="shared" ca="1" si="56"/>
        <v>2026</v>
      </c>
      <c r="J719" s="21">
        <v>3</v>
      </c>
      <c r="K719" s="25" t="str">
        <f t="shared" ca="1" si="57"/>
        <v>Activo</v>
      </c>
      <c r="O719" s="72">
        <v>1</v>
      </c>
      <c r="P719" s="26" t="s">
        <v>439</v>
      </c>
      <c r="Q719" s="34">
        <v>180</v>
      </c>
      <c r="S719" s="29">
        <v>46198</v>
      </c>
      <c r="T719" s="28">
        <f t="shared" si="58"/>
        <v>46378</v>
      </c>
      <c r="U719" s="25">
        <f t="shared" ca="1" si="59"/>
        <v>117</v>
      </c>
      <c r="V719" s="25" t="str">
        <f t="shared" ca="1" si="60"/>
        <v>AL DÍA</v>
      </c>
      <c r="W719" s="25" t="s">
        <v>24</v>
      </c>
      <c r="X719" s="25" t="s">
        <v>271</v>
      </c>
      <c r="Y719" s="25">
        <v>2</v>
      </c>
    </row>
    <row r="720" spans="1:25" ht="14.25" hidden="1" customHeight="1" x14ac:dyDescent="0.15">
      <c r="A720" s="24" t="s">
        <v>296</v>
      </c>
      <c r="B720" s="24" t="s">
        <v>185</v>
      </c>
      <c r="C720" s="26">
        <v>525</v>
      </c>
      <c r="D720" s="24" t="s">
        <v>16</v>
      </c>
      <c r="E720" s="24" t="s">
        <v>435</v>
      </c>
      <c r="F720" s="24" t="s">
        <v>423</v>
      </c>
      <c r="G720" s="71"/>
      <c r="H720" s="21">
        <v>0</v>
      </c>
      <c r="I720" s="21">
        <f t="shared" ca="1" si="56"/>
        <v>2026</v>
      </c>
      <c r="J720" s="21">
        <v>3</v>
      </c>
      <c r="K720" s="25" t="str">
        <f t="shared" ca="1" si="57"/>
        <v>Activo</v>
      </c>
      <c r="O720" s="72">
        <v>1</v>
      </c>
      <c r="P720" s="26" t="s">
        <v>439</v>
      </c>
      <c r="Q720" s="34">
        <v>180</v>
      </c>
      <c r="S720" s="29">
        <v>46198</v>
      </c>
      <c r="T720" s="28">
        <f t="shared" si="58"/>
        <v>46378</v>
      </c>
      <c r="U720" s="25">
        <f t="shared" ca="1" si="59"/>
        <v>117</v>
      </c>
      <c r="V720" s="25" t="str">
        <f t="shared" ca="1" si="60"/>
        <v>AL DÍA</v>
      </c>
      <c r="W720" s="25" t="s">
        <v>24</v>
      </c>
      <c r="X720" s="25" t="s">
        <v>271</v>
      </c>
      <c r="Y720" s="25">
        <v>2</v>
      </c>
    </row>
    <row r="721" spans="1:25" ht="14.25" hidden="1" customHeight="1" x14ac:dyDescent="0.15">
      <c r="A721" s="24" t="s">
        <v>296</v>
      </c>
      <c r="B721" s="24" t="s">
        <v>188</v>
      </c>
      <c r="C721" s="26">
        <v>601</v>
      </c>
      <c r="D721" s="24" t="s">
        <v>16</v>
      </c>
      <c r="E721" s="24" t="s">
        <v>435</v>
      </c>
      <c r="F721" s="24" t="s">
        <v>423</v>
      </c>
      <c r="G721" s="71"/>
      <c r="H721" s="21">
        <v>0</v>
      </c>
      <c r="I721" s="21">
        <f t="shared" ca="1" si="56"/>
        <v>2026</v>
      </c>
      <c r="J721" s="21">
        <v>3</v>
      </c>
      <c r="K721" s="25" t="str">
        <f t="shared" ca="1" si="57"/>
        <v>Activo</v>
      </c>
      <c r="O721" s="72">
        <v>1</v>
      </c>
      <c r="P721" s="26" t="s">
        <v>439</v>
      </c>
      <c r="Q721" s="34">
        <v>180</v>
      </c>
      <c r="S721" s="29">
        <v>46198</v>
      </c>
      <c r="T721" s="28">
        <f t="shared" si="58"/>
        <v>46378</v>
      </c>
      <c r="U721" s="25">
        <f t="shared" ca="1" si="59"/>
        <v>117</v>
      </c>
      <c r="V721" s="25" t="str">
        <f t="shared" ca="1" si="60"/>
        <v>AL DÍA</v>
      </c>
      <c r="W721" s="25" t="s">
        <v>24</v>
      </c>
      <c r="X721" s="25" t="s">
        <v>271</v>
      </c>
      <c r="Y721" s="25">
        <v>2</v>
      </c>
    </row>
    <row r="722" spans="1:25" ht="14.25" hidden="1" customHeight="1" x14ac:dyDescent="0.15">
      <c r="A722" s="24" t="s">
        <v>296</v>
      </c>
      <c r="B722" s="24" t="s">
        <v>188</v>
      </c>
      <c r="C722" s="26">
        <v>602</v>
      </c>
      <c r="D722" s="24" t="s">
        <v>16</v>
      </c>
      <c r="E722" s="24" t="s">
        <v>435</v>
      </c>
      <c r="F722" s="24" t="s">
        <v>423</v>
      </c>
      <c r="G722" s="71"/>
      <c r="H722" s="21">
        <v>0</v>
      </c>
      <c r="I722" s="21">
        <f t="shared" ca="1" si="56"/>
        <v>2026</v>
      </c>
      <c r="J722" s="21">
        <v>3</v>
      </c>
      <c r="K722" s="25" t="str">
        <f t="shared" ca="1" si="57"/>
        <v>Activo</v>
      </c>
      <c r="O722" s="72">
        <v>1</v>
      </c>
      <c r="P722" s="26" t="s">
        <v>439</v>
      </c>
      <c r="Q722" s="34">
        <v>180</v>
      </c>
      <c r="S722" s="29">
        <v>46198</v>
      </c>
      <c r="T722" s="28">
        <f t="shared" si="58"/>
        <v>46378</v>
      </c>
      <c r="U722" s="25">
        <f t="shared" ca="1" si="59"/>
        <v>117</v>
      </c>
      <c r="V722" s="25" t="str">
        <f t="shared" ca="1" si="60"/>
        <v>AL DÍA</v>
      </c>
      <c r="W722" s="25" t="s">
        <v>24</v>
      </c>
      <c r="X722" s="25" t="s">
        <v>271</v>
      </c>
      <c r="Y722" s="25">
        <v>2</v>
      </c>
    </row>
    <row r="723" spans="1:25" ht="14.25" hidden="1" customHeight="1" x14ac:dyDescent="0.15">
      <c r="A723" s="24" t="s">
        <v>296</v>
      </c>
      <c r="B723" s="24" t="s">
        <v>188</v>
      </c>
      <c r="C723" s="26">
        <v>603</v>
      </c>
      <c r="D723" s="24" t="s">
        <v>16</v>
      </c>
      <c r="E723" s="24" t="s">
        <v>435</v>
      </c>
      <c r="F723" s="24" t="s">
        <v>423</v>
      </c>
      <c r="G723" s="71"/>
      <c r="H723" s="21">
        <v>0</v>
      </c>
      <c r="I723" s="21">
        <f t="shared" ref="I723:I738" ca="1" si="61">YEAR(TODAY())-G723</f>
        <v>2026</v>
      </c>
      <c r="J723" s="21">
        <v>3</v>
      </c>
      <c r="K723" s="25" t="str">
        <f t="shared" ca="1" si="57"/>
        <v>Activo</v>
      </c>
      <c r="O723" s="72">
        <v>1</v>
      </c>
      <c r="P723" s="26" t="s">
        <v>439</v>
      </c>
      <c r="Q723" s="34">
        <v>180</v>
      </c>
      <c r="S723" s="29">
        <v>46198</v>
      </c>
      <c r="T723" s="28">
        <f t="shared" si="58"/>
        <v>46378</v>
      </c>
      <c r="U723" s="25">
        <f t="shared" ca="1" si="59"/>
        <v>117</v>
      </c>
      <c r="V723" s="25" t="str">
        <f t="shared" ca="1" si="60"/>
        <v>AL DÍA</v>
      </c>
      <c r="W723" s="25" t="s">
        <v>24</v>
      </c>
      <c r="X723" s="25" t="s">
        <v>271</v>
      </c>
      <c r="Y723" s="25">
        <v>2</v>
      </c>
    </row>
    <row r="724" spans="1:25" ht="14.25" hidden="1" customHeight="1" x14ac:dyDescent="0.15">
      <c r="A724" s="24" t="s">
        <v>296</v>
      </c>
      <c r="B724" s="24" t="s">
        <v>188</v>
      </c>
      <c r="C724" s="26">
        <v>604</v>
      </c>
      <c r="D724" s="24" t="s">
        <v>16</v>
      </c>
      <c r="E724" s="24" t="s">
        <v>435</v>
      </c>
      <c r="F724" s="24" t="s">
        <v>423</v>
      </c>
      <c r="G724" s="71"/>
      <c r="H724" s="21">
        <v>0</v>
      </c>
      <c r="I724" s="21">
        <f t="shared" ca="1" si="61"/>
        <v>2026</v>
      </c>
      <c r="J724" s="21">
        <v>3</v>
      </c>
      <c r="K724" s="25" t="str">
        <f t="shared" ca="1" si="57"/>
        <v>Activo</v>
      </c>
      <c r="O724" s="72">
        <v>1</v>
      </c>
      <c r="P724" s="26" t="s">
        <v>439</v>
      </c>
      <c r="Q724" s="34">
        <v>180</v>
      </c>
      <c r="S724" s="29">
        <v>46198</v>
      </c>
      <c r="T724" s="28">
        <f t="shared" si="58"/>
        <v>46378</v>
      </c>
      <c r="U724" s="25">
        <f t="shared" ca="1" si="59"/>
        <v>117</v>
      </c>
      <c r="V724" s="25" t="str">
        <f t="shared" ca="1" si="60"/>
        <v>AL DÍA</v>
      </c>
      <c r="W724" s="25" t="s">
        <v>24</v>
      </c>
      <c r="X724" s="25" t="s">
        <v>271</v>
      </c>
      <c r="Y724" s="25">
        <v>2</v>
      </c>
    </row>
    <row r="725" spans="1:25" ht="14.25" hidden="1" customHeight="1" x14ac:dyDescent="0.15">
      <c r="A725" s="24" t="s">
        <v>296</v>
      </c>
      <c r="B725" s="24" t="s">
        <v>188</v>
      </c>
      <c r="C725" s="26">
        <v>606</v>
      </c>
      <c r="D725" s="24" t="s">
        <v>16</v>
      </c>
      <c r="E725" s="24" t="s">
        <v>435</v>
      </c>
      <c r="F725" s="24" t="s">
        <v>423</v>
      </c>
      <c r="G725" s="71"/>
      <c r="H725" s="21">
        <v>0</v>
      </c>
      <c r="I725" s="21">
        <f t="shared" ca="1" si="61"/>
        <v>2026</v>
      </c>
      <c r="J725" s="21">
        <v>3</v>
      </c>
      <c r="K725" s="25" t="str">
        <f t="shared" ca="1" si="57"/>
        <v>Activo</v>
      </c>
      <c r="O725" s="72">
        <v>1</v>
      </c>
      <c r="P725" s="26" t="s">
        <v>439</v>
      </c>
      <c r="Q725" s="34">
        <v>180</v>
      </c>
      <c r="S725" s="29">
        <v>46198</v>
      </c>
      <c r="T725" s="28">
        <f t="shared" si="58"/>
        <v>46378</v>
      </c>
      <c r="U725" s="25">
        <f t="shared" ca="1" si="59"/>
        <v>117</v>
      </c>
      <c r="V725" s="25" t="str">
        <f t="shared" ca="1" si="60"/>
        <v>AL DÍA</v>
      </c>
      <c r="W725" s="25" t="s">
        <v>24</v>
      </c>
      <c r="X725" s="25" t="s">
        <v>271</v>
      </c>
      <c r="Y725" s="25">
        <v>2</v>
      </c>
    </row>
    <row r="726" spans="1:25" ht="14.25" hidden="1" customHeight="1" x14ac:dyDescent="0.15">
      <c r="A726" s="24" t="s">
        <v>296</v>
      </c>
      <c r="B726" s="24" t="s">
        <v>188</v>
      </c>
      <c r="C726" s="26">
        <v>607</v>
      </c>
      <c r="D726" s="24" t="s">
        <v>16</v>
      </c>
      <c r="E726" s="24" t="s">
        <v>435</v>
      </c>
      <c r="F726" s="24" t="s">
        <v>423</v>
      </c>
      <c r="G726" s="71"/>
      <c r="H726" s="21">
        <v>0</v>
      </c>
      <c r="I726" s="21">
        <f t="shared" ca="1" si="61"/>
        <v>2026</v>
      </c>
      <c r="J726" s="21">
        <v>3</v>
      </c>
      <c r="K726" s="25" t="str">
        <f t="shared" ca="1" si="57"/>
        <v>Activo</v>
      </c>
      <c r="O726" s="72">
        <v>1</v>
      </c>
      <c r="P726" s="26" t="s">
        <v>439</v>
      </c>
      <c r="Q726" s="34">
        <v>180</v>
      </c>
      <c r="S726" s="29">
        <v>46198</v>
      </c>
      <c r="T726" s="28">
        <f t="shared" si="58"/>
        <v>46378</v>
      </c>
      <c r="U726" s="25">
        <f t="shared" ca="1" si="59"/>
        <v>117</v>
      </c>
      <c r="V726" s="25" t="str">
        <f t="shared" ca="1" si="60"/>
        <v>AL DÍA</v>
      </c>
      <c r="W726" s="25" t="s">
        <v>24</v>
      </c>
      <c r="X726" s="25" t="s">
        <v>271</v>
      </c>
      <c r="Y726" s="25">
        <v>2</v>
      </c>
    </row>
    <row r="727" spans="1:25" ht="14.25" hidden="1" customHeight="1" x14ac:dyDescent="0.15">
      <c r="A727" s="24" t="s">
        <v>296</v>
      </c>
      <c r="B727" s="24" t="s">
        <v>188</v>
      </c>
      <c r="C727" s="26">
        <v>608</v>
      </c>
      <c r="D727" s="24" t="s">
        <v>16</v>
      </c>
      <c r="E727" s="24" t="s">
        <v>435</v>
      </c>
      <c r="F727" s="24" t="s">
        <v>423</v>
      </c>
      <c r="G727" s="71"/>
      <c r="H727" s="21">
        <v>0</v>
      </c>
      <c r="I727" s="21">
        <f t="shared" ca="1" si="61"/>
        <v>2026</v>
      </c>
      <c r="J727" s="21">
        <v>3</v>
      </c>
      <c r="K727" s="25" t="str">
        <f t="shared" ca="1" si="57"/>
        <v>Activo</v>
      </c>
      <c r="O727" s="72">
        <v>1</v>
      </c>
      <c r="P727" s="26" t="s">
        <v>439</v>
      </c>
      <c r="Q727" s="34">
        <v>180</v>
      </c>
      <c r="S727" s="29">
        <v>46198</v>
      </c>
      <c r="T727" s="28">
        <f t="shared" si="58"/>
        <v>46378</v>
      </c>
      <c r="U727" s="25">
        <f t="shared" ca="1" si="59"/>
        <v>117</v>
      </c>
      <c r="V727" s="25" t="str">
        <f t="shared" ca="1" si="60"/>
        <v>AL DÍA</v>
      </c>
      <c r="W727" s="25" t="s">
        <v>24</v>
      </c>
      <c r="X727" s="25" t="s">
        <v>271</v>
      </c>
      <c r="Y727" s="25">
        <v>2</v>
      </c>
    </row>
    <row r="728" spans="1:25" ht="14.25" hidden="1" customHeight="1" x14ac:dyDescent="0.15">
      <c r="A728" s="24" t="s">
        <v>296</v>
      </c>
      <c r="B728" s="24" t="s">
        <v>188</v>
      </c>
      <c r="C728" s="26">
        <v>609</v>
      </c>
      <c r="D728" s="24" t="s">
        <v>16</v>
      </c>
      <c r="E728" s="24" t="s">
        <v>435</v>
      </c>
      <c r="F728" s="24" t="s">
        <v>423</v>
      </c>
      <c r="G728" s="71"/>
      <c r="H728" s="21">
        <v>0</v>
      </c>
      <c r="I728" s="21">
        <f t="shared" ca="1" si="61"/>
        <v>2026</v>
      </c>
      <c r="J728" s="21">
        <v>3</v>
      </c>
      <c r="K728" s="25" t="str">
        <f t="shared" ca="1" si="57"/>
        <v>Activo</v>
      </c>
      <c r="O728" s="72">
        <v>1</v>
      </c>
      <c r="P728" s="26" t="s">
        <v>439</v>
      </c>
      <c r="Q728" s="34">
        <v>180</v>
      </c>
      <c r="S728" s="29">
        <v>46198</v>
      </c>
      <c r="T728" s="28">
        <f t="shared" si="58"/>
        <v>46378</v>
      </c>
      <c r="U728" s="25">
        <f t="shared" ca="1" si="59"/>
        <v>117</v>
      </c>
      <c r="V728" s="25" t="str">
        <f t="shared" ca="1" si="60"/>
        <v>AL DÍA</v>
      </c>
      <c r="W728" s="25" t="s">
        <v>24</v>
      </c>
      <c r="X728" s="25" t="s">
        <v>271</v>
      </c>
      <c r="Y728" s="25">
        <v>2</v>
      </c>
    </row>
    <row r="729" spans="1:25" ht="14.25" hidden="1" customHeight="1" x14ac:dyDescent="0.15">
      <c r="A729" s="24" t="s">
        <v>296</v>
      </c>
      <c r="B729" s="24" t="s">
        <v>188</v>
      </c>
      <c r="C729" s="26">
        <v>610</v>
      </c>
      <c r="D729" s="24" t="s">
        <v>16</v>
      </c>
      <c r="E729" s="24" t="s">
        <v>435</v>
      </c>
      <c r="F729" s="24" t="s">
        <v>423</v>
      </c>
      <c r="G729" s="71"/>
      <c r="H729" s="21">
        <v>0</v>
      </c>
      <c r="I729" s="21">
        <f t="shared" ca="1" si="61"/>
        <v>2026</v>
      </c>
      <c r="J729" s="21">
        <v>3</v>
      </c>
      <c r="K729" s="25" t="str">
        <f t="shared" ca="1" si="57"/>
        <v>Activo</v>
      </c>
      <c r="O729" s="72">
        <v>1</v>
      </c>
      <c r="P729" s="26" t="s">
        <v>439</v>
      </c>
      <c r="Q729" s="34">
        <v>180</v>
      </c>
      <c r="S729" s="29">
        <v>46198</v>
      </c>
      <c r="T729" s="28">
        <f t="shared" si="58"/>
        <v>46378</v>
      </c>
      <c r="U729" s="25">
        <f t="shared" ca="1" si="59"/>
        <v>117</v>
      </c>
      <c r="V729" s="25" t="str">
        <f t="shared" ca="1" si="60"/>
        <v>AL DÍA</v>
      </c>
      <c r="W729" s="25" t="s">
        <v>24</v>
      </c>
      <c r="X729" s="25" t="s">
        <v>271</v>
      </c>
      <c r="Y729" s="25">
        <v>2</v>
      </c>
    </row>
    <row r="730" spans="1:25" ht="14.25" hidden="1" customHeight="1" x14ac:dyDescent="0.15">
      <c r="A730" s="24" t="s">
        <v>296</v>
      </c>
      <c r="B730" s="24" t="s">
        <v>188</v>
      </c>
      <c r="C730" s="26">
        <v>611</v>
      </c>
      <c r="D730" s="24" t="s">
        <v>16</v>
      </c>
      <c r="E730" s="24" t="s">
        <v>435</v>
      </c>
      <c r="F730" s="24" t="s">
        <v>423</v>
      </c>
      <c r="G730" s="71"/>
      <c r="H730" s="21">
        <v>0</v>
      </c>
      <c r="I730" s="21">
        <f t="shared" ca="1" si="61"/>
        <v>2026</v>
      </c>
      <c r="J730" s="21">
        <v>3</v>
      </c>
      <c r="K730" s="25" t="str">
        <f t="shared" ca="1" si="57"/>
        <v>Activo</v>
      </c>
      <c r="O730" s="72">
        <v>1</v>
      </c>
      <c r="P730" s="26" t="s">
        <v>439</v>
      </c>
      <c r="Q730" s="34">
        <v>180</v>
      </c>
      <c r="S730" s="29">
        <v>46198</v>
      </c>
      <c r="T730" s="28">
        <f t="shared" si="58"/>
        <v>46378</v>
      </c>
      <c r="U730" s="25">
        <f t="shared" ca="1" si="59"/>
        <v>117</v>
      </c>
      <c r="V730" s="25" t="str">
        <f t="shared" ca="1" si="60"/>
        <v>AL DÍA</v>
      </c>
      <c r="W730" s="25" t="s">
        <v>24</v>
      </c>
      <c r="X730" s="25" t="s">
        <v>271</v>
      </c>
      <c r="Y730" s="25">
        <v>2</v>
      </c>
    </row>
    <row r="731" spans="1:25" ht="14.25" hidden="1" customHeight="1" x14ac:dyDescent="0.15">
      <c r="A731" s="24" t="s">
        <v>296</v>
      </c>
      <c r="B731" s="24" t="s">
        <v>188</v>
      </c>
      <c r="C731" s="25">
        <v>612</v>
      </c>
      <c r="D731" s="24" t="s">
        <v>16</v>
      </c>
      <c r="E731" s="24" t="s">
        <v>435</v>
      </c>
      <c r="F731" s="24" t="s">
        <v>423</v>
      </c>
      <c r="G731" s="71"/>
      <c r="H731" s="21">
        <v>0</v>
      </c>
      <c r="I731" s="21">
        <f t="shared" ca="1" si="61"/>
        <v>2026</v>
      </c>
      <c r="J731" s="21">
        <v>3</v>
      </c>
      <c r="K731" s="25" t="str">
        <f t="shared" ca="1" si="57"/>
        <v>Activo</v>
      </c>
      <c r="O731" s="72">
        <v>1</v>
      </c>
      <c r="P731" s="26" t="s">
        <v>439</v>
      </c>
      <c r="Q731" s="34">
        <v>180</v>
      </c>
      <c r="S731" s="29">
        <v>46198</v>
      </c>
      <c r="T731" s="28">
        <f t="shared" si="58"/>
        <v>46378</v>
      </c>
      <c r="U731" s="25">
        <f t="shared" ca="1" si="59"/>
        <v>117</v>
      </c>
      <c r="V731" s="25" t="str">
        <f t="shared" ca="1" si="60"/>
        <v>AL DÍA</v>
      </c>
      <c r="W731" s="25" t="s">
        <v>24</v>
      </c>
      <c r="X731" s="25" t="s">
        <v>271</v>
      </c>
      <c r="Y731" s="25">
        <v>2</v>
      </c>
    </row>
    <row r="732" spans="1:25" ht="14.25" hidden="1" customHeight="1" x14ac:dyDescent="0.15">
      <c r="A732" s="24" t="s">
        <v>296</v>
      </c>
      <c r="B732" s="24" t="s">
        <v>188</v>
      </c>
      <c r="C732" s="25">
        <v>613</v>
      </c>
      <c r="D732" s="24" t="s">
        <v>16</v>
      </c>
      <c r="E732" s="24" t="s">
        <v>435</v>
      </c>
      <c r="F732" s="24" t="s">
        <v>423</v>
      </c>
      <c r="G732" s="71"/>
      <c r="H732" s="21">
        <v>0</v>
      </c>
      <c r="I732" s="21">
        <f t="shared" ca="1" si="61"/>
        <v>2026</v>
      </c>
      <c r="J732" s="21">
        <v>3</v>
      </c>
      <c r="K732" s="25" t="str">
        <f t="shared" ca="1" si="57"/>
        <v>Activo</v>
      </c>
      <c r="O732" s="72">
        <v>1</v>
      </c>
      <c r="P732" s="26" t="s">
        <v>439</v>
      </c>
      <c r="Q732" s="34">
        <v>180</v>
      </c>
      <c r="S732" s="29">
        <v>46198</v>
      </c>
      <c r="T732" s="28">
        <f t="shared" si="58"/>
        <v>46378</v>
      </c>
      <c r="U732" s="25">
        <f t="shared" ca="1" si="59"/>
        <v>117</v>
      </c>
      <c r="V732" s="25" t="str">
        <f t="shared" ca="1" si="60"/>
        <v>AL DÍA</v>
      </c>
      <c r="W732" s="25" t="s">
        <v>24</v>
      </c>
      <c r="X732" s="25" t="s">
        <v>271</v>
      </c>
      <c r="Y732" s="25">
        <v>2</v>
      </c>
    </row>
    <row r="733" spans="1:25" ht="14.25" hidden="1" customHeight="1" x14ac:dyDescent="0.15">
      <c r="A733" s="24" t="s">
        <v>296</v>
      </c>
      <c r="B733" s="24" t="s">
        <v>188</v>
      </c>
      <c r="C733" s="25">
        <v>614</v>
      </c>
      <c r="D733" s="24" t="s">
        <v>16</v>
      </c>
      <c r="E733" s="24" t="s">
        <v>435</v>
      </c>
      <c r="F733" s="24" t="s">
        <v>423</v>
      </c>
      <c r="G733" s="71"/>
      <c r="H733" s="21">
        <v>0</v>
      </c>
      <c r="I733" s="21">
        <f t="shared" ca="1" si="61"/>
        <v>2026</v>
      </c>
      <c r="J733" s="21">
        <v>3</v>
      </c>
      <c r="K733" s="25" t="str">
        <f t="shared" ca="1" si="57"/>
        <v>Activo</v>
      </c>
      <c r="O733" s="72">
        <v>1</v>
      </c>
      <c r="P733" s="26" t="s">
        <v>439</v>
      </c>
      <c r="Q733" s="34">
        <v>180</v>
      </c>
      <c r="S733" s="29">
        <v>46198</v>
      </c>
      <c r="T733" s="28">
        <f t="shared" si="58"/>
        <v>46378</v>
      </c>
      <c r="U733" s="25">
        <f t="shared" ca="1" si="59"/>
        <v>117</v>
      </c>
      <c r="V733" s="25" t="str">
        <f t="shared" ca="1" si="60"/>
        <v>AL DÍA</v>
      </c>
      <c r="W733" s="25" t="s">
        <v>24</v>
      </c>
      <c r="X733" s="25" t="s">
        <v>271</v>
      </c>
      <c r="Y733" s="25">
        <v>2</v>
      </c>
    </row>
    <row r="734" spans="1:25" ht="14.25" hidden="1" customHeight="1" x14ac:dyDescent="0.15">
      <c r="A734" s="24" t="s">
        <v>296</v>
      </c>
      <c r="B734" s="24" t="s">
        <v>188</v>
      </c>
      <c r="C734" s="26">
        <v>615</v>
      </c>
      <c r="D734" s="24" t="s">
        <v>16</v>
      </c>
      <c r="E734" s="24" t="s">
        <v>435</v>
      </c>
      <c r="F734" s="24" t="s">
        <v>423</v>
      </c>
      <c r="G734" s="71"/>
      <c r="H734" s="21">
        <v>0</v>
      </c>
      <c r="I734" s="21">
        <f t="shared" ca="1" si="61"/>
        <v>2026</v>
      </c>
      <c r="J734" s="21">
        <v>3</v>
      </c>
      <c r="K734" s="25" t="str">
        <f t="shared" ca="1" si="57"/>
        <v>Activo</v>
      </c>
      <c r="O734" s="72">
        <v>1</v>
      </c>
      <c r="P734" s="26" t="s">
        <v>439</v>
      </c>
      <c r="Q734" s="34">
        <v>180</v>
      </c>
      <c r="S734" s="29">
        <v>46198</v>
      </c>
      <c r="T734" s="28">
        <f t="shared" si="58"/>
        <v>46378</v>
      </c>
      <c r="U734" s="25">
        <f t="shared" ca="1" si="59"/>
        <v>117</v>
      </c>
      <c r="V734" s="25" t="str">
        <f t="shared" ca="1" si="60"/>
        <v>AL DÍA</v>
      </c>
      <c r="W734" s="25" t="s">
        <v>24</v>
      </c>
      <c r="X734" s="25" t="s">
        <v>271</v>
      </c>
      <c r="Y734" s="25">
        <v>2</v>
      </c>
    </row>
    <row r="735" spans="1:25" ht="14.25" hidden="1" customHeight="1" x14ac:dyDescent="0.15">
      <c r="A735" s="24" t="s">
        <v>296</v>
      </c>
      <c r="B735" s="24" t="s">
        <v>188</v>
      </c>
      <c r="C735" s="25">
        <v>618</v>
      </c>
      <c r="D735" s="24" t="s">
        <v>16</v>
      </c>
      <c r="E735" s="24" t="s">
        <v>435</v>
      </c>
      <c r="F735" s="24" t="s">
        <v>423</v>
      </c>
      <c r="G735" s="71"/>
      <c r="H735" s="21">
        <v>0</v>
      </c>
      <c r="I735" s="21">
        <f t="shared" ca="1" si="61"/>
        <v>2026</v>
      </c>
      <c r="J735" s="21">
        <v>3</v>
      </c>
      <c r="K735" s="25" t="str">
        <f t="shared" ca="1" si="57"/>
        <v>Activo</v>
      </c>
      <c r="O735" s="72">
        <v>1</v>
      </c>
      <c r="P735" s="26" t="s">
        <v>439</v>
      </c>
      <c r="Q735" s="34">
        <v>180</v>
      </c>
      <c r="S735" s="29">
        <v>46198</v>
      </c>
      <c r="T735" s="28">
        <f t="shared" si="58"/>
        <v>46378</v>
      </c>
      <c r="U735" s="25">
        <f t="shared" ca="1" si="59"/>
        <v>117</v>
      </c>
      <c r="V735" s="25" t="str">
        <f t="shared" ca="1" si="60"/>
        <v>AL DÍA</v>
      </c>
      <c r="W735" s="25" t="s">
        <v>24</v>
      </c>
      <c r="X735" s="25" t="s">
        <v>271</v>
      </c>
      <c r="Y735" s="25">
        <v>2</v>
      </c>
    </row>
    <row r="736" spans="1:25" ht="14.25" hidden="1" customHeight="1" x14ac:dyDescent="0.15">
      <c r="A736" s="24" t="s">
        <v>296</v>
      </c>
      <c r="B736" s="24" t="s">
        <v>188</v>
      </c>
      <c r="C736" s="25">
        <v>623</v>
      </c>
      <c r="D736" s="24" t="s">
        <v>16</v>
      </c>
      <c r="E736" s="24" t="s">
        <v>435</v>
      </c>
      <c r="F736" s="24" t="s">
        <v>423</v>
      </c>
      <c r="G736" s="71"/>
      <c r="H736" s="21">
        <v>0</v>
      </c>
      <c r="I736" s="21">
        <f t="shared" ca="1" si="61"/>
        <v>2026</v>
      </c>
      <c r="J736" s="21">
        <v>3</v>
      </c>
      <c r="K736" s="25" t="str">
        <f t="shared" ca="1" si="57"/>
        <v>Activo</v>
      </c>
      <c r="O736" s="72">
        <v>1</v>
      </c>
      <c r="P736" s="26" t="s">
        <v>439</v>
      </c>
      <c r="Q736" s="34">
        <v>180</v>
      </c>
      <c r="S736" s="29">
        <v>46198</v>
      </c>
      <c r="T736" s="28">
        <f t="shared" si="58"/>
        <v>46378</v>
      </c>
      <c r="U736" s="25">
        <f t="shared" ca="1" si="59"/>
        <v>117</v>
      </c>
      <c r="V736" s="25" t="str">
        <f t="shared" ca="1" si="60"/>
        <v>AL DÍA</v>
      </c>
      <c r="W736" s="25" t="s">
        <v>24</v>
      </c>
      <c r="X736" s="25" t="s">
        <v>271</v>
      </c>
      <c r="Y736" s="25">
        <v>2</v>
      </c>
    </row>
    <row r="737" spans="1:26" ht="14.25" hidden="1" customHeight="1" x14ac:dyDescent="0.15">
      <c r="A737" s="24" t="s">
        <v>296</v>
      </c>
      <c r="B737" s="24" t="s">
        <v>188</v>
      </c>
      <c r="C737" s="25">
        <v>624</v>
      </c>
      <c r="D737" s="24" t="s">
        <v>16</v>
      </c>
      <c r="E737" s="24" t="s">
        <v>435</v>
      </c>
      <c r="F737" s="24" t="s">
        <v>423</v>
      </c>
      <c r="G737" s="71"/>
      <c r="H737" s="21">
        <v>0</v>
      </c>
      <c r="I737" s="21">
        <f t="shared" ca="1" si="61"/>
        <v>2026</v>
      </c>
      <c r="J737" s="21">
        <v>3</v>
      </c>
      <c r="K737" s="25" t="str">
        <f t="shared" ca="1" si="57"/>
        <v>Activo</v>
      </c>
      <c r="O737" s="72">
        <v>1</v>
      </c>
      <c r="P737" s="26" t="s">
        <v>439</v>
      </c>
      <c r="Q737" s="34">
        <v>180</v>
      </c>
      <c r="S737" s="29">
        <v>46198</v>
      </c>
      <c r="T737" s="28">
        <f t="shared" si="58"/>
        <v>46378</v>
      </c>
      <c r="U737" s="25">
        <f t="shared" ca="1" si="59"/>
        <v>117</v>
      </c>
      <c r="V737" s="25" t="str">
        <f t="shared" ca="1" si="60"/>
        <v>AL DÍA</v>
      </c>
      <c r="W737" s="25" t="s">
        <v>24</v>
      </c>
      <c r="X737" s="25" t="s">
        <v>271</v>
      </c>
      <c r="Y737" s="25">
        <v>2</v>
      </c>
    </row>
    <row r="738" spans="1:26" ht="14.25" hidden="1" customHeight="1" x14ac:dyDescent="0.15">
      <c r="A738" s="24" t="s">
        <v>296</v>
      </c>
      <c r="B738" s="24" t="s">
        <v>188</v>
      </c>
      <c r="C738" s="26">
        <v>625</v>
      </c>
      <c r="D738" s="24" t="s">
        <v>16</v>
      </c>
      <c r="E738" s="24" t="s">
        <v>435</v>
      </c>
      <c r="F738" s="24" t="s">
        <v>423</v>
      </c>
      <c r="G738" s="71"/>
      <c r="H738" s="21">
        <v>0</v>
      </c>
      <c r="I738" s="21">
        <f t="shared" ca="1" si="61"/>
        <v>2026</v>
      </c>
      <c r="J738" s="21">
        <v>3</v>
      </c>
      <c r="K738" s="25" t="str">
        <f t="shared" ca="1" si="57"/>
        <v>Activo</v>
      </c>
      <c r="O738" s="72">
        <v>1</v>
      </c>
      <c r="P738" s="26" t="s">
        <v>439</v>
      </c>
      <c r="Q738" s="34">
        <v>180</v>
      </c>
      <c r="S738" s="29">
        <v>46198</v>
      </c>
      <c r="T738" s="28">
        <f t="shared" si="58"/>
        <v>46378</v>
      </c>
      <c r="U738" s="25">
        <f t="shared" ca="1" si="59"/>
        <v>117</v>
      </c>
      <c r="V738" s="25" t="str">
        <f t="shared" ca="1" si="60"/>
        <v>AL DÍA</v>
      </c>
      <c r="W738" s="25" t="s">
        <v>24</v>
      </c>
      <c r="X738" s="25" t="s">
        <v>271</v>
      </c>
      <c r="Y738" s="25">
        <v>2</v>
      </c>
    </row>
    <row r="739" spans="1:26" ht="14.25" hidden="1" customHeight="1" x14ac:dyDescent="0.15">
      <c r="A739" s="24" t="s">
        <v>296</v>
      </c>
      <c r="B739" s="24" t="s">
        <v>156</v>
      </c>
      <c r="C739" s="26" t="s">
        <v>429</v>
      </c>
      <c r="D739" s="24" t="s">
        <v>65</v>
      </c>
      <c r="F739" s="24" t="s">
        <v>217</v>
      </c>
      <c r="G739" s="21">
        <v>1987</v>
      </c>
      <c r="H739" s="21">
        <v>0</v>
      </c>
      <c r="I739" s="21">
        <v>39</v>
      </c>
      <c r="J739" s="21">
        <v>3</v>
      </c>
      <c r="K739" s="25" t="str">
        <f t="shared" ca="1" si="57"/>
        <v>Activo</v>
      </c>
      <c r="L739" s="25" t="s">
        <v>49</v>
      </c>
      <c r="O739" s="25">
        <v>62.64</v>
      </c>
      <c r="Q739" s="34">
        <v>365</v>
      </c>
      <c r="R739" s="25" t="s">
        <v>64</v>
      </c>
      <c r="S739" s="28">
        <v>46198</v>
      </c>
      <c r="T739" s="28">
        <f t="shared" si="58"/>
        <v>46563</v>
      </c>
      <c r="U739" s="25">
        <f t="shared" ca="1" si="59"/>
        <v>302</v>
      </c>
      <c r="V739" s="25" t="str">
        <f t="shared" ca="1" si="60"/>
        <v>AL DÍA</v>
      </c>
      <c r="W739" s="25" t="s">
        <v>24</v>
      </c>
      <c r="X739" s="25" t="s">
        <v>262</v>
      </c>
      <c r="Y739" s="25">
        <v>2</v>
      </c>
    </row>
    <row r="740" spans="1:26" ht="14.25" hidden="1" customHeight="1" x14ac:dyDescent="0.15">
      <c r="A740" s="24" t="s">
        <v>296</v>
      </c>
      <c r="B740" s="24" t="s">
        <v>156</v>
      </c>
      <c r="C740" s="26" t="s">
        <v>429</v>
      </c>
      <c r="D740" s="24" t="s">
        <v>65</v>
      </c>
      <c r="F740" s="24" t="s">
        <v>218</v>
      </c>
      <c r="G740" s="21">
        <v>1987</v>
      </c>
      <c r="H740" s="21">
        <v>0</v>
      </c>
      <c r="I740" s="21">
        <v>39</v>
      </c>
      <c r="J740" s="21">
        <v>3</v>
      </c>
      <c r="K740" s="25" t="str">
        <f t="shared" ca="1" si="57"/>
        <v>Activo</v>
      </c>
      <c r="L740" s="25" t="s">
        <v>49</v>
      </c>
      <c r="O740" s="25" t="s">
        <v>227</v>
      </c>
      <c r="Q740" s="34">
        <v>365</v>
      </c>
      <c r="R740" s="25" t="s">
        <v>64</v>
      </c>
      <c r="S740" s="28">
        <v>46198</v>
      </c>
      <c r="T740" s="28">
        <f t="shared" si="58"/>
        <v>46563</v>
      </c>
      <c r="U740" s="25">
        <f t="shared" ca="1" si="59"/>
        <v>302</v>
      </c>
      <c r="V740" s="25" t="str">
        <f t="shared" ca="1" si="60"/>
        <v>AL DÍA</v>
      </c>
      <c r="W740" s="25" t="s">
        <v>24</v>
      </c>
      <c r="X740" s="25" t="s">
        <v>262</v>
      </c>
      <c r="Y740" s="25">
        <v>2</v>
      </c>
    </row>
    <row r="741" spans="1:26" ht="14.25" hidden="1" customHeight="1" x14ac:dyDescent="0.15">
      <c r="A741" s="24" t="s">
        <v>296</v>
      </c>
      <c r="B741" s="24" t="s">
        <v>156</v>
      </c>
      <c r="C741" s="26" t="s">
        <v>429</v>
      </c>
      <c r="D741" s="24" t="s">
        <v>65</v>
      </c>
      <c r="F741" s="24" t="s">
        <v>220</v>
      </c>
      <c r="G741" s="21">
        <v>1987</v>
      </c>
      <c r="H741" s="21">
        <v>0</v>
      </c>
      <c r="I741" s="21">
        <v>39</v>
      </c>
      <c r="J741" s="21">
        <v>3</v>
      </c>
      <c r="K741" s="25" t="str">
        <f t="shared" ca="1" si="57"/>
        <v>Activo</v>
      </c>
      <c r="L741" s="25" t="s">
        <v>49</v>
      </c>
      <c r="O741" s="25" t="s">
        <v>431</v>
      </c>
      <c r="Q741" s="34">
        <v>365</v>
      </c>
      <c r="R741" s="25" t="s">
        <v>64</v>
      </c>
      <c r="S741" s="28">
        <v>46198</v>
      </c>
      <c r="T741" s="28">
        <f t="shared" si="58"/>
        <v>46563</v>
      </c>
      <c r="U741" s="25">
        <f t="shared" ca="1" si="59"/>
        <v>302</v>
      </c>
      <c r="V741" s="25" t="str">
        <f t="shared" ca="1" si="60"/>
        <v>AL DÍA</v>
      </c>
      <c r="W741" s="25" t="s">
        <v>24</v>
      </c>
      <c r="X741" s="25" t="s">
        <v>262</v>
      </c>
      <c r="Y741" s="25">
        <v>2</v>
      </c>
    </row>
    <row r="742" spans="1:26" ht="14.25" hidden="1" customHeight="1" x14ac:dyDescent="0.15">
      <c r="A742" s="24" t="s">
        <v>296</v>
      </c>
      <c r="B742" s="24" t="s">
        <v>156</v>
      </c>
      <c r="C742" s="26" t="s">
        <v>317</v>
      </c>
      <c r="D742" s="24" t="s">
        <v>16</v>
      </c>
      <c r="F742" s="24" t="s">
        <v>219</v>
      </c>
      <c r="G742" s="21">
        <v>2019</v>
      </c>
      <c r="H742" s="21">
        <v>15</v>
      </c>
      <c r="I742" s="21">
        <v>7</v>
      </c>
      <c r="J742" s="21">
        <v>3</v>
      </c>
      <c r="K742" s="25" t="str">
        <f t="shared" ca="1" si="57"/>
        <v>Activo</v>
      </c>
      <c r="L742" s="25" t="s">
        <v>302</v>
      </c>
      <c r="O742" s="25" t="s">
        <v>221</v>
      </c>
      <c r="P742" s="25" t="s">
        <v>49</v>
      </c>
      <c r="Q742" s="34">
        <v>365</v>
      </c>
      <c r="R742" s="25" t="s">
        <v>64</v>
      </c>
      <c r="S742" s="28">
        <v>46198</v>
      </c>
      <c r="T742" s="28">
        <f t="shared" si="58"/>
        <v>46563</v>
      </c>
      <c r="U742" s="25">
        <f t="shared" ca="1" si="59"/>
        <v>302</v>
      </c>
      <c r="V742" s="25" t="str">
        <f t="shared" ca="1" si="60"/>
        <v>AL DÍA</v>
      </c>
      <c r="W742" s="25" t="s">
        <v>24</v>
      </c>
      <c r="X742" s="25" t="s">
        <v>271</v>
      </c>
      <c r="Y742" s="25">
        <v>2</v>
      </c>
      <c r="Z742" s="1" t="s">
        <v>303</v>
      </c>
    </row>
    <row r="743" spans="1:26" ht="14.25" hidden="1" customHeight="1" x14ac:dyDescent="0.15">
      <c r="A743" s="24" t="s">
        <v>296</v>
      </c>
      <c r="B743" s="24" t="s">
        <v>156</v>
      </c>
      <c r="C743" s="26" t="s">
        <v>317</v>
      </c>
      <c r="D743" s="24" t="s">
        <v>16</v>
      </c>
      <c r="F743" s="24" t="s">
        <v>224</v>
      </c>
      <c r="G743" s="71"/>
      <c r="H743" s="21">
        <v>0</v>
      </c>
      <c r="I743" s="21">
        <v>2026</v>
      </c>
      <c r="J743" s="21">
        <v>3</v>
      </c>
      <c r="K743" s="25" t="str">
        <f t="shared" ca="1" si="57"/>
        <v>Activo</v>
      </c>
      <c r="Q743" s="34">
        <v>365</v>
      </c>
      <c r="R743" s="25" t="s">
        <v>64</v>
      </c>
      <c r="S743" s="28">
        <v>46198</v>
      </c>
      <c r="T743" s="28">
        <f t="shared" si="58"/>
        <v>46563</v>
      </c>
      <c r="U743" s="25">
        <f t="shared" ca="1" si="59"/>
        <v>302</v>
      </c>
      <c r="V743" s="25" t="str">
        <f t="shared" ca="1" si="60"/>
        <v>AL DÍA</v>
      </c>
      <c r="W743" s="25" t="s">
        <v>24</v>
      </c>
      <c r="X743" s="25" t="s">
        <v>271</v>
      </c>
      <c r="Y743" s="25">
        <v>2</v>
      </c>
    </row>
    <row r="744" spans="1:26" ht="14.25" hidden="1" customHeight="1" x14ac:dyDescent="0.15">
      <c r="A744" s="24" t="s">
        <v>296</v>
      </c>
      <c r="B744" s="24" t="s">
        <v>88</v>
      </c>
      <c r="C744" s="26" t="s">
        <v>433</v>
      </c>
      <c r="D744" s="24" t="s">
        <v>16</v>
      </c>
      <c r="E744" s="24" t="s">
        <v>451</v>
      </c>
      <c r="F744" s="24" t="s">
        <v>93</v>
      </c>
      <c r="G744" s="21">
        <v>1987</v>
      </c>
      <c r="H744" s="21">
        <v>20</v>
      </c>
      <c r="I744" s="21">
        <f ca="1">YEAR(TODAY())-G744</f>
        <v>39</v>
      </c>
      <c r="J744" s="21">
        <v>3</v>
      </c>
      <c r="K744" s="25" t="str">
        <f t="shared" ca="1" si="57"/>
        <v>Cambiar o Inspección externa</v>
      </c>
      <c r="L744" s="25" t="s">
        <v>142</v>
      </c>
      <c r="P744" s="25" t="s">
        <v>22</v>
      </c>
      <c r="Q744" s="32">
        <v>365</v>
      </c>
      <c r="R744" s="25" t="s">
        <v>69</v>
      </c>
      <c r="S744" s="28">
        <v>46198</v>
      </c>
      <c r="T744" s="28">
        <f t="shared" si="58"/>
        <v>46563</v>
      </c>
      <c r="U744" s="25">
        <f t="shared" ca="1" si="59"/>
        <v>302</v>
      </c>
      <c r="V744" s="25" t="str">
        <f t="shared" ca="1" si="60"/>
        <v>AL DÍA</v>
      </c>
      <c r="W744" s="25" t="s">
        <v>24</v>
      </c>
      <c r="X744" s="25" t="s">
        <v>262</v>
      </c>
      <c r="Y744" s="25">
        <v>1</v>
      </c>
      <c r="Z744" s="1" t="s">
        <v>265</v>
      </c>
    </row>
    <row r="745" spans="1:26" ht="14.25" hidden="1" customHeight="1" x14ac:dyDescent="0.15">
      <c r="A745" s="24" t="s">
        <v>296</v>
      </c>
      <c r="B745" s="24" t="s">
        <v>156</v>
      </c>
      <c r="C745" s="26" t="s">
        <v>317</v>
      </c>
      <c r="D745" s="24" t="s">
        <v>16</v>
      </c>
      <c r="E745" s="24" t="s">
        <v>435</v>
      </c>
      <c r="F745" s="24" t="s">
        <v>420</v>
      </c>
      <c r="G745" s="71"/>
      <c r="H745" s="21">
        <v>0</v>
      </c>
      <c r="I745" s="21">
        <v>2026</v>
      </c>
      <c r="J745" s="21">
        <v>3</v>
      </c>
      <c r="K745" s="25" t="str">
        <f t="shared" ca="1" si="57"/>
        <v>Activo</v>
      </c>
      <c r="O745" s="25">
        <v>27</v>
      </c>
      <c r="P745" s="26" t="s">
        <v>439</v>
      </c>
      <c r="Q745" s="34">
        <v>180</v>
      </c>
      <c r="S745" s="29">
        <v>46198</v>
      </c>
      <c r="T745" s="28">
        <f t="shared" si="58"/>
        <v>46378</v>
      </c>
      <c r="U745" s="25">
        <f t="shared" ca="1" si="59"/>
        <v>117</v>
      </c>
      <c r="V745" s="25" t="str">
        <f t="shared" ca="1" si="60"/>
        <v>AL DÍA</v>
      </c>
      <c r="W745" s="25" t="s">
        <v>24</v>
      </c>
      <c r="X745" s="25" t="s">
        <v>271</v>
      </c>
      <c r="Y745" s="25">
        <v>2</v>
      </c>
    </row>
    <row r="746" spans="1:26" ht="14.25" hidden="1" customHeight="1" x14ac:dyDescent="0.15">
      <c r="A746" s="24" t="s">
        <v>296</v>
      </c>
      <c r="B746" s="24" t="s">
        <v>156</v>
      </c>
      <c r="C746" s="26" t="s">
        <v>317</v>
      </c>
      <c r="D746" s="24" t="s">
        <v>16</v>
      </c>
      <c r="E746" s="24" t="s">
        <v>450</v>
      </c>
      <c r="F746" s="24" t="s">
        <v>421</v>
      </c>
      <c r="G746" s="71"/>
      <c r="H746" s="21">
        <v>0</v>
      </c>
      <c r="I746" s="21">
        <v>2026</v>
      </c>
      <c r="J746" s="21">
        <v>3</v>
      </c>
      <c r="K746" s="25" t="str">
        <f t="shared" ca="1" si="57"/>
        <v>Activo</v>
      </c>
      <c r="O746" s="72"/>
      <c r="P746" s="26" t="s">
        <v>439</v>
      </c>
      <c r="Q746" s="34">
        <v>180</v>
      </c>
      <c r="S746" s="29">
        <v>46198</v>
      </c>
      <c r="T746" s="28">
        <f t="shared" si="58"/>
        <v>46378</v>
      </c>
      <c r="U746" s="25">
        <f t="shared" ca="1" si="59"/>
        <v>117</v>
      </c>
      <c r="V746" s="25" t="str">
        <f t="shared" ca="1" si="60"/>
        <v>AL DÍA</v>
      </c>
      <c r="W746" s="25" t="s">
        <v>24</v>
      </c>
      <c r="X746" s="25" t="s">
        <v>271</v>
      </c>
      <c r="Y746" s="25">
        <v>2</v>
      </c>
    </row>
    <row r="747" spans="1:26" ht="14.25" hidden="1" customHeight="1" x14ac:dyDescent="0.15">
      <c r="A747" s="24" t="s">
        <v>296</v>
      </c>
      <c r="B747" s="24" t="s">
        <v>156</v>
      </c>
      <c r="C747" s="26" t="s">
        <v>317</v>
      </c>
      <c r="D747" s="24" t="s">
        <v>16</v>
      </c>
      <c r="E747" s="24" t="s">
        <v>450</v>
      </c>
      <c r="F747" s="24" t="s">
        <v>422</v>
      </c>
      <c r="G747" s="71"/>
      <c r="H747" s="21">
        <v>0</v>
      </c>
      <c r="I747" s="21">
        <v>2026</v>
      </c>
      <c r="J747" s="21">
        <v>3</v>
      </c>
      <c r="K747" s="25" t="str">
        <f t="shared" ca="1" si="57"/>
        <v>Activo</v>
      </c>
      <c r="O747" s="72">
        <v>1</v>
      </c>
      <c r="P747" s="26" t="s">
        <v>439</v>
      </c>
      <c r="Q747" s="34">
        <v>180</v>
      </c>
      <c r="S747" s="29">
        <v>46198</v>
      </c>
      <c r="T747" s="28">
        <f t="shared" si="58"/>
        <v>46378</v>
      </c>
      <c r="U747" s="25">
        <f t="shared" ca="1" si="59"/>
        <v>117</v>
      </c>
      <c r="V747" s="25" t="str">
        <f t="shared" ca="1" si="60"/>
        <v>AL DÍA</v>
      </c>
      <c r="W747" s="25" t="s">
        <v>24</v>
      </c>
      <c r="X747" s="25" t="s">
        <v>271</v>
      </c>
      <c r="Y747" s="25">
        <v>2</v>
      </c>
    </row>
    <row r="748" spans="1:26" ht="14.25" hidden="1" customHeight="1" x14ac:dyDescent="0.15">
      <c r="A748" s="24" t="s">
        <v>296</v>
      </c>
      <c r="B748" s="24" t="s">
        <v>156</v>
      </c>
      <c r="C748" s="26" t="s">
        <v>317</v>
      </c>
      <c r="D748" s="24" t="s">
        <v>16</v>
      </c>
      <c r="E748" s="24" t="s">
        <v>435</v>
      </c>
      <c r="F748" s="24" t="s">
        <v>423</v>
      </c>
      <c r="G748" s="71"/>
      <c r="H748" s="21">
        <v>0</v>
      </c>
      <c r="I748" s="21">
        <v>2026</v>
      </c>
      <c r="J748" s="21">
        <v>3</v>
      </c>
      <c r="K748" s="25" t="str">
        <f t="shared" ca="1" si="57"/>
        <v>Activo</v>
      </c>
      <c r="O748" s="72">
        <v>1</v>
      </c>
      <c r="P748" s="26" t="s">
        <v>439</v>
      </c>
      <c r="Q748" s="34">
        <v>180</v>
      </c>
      <c r="S748" s="29">
        <v>46198</v>
      </c>
      <c r="T748" s="28">
        <f t="shared" si="58"/>
        <v>46378</v>
      </c>
      <c r="U748" s="25">
        <f t="shared" ca="1" si="59"/>
        <v>117</v>
      </c>
      <c r="V748" s="25" t="str">
        <f t="shared" ca="1" si="60"/>
        <v>AL DÍA</v>
      </c>
      <c r="W748" s="25" t="s">
        <v>24</v>
      </c>
      <c r="X748" s="25" t="s">
        <v>271</v>
      </c>
      <c r="Y748" s="25">
        <v>2</v>
      </c>
    </row>
    <row r="749" spans="1:26" ht="14.25" hidden="1" customHeight="1" x14ac:dyDescent="0.15">
      <c r="A749" s="24" t="s">
        <v>296</v>
      </c>
      <c r="B749" s="24" t="s">
        <v>156</v>
      </c>
      <c r="C749" s="26" t="s">
        <v>318</v>
      </c>
      <c r="D749" s="24" t="s">
        <v>16</v>
      </c>
      <c r="F749" s="24" t="s">
        <v>219</v>
      </c>
      <c r="G749" s="21">
        <v>2019</v>
      </c>
      <c r="H749" s="21">
        <v>15</v>
      </c>
      <c r="I749" s="21">
        <v>7</v>
      </c>
      <c r="J749" s="21">
        <v>3</v>
      </c>
      <c r="K749" s="25" t="str">
        <f t="shared" ca="1" si="57"/>
        <v>Activo</v>
      </c>
      <c r="L749" s="25" t="s">
        <v>302</v>
      </c>
      <c r="O749" s="25" t="s">
        <v>221</v>
      </c>
      <c r="P749" s="25" t="s">
        <v>49</v>
      </c>
      <c r="Q749" s="34">
        <v>365</v>
      </c>
      <c r="R749" s="25" t="s">
        <v>64</v>
      </c>
      <c r="S749" s="28">
        <v>46198</v>
      </c>
      <c r="T749" s="28">
        <f t="shared" si="58"/>
        <v>46563</v>
      </c>
      <c r="U749" s="25">
        <f t="shared" ca="1" si="59"/>
        <v>302</v>
      </c>
      <c r="V749" s="25" t="str">
        <f t="shared" ca="1" si="60"/>
        <v>AL DÍA</v>
      </c>
      <c r="W749" s="25" t="s">
        <v>24</v>
      </c>
      <c r="X749" s="25" t="s">
        <v>271</v>
      </c>
      <c r="Y749" s="25">
        <v>2</v>
      </c>
      <c r="Z749" s="1" t="s">
        <v>303</v>
      </c>
    </row>
    <row r="750" spans="1:26" ht="14.25" hidden="1" customHeight="1" x14ac:dyDescent="0.15">
      <c r="A750" s="24" t="s">
        <v>296</v>
      </c>
      <c r="B750" s="24" t="s">
        <v>156</v>
      </c>
      <c r="C750" s="26" t="s">
        <v>318</v>
      </c>
      <c r="D750" s="24" t="s">
        <v>16</v>
      </c>
      <c r="F750" s="24" t="s">
        <v>224</v>
      </c>
      <c r="G750" s="71"/>
      <c r="H750" s="21">
        <v>0</v>
      </c>
      <c r="I750" s="21">
        <v>2026</v>
      </c>
      <c r="J750" s="21">
        <v>3</v>
      </c>
      <c r="K750" s="25" t="str">
        <f t="shared" ca="1" si="57"/>
        <v>Activo</v>
      </c>
      <c r="Q750" s="34">
        <v>365</v>
      </c>
      <c r="R750" s="25" t="s">
        <v>64</v>
      </c>
      <c r="S750" s="28">
        <v>46198</v>
      </c>
      <c r="T750" s="28">
        <f t="shared" si="58"/>
        <v>46563</v>
      </c>
      <c r="U750" s="25">
        <f t="shared" ca="1" si="59"/>
        <v>302</v>
      </c>
      <c r="V750" s="25" t="str">
        <f t="shared" ca="1" si="60"/>
        <v>AL DÍA</v>
      </c>
      <c r="W750" s="25" t="s">
        <v>24</v>
      </c>
      <c r="X750" s="25" t="s">
        <v>271</v>
      </c>
      <c r="Y750" s="25">
        <v>2</v>
      </c>
    </row>
    <row r="751" spans="1:26" ht="14.25" hidden="1" customHeight="1" x14ac:dyDescent="0.15">
      <c r="A751" s="24" t="s">
        <v>296</v>
      </c>
      <c r="B751" s="24" t="s">
        <v>156</v>
      </c>
      <c r="C751" s="25" t="s">
        <v>318</v>
      </c>
      <c r="D751" s="24" t="s">
        <v>16</v>
      </c>
      <c r="E751" s="24" t="s">
        <v>435</v>
      </c>
      <c r="F751" s="24" t="s">
        <v>420</v>
      </c>
      <c r="G751" s="71"/>
      <c r="H751" s="21">
        <v>0</v>
      </c>
      <c r="I751" s="21">
        <v>2026</v>
      </c>
      <c r="J751" s="21">
        <v>3</v>
      </c>
      <c r="K751" s="25" t="str">
        <f t="shared" ca="1" si="57"/>
        <v>Activo</v>
      </c>
      <c r="N751" s="26"/>
      <c r="O751" s="25">
        <v>27</v>
      </c>
      <c r="P751" s="26" t="s">
        <v>439</v>
      </c>
      <c r="Q751" s="34">
        <v>180</v>
      </c>
      <c r="S751" s="29">
        <v>46198</v>
      </c>
      <c r="T751" s="28">
        <f t="shared" si="58"/>
        <v>46378</v>
      </c>
      <c r="U751" s="25">
        <f t="shared" ca="1" si="59"/>
        <v>117</v>
      </c>
      <c r="V751" s="25" t="str">
        <f t="shared" ca="1" si="60"/>
        <v>AL DÍA</v>
      </c>
      <c r="W751" s="25" t="s">
        <v>24</v>
      </c>
      <c r="X751" s="25" t="s">
        <v>271</v>
      </c>
      <c r="Y751" s="25">
        <v>2</v>
      </c>
    </row>
    <row r="752" spans="1:26" ht="14.25" hidden="1" customHeight="1" x14ac:dyDescent="0.15">
      <c r="A752" s="24" t="s">
        <v>296</v>
      </c>
      <c r="B752" s="24" t="s">
        <v>156</v>
      </c>
      <c r="C752" s="25" t="s">
        <v>318</v>
      </c>
      <c r="D752" s="24" t="s">
        <v>16</v>
      </c>
      <c r="E752" s="24" t="s">
        <v>450</v>
      </c>
      <c r="F752" s="24" t="s">
        <v>421</v>
      </c>
      <c r="G752" s="71"/>
      <c r="H752" s="21">
        <v>0</v>
      </c>
      <c r="I752" s="21">
        <v>2026</v>
      </c>
      <c r="J752" s="21">
        <v>3</v>
      </c>
      <c r="K752" s="25" t="str">
        <f t="shared" ca="1" si="57"/>
        <v>Activo</v>
      </c>
      <c r="O752" s="73"/>
      <c r="P752" s="26" t="s">
        <v>439</v>
      </c>
      <c r="Q752" s="34">
        <v>180</v>
      </c>
      <c r="S752" s="29">
        <v>46198</v>
      </c>
      <c r="T752" s="28">
        <f t="shared" si="58"/>
        <v>46378</v>
      </c>
      <c r="U752" s="25">
        <f t="shared" ca="1" si="59"/>
        <v>117</v>
      </c>
      <c r="V752" s="25" t="str">
        <f t="shared" ca="1" si="60"/>
        <v>AL DÍA</v>
      </c>
      <c r="W752" s="25" t="s">
        <v>24</v>
      </c>
      <c r="X752" s="25" t="s">
        <v>271</v>
      </c>
      <c r="Y752" s="25">
        <v>2</v>
      </c>
    </row>
    <row r="753" spans="1:26" ht="14.25" hidden="1" customHeight="1" x14ac:dyDescent="0.15">
      <c r="A753" s="24" t="s">
        <v>296</v>
      </c>
      <c r="B753" s="24" t="s">
        <v>156</v>
      </c>
      <c r="C753" s="25" t="s">
        <v>318</v>
      </c>
      <c r="D753" s="24" t="s">
        <v>16</v>
      </c>
      <c r="E753" s="24" t="s">
        <v>450</v>
      </c>
      <c r="F753" s="24" t="s">
        <v>422</v>
      </c>
      <c r="G753" s="71"/>
      <c r="H753" s="21">
        <v>0</v>
      </c>
      <c r="I753" s="21">
        <v>2026</v>
      </c>
      <c r="J753" s="21">
        <v>3</v>
      </c>
      <c r="K753" s="25" t="str">
        <f t="shared" ca="1" si="57"/>
        <v>Activo</v>
      </c>
      <c r="O753" s="72">
        <v>1</v>
      </c>
      <c r="P753" s="26" t="s">
        <v>439</v>
      </c>
      <c r="Q753" s="34">
        <v>180</v>
      </c>
      <c r="S753" s="29">
        <v>46198</v>
      </c>
      <c r="T753" s="28">
        <f t="shared" si="58"/>
        <v>46378</v>
      </c>
      <c r="U753" s="25">
        <f t="shared" ca="1" si="59"/>
        <v>117</v>
      </c>
      <c r="V753" s="25" t="str">
        <f t="shared" ca="1" si="60"/>
        <v>AL DÍA</v>
      </c>
      <c r="W753" s="25" t="s">
        <v>24</v>
      </c>
      <c r="X753" s="25" t="s">
        <v>271</v>
      </c>
      <c r="Y753" s="25">
        <v>2</v>
      </c>
    </row>
    <row r="754" spans="1:26" ht="14.25" hidden="1" customHeight="1" x14ac:dyDescent="0.15">
      <c r="A754" s="24" t="s">
        <v>296</v>
      </c>
      <c r="B754" s="24" t="s">
        <v>156</v>
      </c>
      <c r="C754" s="25" t="s">
        <v>318</v>
      </c>
      <c r="D754" s="24" t="s">
        <v>16</v>
      </c>
      <c r="E754" s="24" t="s">
        <v>435</v>
      </c>
      <c r="F754" s="24" t="s">
        <v>423</v>
      </c>
      <c r="G754" s="71"/>
      <c r="H754" s="21">
        <v>0</v>
      </c>
      <c r="I754" s="21">
        <v>2026</v>
      </c>
      <c r="J754" s="21">
        <v>3</v>
      </c>
      <c r="K754" s="25" t="str">
        <f t="shared" ca="1" si="57"/>
        <v>Activo</v>
      </c>
      <c r="O754" s="72">
        <v>1</v>
      </c>
      <c r="P754" s="26" t="s">
        <v>439</v>
      </c>
      <c r="Q754" s="34">
        <v>180</v>
      </c>
      <c r="S754" s="29">
        <v>46198</v>
      </c>
      <c r="T754" s="28">
        <f t="shared" si="58"/>
        <v>46378</v>
      </c>
      <c r="U754" s="25">
        <f t="shared" ca="1" si="59"/>
        <v>117</v>
      </c>
      <c r="V754" s="25" t="str">
        <f t="shared" ca="1" si="60"/>
        <v>AL DÍA</v>
      </c>
      <c r="W754" s="25" t="s">
        <v>24</v>
      </c>
      <c r="X754" s="25" t="s">
        <v>271</v>
      </c>
      <c r="Y754" s="25">
        <v>2</v>
      </c>
    </row>
    <row r="755" spans="1:26" ht="14.25" hidden="1" customHeight="1" x14ac:dyDescent="0.15">
      <c r="A755" s="24" t="s">
        <v>296</v>
      </c>
      <c r="B755" s="24" t="s">
        <v>156</v>
      </c>
      <c r="C755" s="26" t="s">
        <v>424</v>
      </c>
      <c r="D755" s="24" t="s">
        <v>16</v>
      </c>
      <c r="F755" s="24" t="s">
        <v>219</v>
      </c>
      <c r="G755" s="21">
        <v>2019</v>
      </c>
      <c r="H755" s="21">
        <v>15</v>
      </c>
      <c r="I755" s="21">
        <v>7</v>
      </c>
      <c r="J755" s="21">
        <v>3</v>
      </c>
      <c r="K755" s="25" t="str">
        <f t="shared" ca="1" si="57"/>
        <v>Activo</v>
      </c>
      <c r="L755" s="25" t="s">
        <v>302</v>
      </c>
      <c r="O755" s="25" t="s">
        <v>221</v>
      </c>
      <c r="P755" s="25" t="s">
        <v>49</v>
      </c>
      <c r="Q755" s="34">
        <v>365</v>
      </c>
      <c r="R755" s="25" t="s">
        <v>64</v>
      </c>
      <c r="S755" s="28">
        <v>46198</v>
      </c>
      <c r="T755" s="28">
        <f t="shared" si="58"/>
        <v>46563</v>
      </c>
      <c r="U755" s="25">
        <f t="shared" ca="1" si="59"/>
        <v>302</v>
      </c>
      <c r="V755" s="25" t="str">
        <f t="shared" ca="1" si="60"/>
        <v>AL DÍA</v>
      </c>
      <c r="W755" s="25" t="s">
        <v>24</v>
      </c>
      <c r="X755" s="25" t="s">
        <v>271</v>
      </c>
      <c r="Y755" s="25">
        <v>2</v>
      </c>
      <c r="Z755" s="1" t="s">
        <v>303</v>
      </c>
    </row>
    <row r="756" spans="1:26" ht="14.25" hidden="1" customHeight="1" x14ac:dyDescent="0.15">
      <c r="A756" s="24" t="s">
        <v>296</v>
      </c>
      <c r="B756" s="24" t="s">
        <v>156</v>
      </c>
      <c r="C756" s="25" t="s">
        <v>424</v>
      </c>
      <c r="D756" s="24" t="s">
        <v>16</v>
      </c>
      <c r="F756" s="24" t="s">
        <v>224</v>
      </c>
      <c r="G756" s="71"/>
      <c r="H756" s="21">
        <v>0</v>
      </c>
      <c r="I756" s="21">
        <v>2026</v>
      </c>
      <c r="J756" s="21">
        <v>3</v>
      </c>
      <c r="K756" s="25" t="str">
        <f t="shared" ca="1" si="57"/>
        <v>Activo</v>
      </c>
      <c r="P756" s="26"/>
      <c r="Q756" s="34">
        <v>365</v>
      </c>
      <c r="R756" s="25" t="s">
        <v>64</v>
      </c>
      <c r="S756" s="28">
        <v>46198</v>
      </c>
      <c r="T756" s="28">
        <f t="shared" si="58"/>
        <v>46563</v>
      </c>
      <c r="U756" s="25">
        <f t="shared" ca="1" si="59"/>
        <v>302</v>
      </c>
      <c r="V756" s="25" t="str">
        <f t="shared" ca="1" si="60"/>
        <v>AL DÍA</v>
      </c>
      <c r="W756" s="25" t="s">
        <v>24</v>
      </c>
      <c r="X756" s="25" t="s">
        <v>271</v>
      </c>
      <c r="Y756" s="25">
        <v>2</v>
      </c>
    </row>
    <row r="757" spans="1:26" ht="14.25" hidden="1" customHeight="1" x14ac:dyDescent="0.15">
      <c r="A757" s="24" t="s">
        <v>296</v>
      </c>
      <c r="B757" s="24" t="s">
        <v>156</v>
      </c>
      <c r="C757" s="25" t="s">
        <v>424</v>
      </c>
      <c r="D757" s="24" t="s">
        <v>16</v>
      </c>
      <c r="E757" s="24" t="s">
        <v>435</v>
      </c>
      <c r="F757" s="24" t="s">
        <v>420</v>
      </c>
      <c r="G757" s="71"/>
      <c r="H757" s="21">
        <v>0</v>
      </c>
      <c r="I757" s="21">
        <v>2026</v>
      </c>
      <c r="J757" s="21">
        <v>3</v>
      </c>
      <c r="K757" s="25" t="str">
        <f t="shared" ca="1" si="57"/>
        <v>Activo</v>
      </c>
      <c r="O757" s="25">
        <v>27</v>
      </c>
      <c r="P757" s="26" t="s">
        <v>439</v>
      </c>
      <c r="Q757" s="34">
        <v>180</v>
      </c>
      <c r="S757" s="29">
        <v>46198</v>
      </c>
      <c r="T757" s="28">
        <f t="shared" si="58"/>
        <v>46378</v>
      </c>
      <c r="U757" s="25">
        <f t="shared" ca="1" si="59"/>
        <v>117</v>
      </c>
      <c r="V757" s="25" t="str">
        <f t="shared" ca="1" si="60"/>
        <v>AL DÍA</v>
      </c>
      <c r="W757" s="25" t="s">
        <v>24</v>
      </c>
      <c r="X757" s="25" t="s">
        <v>271</v>
      </c>
      <c r="Y757" s="25">
        <v>2</v>
      </c>
    </row>
    <row r="758" spans="1:26" ht="14.25" hidden="1" customHeight="1" x14ac:dyDescent="0.15">
      <c r="A758" s="24" t="s">
        <v>296</v>
      </c>
      <c r="B758" s="24" t="s">
        <v>156</v>
      </c>
      <c r="C758" s="25" t="s">
        <v>424</v>
      </c>
      <c r="D758" s="24" t="s">
        <v>16</v>
      </c>
      <c r="E758" s="24" t="s">
        <v>450</v>
      </c>
      <c r="F758" s="24" t="s">
        <v>421</v>
      </c>
      <c r="G758" s="71"/>
      <c r="H758" s="21">
        <v>0</v>
      </c>
      <c r="I758" s="21">
        <v>2026</v>
      </c>
      <c r="J758" s="21">
        <v>3</v>
      </c>
      <c r="K758" s="25" t="str">
        <f t="shared" ca="1" si="57"/>
        <v>Activo</v>
      </c>
      <c r="M758" s="26"/>
      <c r="N758" s="26"/>
      <c r="O758" s="72"/>
      <c r="P758" s="26" t="s">
        <v>439</v>
      </c>
      <c r="Q758" s="34">
        <v>180</v>
      </c>
      <c r="S758" s="29">
        <v>46198</v>
      </c>
      <c r="T758" s="28">
        <f t="shared" si="58"/>
        <v>46378</v>
      </c>
      <c r="U758" s="25">
        <f t="shared" ca="1" si="59"/>
        <v>117</v>
      </c>
      <c r="V758" s="25" t="str">
        <f t="shared" ca="1" si="60"/>
        <v>AL DÍA</v>
      </c>
      <c r="W758" s="25" t="s">
        <v>24</v>
      </c>
      <c r="X758" s="25" t="s">
        <v>271</v>
      </c>
      <c r="Y758" s="25">
        <v>2</v>
      </c>
    </row>
    <row r="759" spans="1:26" ht="14.25" hidden="1" customHeight="1" x14ac:dyDescent="0.15">
      <c r="A759" s="24" t="s">
        <v>296</v>
      </c>
      <c r="B759" s="24" t="s">
        <v>156</v>
      </c>
      <c r="C759" s="25" t="s">
        <v>424</v>
      </c>
      <c r="D759" s="24" t="s">
        <v>16</v>
      </c>
      <c r="E759" s="24" t="s">
        <v>450</v>
      </c>
      <c r="F759" s="24" t="s">
        <v>422</v>
      </c>
      <c r="G759" s="71"/>
      <c r="H759" s="21">
        <v>0</v>
      </c>
      <c r="I759" s="21">
        <v>2026</v>
      </c>
      <c r="J759" s="21">
        <v>3</v>
      </c>
      <c r="K759" s="25" t="str">
        <f t="shared" ca="1" si="57"/>
        <v>Activo</v>
      </c>
      <c r="O759" s="72">
        <v>1</v>
      </c>
      <c r="P759" s="26" t="s">
        <v>439</v>
      </c>
      <c r="Q759" s="34">
        <v>180</v>
      </c>
      <c r="S759" s="29">
        <v>46198</v>
      </c>
      <c r="T759" s="28">
        <f t="shared" si="58"/>
        <v>46378</v>
      </c>
      <c r="U759" s="25">
        <f t="shared" ca="1" si="59"/>
        <v>117</v>
      </c>
      <c r="V759" s="25" t="str">
        <f t="shared" ca="1" si="60"/>
        <v>AL DÍA</v>
      </c>
      <c r="W759" s="25" t="s">
        <v>24</v>
      </c>
      <c r="X759" s="25" t="s">
        <v>271</v>
      </c>
      <c r="Y759" s="25">
        <v>2</v>
      </c>
    </row>
    <row r="760" spans="1:26" ht="14.25" hidden="1" customHeight="1" x14ac:dyDescent="0.15">
      <c r="A760" s="24" t="s">
        <v>296</v>
      </c>
      <c r="B760" s="24" t="s">
        <v>156</v>
      </c>
      <c r="C760" s="25" t="s">
        <v>424</v>
      </c>
      <c r="D760" s="24" t="s">
        <v>16</v>
      </c>
      <c r="E760" s="24" t="s">
        <v>435</v>
      </c>
      <c r="F760" s="24" t="s">
        <v>423</v>
      </c>
      <c r="G760" s="71"/>
      <c r="H760" s="21">
        <v>0</v>
      </c>
      <c r="I760" s="21">
        <v>2026</v>
      </c>
      <c r="J760" s="21">
        <v>3</v>
      </c>
      <c r="K760" s="25" t="str">
        <f t="shared" ca="1" si="57"/>
        <v>Activo</v>
      </c>
      <c r="O760" s="72">
        <v>1</v>
      </c>
      <c r="P760" s="26" t="s">
        <v>439</v>
      </c>
      <c r="Q760" s="34">
        <v>180</v>
      </c>
      <c r="S760" s="29">
        <v>46198</v>
      </c>
      <c r="T760" s="28">
        <f t="shared" si="58"/>
        <v>46378</v>
      </c>
      <c r="U760" s="25">
        <f t="shared" ca="1" si="59"/>
        <v>117</v>
      </c>
      <c r="V760" s="25" t="str">
        <f t="shared" ca="1" si="60"/>
        <v>AL DÍA</v>
      </c>
      <c r="W760" s="25" t="s">
        <v>24</v>
      </c>
      <c r="X760" s="25" t="s">
        <v>271</v>
      </c>
      <c r="Y760" s="25">
        <v>2</v>
      </c>
    </row>
    <row r="761" spans="1:26" ht="14.25" hidden="1" customHeight="1" x14ac:dyDescent="0.15">
      <c r="A761" s="24" t="s">
        <v>296</v>
      </c>
      <c r="B761" s="24" t="s">
        <v>156</v>
      </c>
      <c r="C761" s="25" t="s">
        <v>425</v>
      </c>
      <c r="D761" s="24" t="s">
        <v>16</v>
      </c>
      <c r="F761" s="24" t="s">
        <v>219</v>
      </c>
      <c r="G761" s="21">
        <v>2019</v>
      </c>
      <c r="H761" s="21">
        <v>15</v>
      </c>
      <c r="I761" s="21">
        <v>7</v>
      </c>
      <c r="J761" s="21">
        <v>3</v>
      </c>
      <c r="K761" s="25" t="str">
        <f t="shared" ca="1" si="57"/>
        <v>Activo</v>
      </c>
      <c r="L761" s="25" t="s">
        <v>302</v>
      </c>
      <c r="O761" s="25" t="s">
        <v>221</v>
      </c>
      <c r="P761" s="26" t="s">
        <v>49</v>
      </c>
      <c r="Q761" s="34">
        <v>365</v>
      </c>
      <c r="R761" s="25" t="s">
        <v>64</v>
      </c>
      <c r="S761" s="28">
        <v>46198</v>
      </c>
      <c r="T761" s="28">
        <f t="shared" si="58"/>
        <v>46563</v>
      </c>
      <c r="U761" s="25">
        <f t="shared" ca="1" si="59"/>
        <v>302</v>
      </c>
      <c r="V761" s="25" t="str">
        <f t="shared" ca="1" si="60"/>
        <v>AL DÍA</v>
      </c>
      <c r="W761" s="25" t="s">
        <v>24</v>
      </c>
      <c r="X761" s="25" t="s">
        <v>271</v>
      </c>
      <c r="Y761" s="25">
        <v>2</v>
      </c>
      <c r="Z761" s="1" t="s">
        <v>303</v>
      </c>
    </row>
    <row r="762" spans="1:26" ht="14.25" hidden="1" customHeight="1" x14ac:dyDescent="0.15">
      <c r="A762" s="24" t="s">
        <v>296</v>
      </c>
      <c r="B762" s="24" t="s">
        <v>156</v>
      </c>
      <c r="C762" s="25" t="s">
        <v>425</v>
      </c>
      <c r="D762" s="24" t="s">
        <v>16</v>
      </c>
      <c r="F762" s="24" t="s">
        <v>224</v>
      </c>
      <c r="G762" s="71"/>
      <c r="H762" s="21">
        <v>0</v>
      </c>
      <c r="I762" s="21">
        <v>2026</v>
      </c>
      <c r="J762" s="21">
        <v>3</v>
      </c>
      <c r="K762" s="25" t="str">
        <f t="shared" ca="1" si="57"/>
        <v>Activo</v>
      </c>
      <c r="P762" s="26"/>
      <c r="Q762" s="34">
        <v>365</v>
      </c>
      <c r="R762" s="25" t="s">
        <v>64</v>
      </c>
      <c r="S762" s="28">
        <v>46198</v>
      </c>
      <c r="T762" s="28">
        <f t="shared" si="58"/>
        <v>46563</v>
      </c>
      <c r="U762" s="25">
        <f t="shared" ca="1" si="59"/>
        <v>302</v>
      </c>
      <c r="V762" s="25" t="str">
        <f t="shared" ca="1" si="60"/>
        <v>AL DÍA</v>
      </c>
      <c r="W762" s="25" t="s">
        <v>24</v>
      </c>
      <c r="X762" s="25" t="s">
        <v>271</v>
      </c>
      <c r="Y762" s="25">
        <v>2</v>
      </c>
    </row>
    <row r="763" spans="1:26" ht="14.25" hidden="1" customHeight="1" x14ac:dyDescent="0.15">
      <c r="A763" s="24" t="s">
        <v>296</v>
      </c>
      <c r="B763" s="24" t="s">
        <v>156</v>
      </c>
      <c r="C763" s="25" t="s">
        <v>425</v>
      </c>
      <c r="D763" s="24" t="s">
        <v>16</v>
      </c>
      <c r="E763" s="24" t="s">
        <v>435</v>
      </c>
      <c r="F763" s="24" t="s">
        <v>420</v>
      </c>
      <c r="G763" s="71"/>
      <c r="H763" s="21">
        <v>0</v>
      </c>
      <c r="I763" s="21">
        <v>2026</v>
      </c>
      <c r="J763" s="21">
        <v>3</v>
      </c>
      <c r="K763" s="25" t="str">
        <f t="shared" ca="1" si="57"/>
        <v>Activo</v>
      </c>
      <c r="O763" s="25">
        <v>27</v>
      </c>
      <c r="P763" s="26" t="s">
        <v>439</v>
      </c>
      <c r="Q763" s="34">
        <v>180</v>
      </c>
      <c r="S763" s="29">
        <v>46198</v>
      </c>
      <c r="T763" s="28">
        <f t="shared" si="58"/>
        <v>46378</v>
      </c>
      <c r="U763" s="25">
        <f t="shared" ca="1" si="59"/>
        <v>117</v>
      </c>
      <c r="V763" s="25" t="str">
        <f t="shared" ca="1" si="60"/>
        <v>AL DÍA</v>
      </c>
      <c r="W763" s="25" t="s">
        <v>24</v>
      </c>
      <c r="X763" s="25" t="s">
        <v>271</v>
      </c>
      <c r="Y763" s="25">
        <v>2</v>
      </c>
    </row>
    <row r="764" spans="1:26" ht="14.25" hidden="1" customHeight="1" x14ac:dyDescent="0.15">
      <c r="A764" s="24" t="s">
        <v>296</v>
      </c>
      <c r="B764" s="24" t="s">
        <v>156</v>
      </c>
      <c r="C764" s="25" t="s">
        <v>425</v>
      </c>
      <c r="D764" s="24" t="s">
        <v>16</v>
      </c>
      <c r="E764" s="24" t="s">
        <v>450</v>
      </c>
      <c r="F764" s="24" t="s">
        <v>421</v>
      </c>
      <c r="G764" s="71"/>
      <c r="H764" s="21">
        <v>0</v>
      </c>
      <c r="I764" s="21">
        <v>2026</v>
      </c>
      <c r="J764" s="21">
        <v>3</v>
      </c>
      <c r="K764" s="25" t="str">
        <f t="shared" ca="1" si="57"/>
        <v>Activo</v>
      </c>
      <c r="O764" s="73"/>
      <c r="P764" s="26" t="s">
        <v>439</v>
      </c>
      <c r="Q764" s="34">
        <v>180</v>
      </c>
      <c r="S764" s="29">
        <v>46198</v>
      </c>
      <c r="T764" s="28">
        <f t="shared" si="58"/>
        <v>46378</v>
      </c>
      <c r="U764" s="25">
        <f t="shared" ca="1" si="59"/>
        <v>117</v>
      </c>
      <c r="V764" s="25" t="str">
        <f t="shared" ca="1" si="60"/>
        <v>AL DÍA</v>
      </c>
      <c r="W764" s="25" t="s">
        <v>24</v>
      </c>
      <c r="X764" s="25" t="s">
        <v>271</v>
      </c>
      <c r="Y764" s="25">
        <v>2</v>
      </c>
    </row>
    <row r="765" spans="1:26" ht="14.25" hidden="1" customHeight="1" x14ac:dyDescent="0.15">
      <c r="A765" s="24" t="s">
        <v>296</v>
      </c>
      <c r="B765" s="24" t="s">
        <v>156</v>
      </c>
      <c r="C765" s="25" t="s">
        <v>425</v>
      </c>
      <c r="D765" s="24" t="s">
        <v>16</v>
      </c>
      <c r="E765" s="24" t="s">
        <v>450</v>
      </c>
      <c r="F765" s="24" t="s">
        <v>422</v>
      </c>
      <c r="G765" s="71"/>
      <c r="H765" s="21">
        <v>0</v>
      </c>
      <c r="I765" s="21">
        <v>2026</v>
      </c>
      <c r="J765" s="21">
        <v>3</v>
      </c>
      <c r="K765" s="25" t="str">
        <f t="shared" ca="1" si="57"/>
        <v>Activo</v>
      </c>
      <c r="O765" s="73">
        <v>1</v>
      </c>
      <c r="P765" s="26" t="s">
        <v>439</v>
      </c>
      <c r="Q765" s="34">
        <v>180</v>
      </c>
      <c r="S765" s="29">
        <v>46198</v>
      </c>
      <c r="T765" s="28">
        <f t="shared" si="58"/>
        <v>46378</v>
      </c>
      <c r="U765" s="25">
        <f t="shared" ca="1" si="59"/>
        <v>117</v>
      </c>
      <c r="V765" s="25" t="str">
        <f t="shared" ca="1" si="60"/>
        <v>AL DÍA</v>
      </c>
      <c r="W765" s="25" t="s">
        <v>24</v>
      </c>
      <c r="X765" s="25" t="s">
        <v>271</v>
      </c>
      <c r="Y765" s="25">
        <v>2</v>
      </c>
    </row>
    <row r="766" spans="1:26" ht="14.25" hidden="1" customHeight="1" x14ac:dyDescent="0.15">
      <c r="A766" s="24" t="s">
        <v>296</v>
      </c>
      <c r="B766" s="24" t="s">
        <v>156</v>
      </c>
      <c r="C766" s="25" t="s">
        <v>425</v>
      </c>
      <c r="D766" s="24" t="s">
        <v>16</v>
      </c>
      <c r="E766" s="24" t="s">
        <v>435</v>
      </c>
      <c r="F766" s="24" t="s">
        <v>423</v>
      </c>
      <c r="G766" s="71"/>
      <c r="H766" s="21">
        <v>0</v>
      </c>
      <c r="I766" s="21">
        <v>2026</v>
      </c>
      <c r="J766" s="21">
        <v>3</v>
      </c>
      <c r="K766" s="25" t="str">
        <f t="shared" ca="1" si="57"/>
        <v>Activo</v>
      </c>
      <c r="L766" s="26"/>
      <c r="M766" s="26"/>
      <c r="N766" s="26"/>
      <c r="O766" s="72">
        <v>1</v>
      </c>
      <c r="P766" s="26" t="s">
        <v>439</v>
      </c>
      <c r="Q766" s="34">
        <v>180</v>
      </c>
      <c r="S766" s="29">
        <v>46198</v>
      </c>
      <c r="T766" s="28">
        <f t="shared" si="58"/>
        <v>46378</v>
      </c>
      <c r="U766" s="25">
        <f t="shared" ca="1" si="59"/>
        <v>117</v>
      </c>
      <c r="V766" s="25" t="str">
        <f t="shared" ca="1" si="60"/>
        <v>AL DÍA</v>
      </c>
      <c r="W766" s="25" t="s">
        <v>24</v>
      </c>
      <c r="X766" s="25" t="s">
        <v>271</v>
      </c>
      <c r="Y766" s="25">
        <v>2</v>
      </c>
    </row>
    <row r="767" spans="1:26" ht="14.25" hidden="1" customHeight="1" x14ac:dyDescent="0.15">
      <c r="A767" s="24" t="s">
        <v>296</v>
      </c>
      <c r="B767" s="24" t="s">
        <v>156</v>
      </c>
      <c r="C767" s="25" t="s">
        <v>426</v>
      </c>
      <c r="D767" s="24" t="s">
        <v>16</v>
      </c>
      <c r="F767" s="24" t="s">
        <v>219</v>
      </c>
      <c r="G767" s="21">
        <v>2019</v>
      </c>
      <c r="H767" s="21">
        <v>15</v>
      </c>
      <c r="I767" s="21">
        <v>7</v>
      </c>
      <c r="J767" s="21">
        <v>3</v>
      </c>
      <c r="K767" s="25" t="str">
        <f t="shared" ca="1" si="57"/>
        <v>Activo</v>
      </c>
      <c r="L767" s="25" t="s">
        <v>302</v>
      </c>
      <c r="O767" s="25" t="s">
        <v>221</v>
      </c>
      <c r="P767" s="26" t="s">
        <v>49</v>
      </c>
      <c r="Q767" s="34">
        <v>365</v>
      </c>
      <c r="R767" s="25" t="s">
        <v>64</v>
      </c>
      <c r="S767" s="28">
        <v>46198</v>
      </c>
      <c r="T767" s="28">
        <f t="shared" si="58"/>
        <v>46563</v>
      </c>
      <c r="U767" s="25">
        <f t="shared" ca="1" si="59"/>
        <v>302</v>
      </c>
      <c r="V767" s="25" t="str">
        <f t="shared" ca="1" si="60"/>
        <v>AL DÍA</v>
      </c>
      <c r="W767" s="25" t="s">
        <v>24</v>
      </c>
      <c r="X767" s="25" t="s">
        <v>271</v>
      </c>
      <c r="Y767" s="25">
        <v>2</v>
      </c>
      <c r="Z767" s="1" t="s">
        <v>303</v>
      </c>
    </row>
    <row r="768" spans="1:26" ht="14.25" hidden="1" customHeight="1" x14ac:dyDescent="0.15">
      <c r="A768" s="24" t="s">
        <v>296</v>
      </c>
      <c r="B768" s="24" t="s">
        <v>156</v>
      </c>
      <c r="C768" s="25" t="s">
        <v>426</v>
      </c>
      <c r="D768" s="24" t="s">
        <v>16</v>
      </c>
      <c r="F768" s="24" t="s">
        <v>224</v>
      </c>
      <c r="G768" s="71"/>
      <c r="H768" s="21">
        <v>0</v>
      </c>
      <c r="I768" s="21">
        <v>2026</v>
      </c>
      <c r="J768" s="21">
        <v>3</v>
      </c>
      <c r="K768" s="25" t="str">
        <f t="shared" ca="1" si="57"/>
        <v>Activo</v>
      </c>
      <c r="O768" s="26"/>
      <c r="P768" s="26"/>
      <c r="Q768" s="34">
        <v>365</v>
      </c>
      <c r="R768" s="25" t="s">
        <v>64</v>
      </c>
      <c r="S768" s="28">
        <v>46198</v>
      </c>
      <c r="T768" s="28">
        <f t="shared" si="58"/>
        <v>46563</v>
      </c>
      <c r="U768" s="25">
        <f t="shared" ca="1" si="59"/>
        <v>302</v>
      </c>
      <c r="V768" s="25" t="str">
        <f t="shared" ca="1" si="60"/>
        <v>AL DÍA</v>
      </c>
      <c r="W768" s="25" t="s">
        <v>24</v>
      </c>
      <c r="X768" s="25" t="s">
        <v>271</v>
      </c>
      <c r="Y768" s="25">
        <v>2</v>
      </c>
    </row>
    <row r="769" spans="1:26" ht="14.25" hidden="1" customHeight="1" x14ac:dyDescent="0.15">
      <c r="A769" s="24" t="s">
        <v>296</v>
      </c>
      <c r="B769" s="24" t="s">
        <v>156</v>
      </c>
      <c r="C769" s="26" t="s">
        <v>426</v>
      </c>
      <c r="D769" s="24" t="s">
        <v>16</v>
      </c>
      <c r="E769" s="24" t="s">
        <v>435</v>
      </c>
      <c r="F769" s="24" t="s">
        <v>420</v>
      </c>
      <c r="G769" s="71"/>
      <c r="H769" s="21">
        <v>0</v>
      </c>
      <c r="I769" s="21">
        <v>2026</v>
      </c>
      <c r="J769" s="21">
        <v>3</v>
      </c>
      <c r="K769" s="25" t="str">
        <f t="shared" ca="1" si="57"/>
        <v>Activo</v>
      </c>
      <c r="O769" s="25">
        <v>27</v>
      </c>
      <c r="P769" s="26" t="s">
        <v>439</v>
      </c>
      <c r="Q769" s="34">
        <v>180</v>
      </c>
      <c r="S769" s="29">
        <v>46198</v>
      </c>
      <c r="T769" s="28">
        <f t="shared" si="58"/>
        <v>46378</v>
      </c>
      <c r="U769" s="25">
        <f t="shared" ca="1" si="59"/>
        <v>117</v>
      </c>
      <c r="V769" s="25" t="str">
        <f t="shared" ca="1" si="60"/>
        <v>AL DÍA</v>
      </c>
      <c r="W769" s="25" t="s">
        <v>24</v>
      </c>
      <c r="X769" s="25" t="s">
        <v>271</v>
      </c>
      <c r="Y769" s="25">
        <v>2</v>
      </c>
    </row>
    <row r="770" spans="1:26" ht="14.25" hidden="1" customHeight="1" x14ac:dyDescent="0.15">
      <c r="A770" s="24" t="s">
        <v>296</v>
      </c>
      <c r="B770" s="24" t="s">
        <v>156</v>
      </c>
      <c r="C770" s="26" t="s">
        <v>426</v>
      </c>
      <c r="D770" s="24" t="s">
        <v>16</v>
      </c>
      <c r="E770" s="24" t="s">
        <v>450</v>
      </c>
      <c r="F770" s="24" t="s">
        <v>421</v>
      </c>
      <c r="G770" s="71"/>
      <c r="H770" s="21">
        <v>0</v>
      </c>
      <c r="I770" s="21">
        <v>2026</v>
      </c>
      <c r="J770" s="21">
        <v>3</v>
      </c>
      <c r="K770" s="25" t="str">
        <f t="shared" ref="K770:K833" ca="1" si="62">IF(J770=1,"Cambiar",IF(J770=2,"Presupuestar",IF(H770=0,"Activo",IF(G770+H770&lt;YEAR(TODAY()),"Cambiar o Inspección externa",IF(G770+H770-1&lt;YEAR(TODAY()),"Presupuestar","Activo")))))</f>
        <v>Activo</v>
      </c>
      <c r="O770" s="72"/>
      <c r="P770" s="26" t="s">
        <v>439</v>
      </c>
      <c r="Q770" s="34">
        <v>180</v>
      </c>
      <c r="S770" s="29">
        <v>46198</v>
      </c>
      <c r="T770" s="28">
        <f t="shared" ref="T770:T791" si="63">+S770+Q770</f>
        <v>46378</v>
      </c>
      <c r="U770" s="25">
        <f t="shared" ref="U770:U833" ca="1" si="64">T770-TODAY()</f>
        <v>117</v>
      </c>
      <c r="V770" s="25" t="str">
        <f t="shared" ref="V770:V833" ca="1" si="65">IF(U770&lt;0, "VENCIDO", "AL DÍA")</f>
        <v>AL DÍA</v>
      </c>
      <c r="W770" s="25" t="s">
        <v>24</v>
      </c>
      <c r="X770" s="25" t="s">
        <v>271</v>
      </c>
      <c r="Y770" s="25">
        <v>2</v>
      </c>
    </row>
    <row r="771" spans="1:26" ht="14.25" hidden="1" customHeight="1" x14ac:dyDescent="0.15">
      <c r="A771" s="24" t="s">
        <v>296</v>
      </c>
      <c r="B771" s="24" t="s">
        <v>156</v>
      </c>
      <c r="C771" s="26" t="s">
        <v>426</v>
      </c>
      <c r="D771" s="24" t="s">
        <v>16</v>
      </c>
      <c r="E771" s="24" t="s">
        <v>450</v>
      </c>
      <c r="F771" s="24" t="s">
        <v>422</v>
      </c>
      <c r="G771" s="71"/>
      <c r="H771" s="21">
        <v>0</v>
      </c>
      <c r="I771" s="21">
        <v>2026</v>
      </c>
      <c r="J771" s="21">
        <v>3</v>
      </c>
      <c r="K771" s="25" t="str">
        <f t="shared" ca="1" si="62"/>
        <v>Activo</v>
      </c>
      <c r="O771" s="72">
        <v>1</v>
      </c>
      <c r="P771" s="26" t="s">
        <v>439</v>
      </c>
      <c r="Q771" s="34">
        <v>180</v>
      </c>
      <c r="S771" s="29">
        <v>46198</v>
      </c>
      <c r="T771" s="28">
        <f t="shared" si="63"/>
        <v>46378</v>
      </c>
      <c r="U771" s="25">
        <f t="shared" ca="1" si="64"/>
        <v>117</v>
      </c>
      <c r="V771" s="25" t="str">
        <f t="shared" ca="1" si="65"/>
        <v>AL DÍA</v>
      </c>
      <c r="W771" s="25" t="s">
        <v>24</v>
      </c>
      <c r="X771" s="25" t="s">
        <v>271</v>
      </c>
      <c r="Y771" s="25">
        <v>2</v>
      </c>
    </row>
    <row r="772" spans="1:26" ht="14.25" hidden="1" customHeight="1" x14ac:dyDescent="0.15">
      <c r="A772" s="24" t="s">
        <v>296</v>
      </c>
      <c r="B772" s="24" t="s">
        <v>156</v>
      </c>
      <c r="C772" s="26" t="s">
        <v>426</v>
      </c>
      <c r="D772" s="24" t="s">
        <v>16</v>
      </c>
      <c r="E772" s="24" t="s">
        <v>435</v>
      </c>
      <c r="F772" s="24" t="s">
        <v>423</v>
      </c>
      <c r="G772" s="71"/>
      <c r="H772" s="21">
        <v>0</v>
      </c>
      <c r="I772" s="21">
        <v>2026</v>
      </c>
      <c r="J772" s="21">
        <v>3</v>
      </c>
      <c r="K772" s="25" t="str">
        <f t="shared" ca="1" si="62"/>
        <v>Activo</v>
      </c>
      <c r="O772" s="72">
        <v>1</v>
      </c>
      <c r="P772" s="26" t="s">
        <v>439</v>
      </c>
      <c r="Q772" s="34">
        <v>180</v>
      </c>
      <c r="S772" s="29">
        <v>46198</v>
      </c>
      <c r="T772" s="28">
        <f t="shared" si="63"/>
        <v>46378</v>
      </c>
      <c r="U772" s="25">
        <f t="shared" ca="1" si="64"/>
        <v>117</v>
      </c>
      <c r="V772" s="25" t="str">
        <f t="shared" ca="1" si="65"/>
        <v>AL DÍA</v>
      </c>
      <c r="W772" s="25" t="s">
        <v>24</v>
      </c>
      <c r="X772" s="25" t="s">
        <v>271</v>
      </c>
      <c r="Y772" s="25">
        <v>2</v>
      </c>
    </row>
    <row r="773" spans="1:26" ht="14.25" hidden="1" customHeight="1" x14ac:dyDescent="0.15">
      <c r="A773" s="24" t="s">
        <v>296</v>
      </c>
      <c r="B773" s="24" t="s">
        <v>156</v>
      </c>
      <c r="C773" s="26" t="s">
        <v>427</v>
      </c>
      <c r="D773" s="24" t="s">
        <v>16</v>
      </c>
      <c r="F773" s="24" t="s">
        <v>219</v>
      </c>
      <c r="G773" s="21">
        <v>2019</v>
      </c>
      <c r="H773" s="21">
        <v>15</v>
      </c>
      <c r="I773" s="21">
        <v>7</v>
      </c>
      <c r="J773" s="21">
        <v>3</v>
      </c>
      <c r="K773" s="25" t="str">
        <f t="shared" ca="1" si="62"/>
        <v>Activo</v>
      </c>
      <c r="L773" s="25" t="s">
        <v>302</v>
      </c>
      <c r="O773" s="25" t="s">
        <v>221</v>
      </c>
      <c r="P773" s="25" t="s">
        <v>49</v>
      </c>
      <c r="Q773" s="34">
        <v>365</v>
      </c>
      <c r="R773" s="25" t="s">
        <v>64</v>
      </c>
      <c r="S773" s="28">
        <v>46198</v>
      </c>
      <c r="T773" s="28">
        <f t="shared" si="63"/>
        <v>46563</v>
      </c>
      <c r="U773" s="25">
        <f t="shared" ca="1" si="64"/>
        <v>302</v>
      </c>
      <c r="V773" s="25" t="str">
        <f t="shared" ca="1" si="65"/>
        <v>AL DÍA</v>
      </c>
      <c r="W773" s="25" t="s">
        <v>24</v>
      </c>
      <c r="X773" s="25" t="s">
        <v>271</v>
      </c>
      <c r="Y773" s="25">
        <v>2</v>
      </c>
      <c r="Z773" s="1" t="s">
        <v>303</v>
      </c>
    </row>
    <row r="774" spans="1:26" ht="14.25" hidden="1" customHeight="1" x14ac:dyDescent="0.15">
      <c r="A774" s="24" t="s">
        <v>296</v>
      </c>
      <c r="B774" s="24" t="s">
        <v>156</v>
      </c>
      <c r="C774" s="26" t="s">
        <v>427</v>
      </c>
      <c r="D774" s="24" t="s">
        <v>16</v>
      </c>
      <c r="F774" s="24" t="s">
        <v>224</v>
      </c>
      <c r="G774" s="71"/>
      <c r="H774" s="21">
        <v>0</v>
      </c>
      <c r="I774" s="21">
        <v>2026</v>
      </c>
      <c r="J774" s="21">
        <v>3</v>
      </c>
      <c r="K774" s="25" t="str">
        <f t="shared" ca="1" si="62"/>
        <v>Activo</v>
      </c>
      <c r="Q774" s="34">
        <v>365</v>
      </c>
      <c r="R774" s="25" t="s">
        <v>64</v>
      </c>
      <c r="S774" s="28">
        <v>46198</v>
      </c>
      <c r="T774" s="28">
        <f t="shared" si="63"/>
        <v>46563</v>
      </c>
      <c r="U774" s="25">
        <f t="shared" ca="1" si="64"/>
        <v>302</v>
      </c>
      <c r="V774" s="25" t="str">
        <f t="shared" ca="1" si="65"/>
        <v>AL DÍA</v>
      </c>
      <c r="W774" s="25" t="s">
        <v>24</v>
      </c>
      <c r="X774" s="25" t="s">
        <v>271</v>
      </c>
      <c r="Y774" s="25">
        <v>2</v>
      </c>
    </row>
    <row r="775" spans="1:26" ht="14.25" hidden="1" customHeight="1" x14ac:dyDescent="0.15">
      <c r="A775" s="24" t="s">
        <v>296</v>
      </c>
      <c r="B775" s="24" t="s">
        <v>156</v>
      </c>
      <c r="C775" s="26" t="s">
        <v>427</v>
      </c>
      <c r="D775" s="24" t="s">
        <v>16</v>
      </c>
      <c r="E775" s="24" t="s">
        <v>435</v>
      </c>
      <c r="F775" s="24" t="s">
        <v>420</v>
      </c>
      <c r="G775" s="71"/>
      <c r="H775" s="21">
        <v>0</v>
      </c>
      <c r="I775" s="21">
        <v>2026</v>
      </c>
      <c r="J775" s="21">
        <v>3</v>
      </c>
      <c r="K775" s="25" t="str">
        <f t="shared" ca="1" si="62"/>
        <v>Activo</v>
      </c>
      <c r="O775" s="25">
        <v>27</v>
      </c>
      <c r="P775" s="26" t="s">
        <v>439</v>
      </c>
      <c r="Q775" s="34">
        <v>180</v>
      </c>
      <c r="S775" s="29">
        <v>46198</v>
      </c>
      <c r="T775" s="28">
        <f t="shared" si="63"/>
        <v>46378</v>
      </c>
      <c r="U775" s="25">
        <f t="shared" ca="1" si="64"/>
        <v>117</v>
      </c>
      <c r="V775" s="25" t="str">
        <f t="shared" ca="1" si="65"/>
        <v>AL DÍA</v>
      </c>
      <c r="W775" s="25" t="s">
        <v>24</v>
      </c>
      <c r="X775" s="25" t="s">
        <v>271</v>
      </c>
      <c r="Y775" s="25">
        <v>2</v>
      </c>
    </row>
    <row r="776" spans="1:26" ht="14.25" hidden="1" customHeight="1" x14ac:dyDescent="0.15">
      <c r="A776" s="24" t="s">
        <v>296</v>
      </c>
      <c r="B776" s="24" t="s">
        <v>156</v>
      </c>
      <c r="C776" s="26" t="s">
        <v>427</v>
      </c>
      <c r="D776" s="24" t="s">
        <v>16</v>
      </c>
      <c r="E776" s="24" t="s">
        <v>450</v>
      </c>
      <c r="F776" s="24" t="s">
        <v>421</v>
      </c>
      <c r="G776" s="71"/>
      <c r="H776" s="21">
        <v>0</v>
      </c>
      <c r="I776" s="21">
        <v>2026</v>
      </c>
      <c r="J776" s="21">
        <v>3</v>
      </c>
      <c r="K776" s="25" t="str">
        <f t="shared" ca="1" si="62"/>
        <v>Activo</v>
      </c>
      <c r="O776" s="72"/>
      <c r="P776" s="26" t="s">
        <v>439</v>
      </c>
      <c r="Q776" s="34">
        <v>180</v>
      </c>
      <c r="S776" s="29">
        <v>46198</v>
      </c>
      <c r="T776" s="28">
        <f t="shared" si="63"/>
        <v>46378</v>
      </c>
      <c r="U776" s="25">
        <f t="shared" ca="1" si="64"/>
        <v>117</v>
      </c>
      <c r="V776" s="25" t="str">
        <f t="shared" ca="1" si="65"/>
        <v>AL DÍA</v>
      </c>
      <c r="W776" s="25" t="s">
        <v>24</v>
      </c>
      <c r="X776" s="25" t="s">
        <v>271</v>
      </c>
      <c r="Y776" s="25">
        <v>2</v>
      </c>
    </row>
    <row r="777" spans="1:26" ht="14.25" hidden="1" customHeight="1" x14ac:dyDescent="0.15">
      <c r="A777" s="24" t="s">
        <v>296</v>
      </c>
      <c r="B777" s="24" t="s">
        <v>156</v>
      </c>
      <c r="C777" s="26" t="s">
        <v>427</v>
      </c>
      <c r="D777" s="24" t="s">
        <v>16</v>
      </c>
      <c r="E777" s="24" t="s">
        <v>450</v>
      </c>
      <c r="F777" s="24" t="s">
        <v>422</v>
      </c>
      <c r="G777" s="71"/>
      <c r="H777" s="21">
        <v>0</v>
      </c>
      <c r="I777" s="21">
        <v>2026</v>
      </c>
      <c r="J777" s="21">
        <v>3</v>
      </c>
      <c r="K777" s="25" t="str">
        <f t="shared" ca="1" si="62"/>
        <v>Activo</v>
      </c>
      <c r="O777" s="72">
        <v>1</v>
      </c>
      <c r="P777" s="26" t="s">
        <v>439</v>
      </c>
      <c r="Q777" s="34">
        <v>180</v>
      </c>
      <c r="S777" s="29">
        <v>46198</v>
      </c>
      <c r="T777" s="28">
        <f t="shared" si="63"/>
        <v>46378</v>
      </c>
      <c r="U777" s="25">
        <f t="shared" ca="1" si="64"/>
        <v>117</v>
      </c>
      <c r="V777" s="25" t="str">
        <f t="shared" ca="1" si="65"/>
        <v>AL DÍA</v>
      </c>
      <c r="W777" s="25" t="s">
        <v>24</v>
      </c>
      <c r="X777" s="25" t="s">
        <v>271</v>
      </c>
      <c r="Y777" s="25">
        <v>2</v>
      </c>
    </row>
    <row r="778" spans="1:26" ht="14.25" hidden="1" customHeight="1" x14ac:dyDescent="0.15">
      <c r="A778" s="24" t="s">
        <v>296</v>
      </c>
      <c r="B778" s="24" t="s">
        <v>156</v>
      </c>
      <c r="C778" s="26" t="s">
        <v>427</v>
      </c>
      <c r="D778" s="24" t="s">
        <v>16</v>
      </c>
      <c r="E778" s="24" t="s">
        <v>435</v>
      </c>
      <c r="F778" s="24" t="s">
        <v>423</v>
      </c>
      <c r="G778" s="71"/>
      <c r="H778" s="21">
        <v>0</v>
      </c>
      <c r="I778" s="21">
        <v>2026</v>
      </c>
      <c r="J778" s="21">
        <v>3</v>
      </c>
      <c r="K778" s="25" t="str">
        <f t="shared" ca="1" si="62"/>
        <v>Activo</v>
      </c>
      <c r="O778" s="72">
        <v>1</v>
      </c>
      <c r="P778" s="26" t="s">
        <v>439</v>
      </c>
      <c r="Q778" s="34">
        <v>180</v>
      </c>
      <c r="S778" s="29">
        <v>46198</v>
      </c>
      <c r="T778" s="28">
        <f t="shared" si="63"/>
        <v>46378</v>
      </c>
      <c r="U778" s="25">
        <f t="shared" ca="1" si="64"/>
        <v>117</v>
      </c>
      <c r="V778" s="25" t="str">
        <f t="shared" ca="1" si="65"/>
        <v>AL DÍA</v>
      </c>
      <c r="W778" s="25" t="s">
        <v>24</v>
      </c>
      <c r="X778" s="25" t="s">
        <v>271</v>
      </c>
      <c r="Y778" s="25">
        <v>2</v>
      </c>
    </row>
    <row r="779" spans="1:26" ht="14.25" hidden="1" customHeight="1" x14ac:dyDescent="0.15">
      <c r="A779" s="24" t="s">
        <v>296</v>
      </c>
      <c r="B779" s="24" t="s">
        <v>156</v>
      </c>
      <c r="C779" s="26" t="s">
        <v>428</v>
      </c>
      <c r="D779" s="24" t="s">
        <v>16</v>
      </c>
      <c r="F779" s="24" t="s">
        <v>219</v>
      </c>
      <c r="G779" s="21">
        <v>2019</v>
      </c>
      <c r="H779" s="21">
        <v>15</v>
      </c>
      <c r="I779" s="21">
        <v>7</v>
      </c>
      <c r="J779" s="21">
        <v>3</v>
      </c>
      <c r="K779" s="25" t="str">
        <f t="shared" ca="1" si="62"/>
        <v>Activo</v>
      </c>
      <c r="L779" s="25" t="s">
        <v>302</v>
      </c>
      <c r="O779" s="25" t="s">
        <v>221</v>
      </c>
      <c r="P779" s="25" t="s">
        <v>49</v>
      </c>
      <c r="Q779" s="34">
        <v>365</v>
      </c>
      <c r="R779" s="25" t="s">
        <v>64</v>
      </c>
      <c r="S779" s="28">
        <v>46198</v>
      </c>
      <c r="T779" s="28">
        <f t="shared" si="63"/>
        <v>46563</v>
      </c>
      <c r="U779" s="25">
        <f t="shared" ca="1" si="64"/>
        <v>302</v>
      </c>
      <c r="V779" s="25" t="str">
        <f t="shared" ca="1" si="65"/>
        <v>AL DÍA</v>
      </c>
      <c r="W779" s="25" t="s">
        <v>24</v>
      </c>
      <c r="X779" s="25" t="s">
        <v>271</v>
      </c>
      <c r="Y779" s="25">
        <v>2</v>
      </c>
      <c r="Z779" s="1" t="s">
        <v>303</v>
      </c>
    </row>
    <row r="780" spans="1:26" ht="14.25" hidden="1" customHeight="1" x14ac:dyDescent="0.15">
      <c r="A780" s="24" t="s">
        <v>296</v>
      </c>
      <c r="B780" s="24" t="s">
        <v>156</v>
      </c>
      <c r="C780" s="26" t="s">
        <v>428</v>
      </c>
      <c r="D780" s="24" t="s">
        <v>16</v>
      </c>
      <c r="F780" s="24" t="s">
        <v>224</v>
      </c>
      <c r="G780" s="71"/>
      <c r="H780" s="21">
        <v>0</v>
      </c>
      <c r="I780" s="21">
        <v>2026</v>
      </c>
      <c r="J780" s="21">
        <v>3</v>
      </c>
      <c r="K780" s="25" t="str">
        <f t="shared" ca="1" si="62"/>
        <v>Activo</v>
      </c>
      <c r="Q780" s="34">
        <v>365</v>
      </c>
      <c r="R780" s="25" t="s">
        <v>64</v>
      </c>
      <c r="S780" s="28">
        <v>46198</v>
      </c>
      <c r="T780" s="28">
        <f t="shared" si="63"/>
        <v>46563</v>
      </c>
      <c r="U780" s="25">
        <f t="shared" ca="1" si="64"/>
        <v>302</v>
      </c>
      <c r="V780" s="25" t="str">
        <f t="shared" ca="1" si="65"/>
        <v>AL DÍA</v>
      </c>
      <c r="W780" s="25" t="s">
        <v>24</v>
      </c>
      <c r="X780" s="25" t="s">
        <v>271</v>
      </c>
      <c r="Y780" s="25">
        <v>2</v>
      </c>
    </row>
    <row r="781" spans="1:26" ht="14.25" hidden="1" customHeight="1" x14ac:dyDescent="0.15">
      <c r="A781" s="24" t="s">
        <v>296</v>
      </c>
      <c r="B781" s="24" t="s">
        <v>156</v>
      </c>
      <c r="C781" s="26" t="s">
        <v>428</v>
      </c>
      <c r="D781" s="24" t="s">
        <v>16</v>
      </c>
      <c r="E781" s="24" t="s">
        <v>435</v>
      </c>
      <c r="F781" s="24" t="s">
        <v>420</v>
      </c>
      <c r="G781" s="71"/>
      <c r="H781" s="21">
        <v>0</v>
      </c>
      <c r="I781" s="21">
        <v>2026</v>
      </c>
      <c r="J781" s="21">
        <v>3</v>
      </c>
      <c r="K781" s="25" t="str">
        <f t="shared" ca="1" si="62"/>
        <v>Activo</v>
      </c>
      <c r="O781" s="25">
        <v>27</v>
      </c>
      <c r="P781" s="26" t="s">
        <v>439</v>
      </c>
      <c r="Q781" s="34">
        <v>180</v>
      </c>
      <c r="S781" s="29">
        <v>46198</v>
      </c>
      <c r="T781" s="28">
        <f t="shared" si="63"/>
        <v>46378</v>
      </c>
      <c r="U781" s="25">
        <f t="shared" ca="1" si="64"/>
        <v>117</v>
      </c>
      <c r="V781" s="25" t="str">
        <f t="shared" ca="1" si="65"/>
        <v>AL DÍA</v>
      </c>
      <c r="W781" s="25" t="s">
        <v>24</v>
      </c>
      <c r="X781" s="25" t="s">
        <v>271</v>
      </c>
      <c r="Y781" s="25">
        <v>2</v>
      </c>
    </row>
    <row r="782" spans="1:26" ht="14.25" hidden="1" customHeight="1" x14ac:dyDescent="0.15">
      <c r="A782" s="24" t="s">
        <v>296</v>
      </c>
      <c r="B782" s="24" t="s">
        <v>156</v>
      </c>
      <c r="C782" s="26" t="s">
        <v>428</v>
      </c>
      <c r="D782" s="24" t="s">
        <v>16</v>
      </c>
      <c r="E782" s="24" t="s">
        <v>450</v>
      </c>
      <c r="F782" s="24" t="s">
        <v>421</v>
      </c>
      <c r="G782" s="71"/>
      <c r="H782" s="21">
        <v>0</v>
      </c>
      <c r="I782" s="21">
        <v>2026</v>
      </c>
      <c r="J782" s="21">
        <v>3</v>
      </c>
      <c r="K782" s="25" t="str">
        <f t="shared" ca="1" si="62"/>
        <v>Activo</v>
      </c>
      <c r="O782" s="72"/>
      <c r="P782" s="26" t="s">
        <v>439</v>
      </c>
      <c r="Q782" s="34">
        <v>180</v>
      </c>
      <c r="S782" s="29">
        <v>46198</v>
      </c>
      <c r="T782" s="28">
        <f t="shared" si="63"/>
        <v>46378</v>
      </c>
      <c r="U782" s="25">
        <f t="shared" ca="1" si="64"/>
        <v>117</v>
      </c>
      <c r="V782" s="25" t="str">
        <f t="shared" ca="1" si="65"/>
        <v>AL DÍA</v>
      </c>
      <c r="W782" s="25" t="s">
        <v>24</v>
      </c>
      <c r="X782" s="25" t="s">
        <v>271</v>
      </c>
      <c r="Y782" s="25">
        <v>2</v>
      </c>
    </row>
    <row r="783" spans="1:26" ht="14.25" hidden="1" customHeight="1" x14ac:dyDescent="0.15">
      <c r="A783" s="24" t="s">
        <v>296</v>
      </c>
      <c r="B783" s="24" t="s">
        <v>156</v>
      </c>
      <c r="C783" s="25" t="s">
        <v>428</v>
      </c>
      <c r="D783" s="24" t="s">
        <v>16</v>
      </c>
      <c r="E783" s="24" t="s">
        <v>450</v>
      </c>
      <c r="F783" s="24" t="s">
        <v>422</v>
      </c>
      <c r="G783" s="71"/>
      <c r="H783" s="21">
        <v>0</v>
      </c>
      <c r="I783" s="21">
        <v>2026</v>
      </c>
      <c r="J783" s="21">
        <v>3</v>
      </c>
      <c r="K783" s="25" t="str">
        <f t="shared" ca="1" si="62"/>
        <v>Activo</v>
      </c>
      <c r="O783" s="72">
        <v>1</v>
      </c>
      <c r="P783" s="26" t="s">
        <v>439</v>
      </c>
      <c r="Q783" s="34">
        <v>180</v>
      </c>
      <c r="S783" s="29">
        <v>46198</v>
      </c>
      <c r="T783" s="28">
        <f t="shared" si="63"/>
        <v>46378</v>
      </c>
      <c r="U783" s="25">
        <f t="shared" ca="1" si="64"/>
        <v>117</v>
      </c>
      <c r="V783" s="25" t="str">
        <f t="shared" ca="1" si="65"/>
        <v>AL DÍA</v>
      </c>
      <c r="W783" s="25" t="s">
        <v>24</v>
      </c>
      <c r="X783" s="25" t="s">
        <v>271</v>
      </c>
      <c r="Y783" s="25">
        <v>2</v>
      </c>
    </row>
    <row r="784" spans="1:26" ht="14.25" hidden="1" customHeight="1" x14ac:dyDescent="0.15">
      <c r="A784" s="24" t="s">
        <v>296</v>
      </c>
      <c r="B784" s="24" t="s">
        <v>156</v>
      </c>
      <c r="C784" s="26" t="s">
        <v>428</v>
      </c>
      <c r="D784" s="24" t="s">
        <v>16</v>
      </c>
      <c r="E784" s="24" t="s">
        <v>435</v>
      </c>
      <c r="F784" s="24" t="s">
        <v>423</v>
      </c>
      <c r="G784" s="71"/>
      <c r="H784" s="21">
        <v>0</v>
      </c>
      <c r="I784" s="21">
        <v>2026</v>
      </c>
      <c r="J784" s="21">
        <v>3</v>
      </c>
      <c r="K784" s="25" t="str">
        <f t="shared" ca="1" si="62"/>
        <v>Activo</v>
      </c>
      <c r="O784" s="72">
        <v>1</v>
      </c>
      <c r="P784" s="26" t="s">
        <v>439</v>
      </c>
      <c r="Q784" s="34">
        <v>180</v>
      </c>
      <c r="S784" s="29">
        <v>46198</v>
      </c>
      <c r="T784" s="28">
        <f t="shared" si="63"/>
        <v>46378</v>
      </c>
      <c r="U784" s="25">
        <f t="shared" ca="1" si="64"/>
        <v>117</v>
      </c>
      <c r="V784" s="25" t="str">
        <f t="shared" ca="1" si="65"/>
        <v>AL DÍA</v>
      </c>
      <c r="W784" s="25" t="s">
        <v>24</v>
      </c>
      <c r="X784" s="25" t="s">
        <v>271</v>
      </c>
      <c r="Y784" s="25">
        <v>2</v>
      </c>
    </row>
    <row r="785" spans="1:26" ht="14.25" hidden="1" customHeight="1" x14ac:dyDescent="0.15">
      <c r="A785" s="24" t="s">
        <v>296</v>
      </c>
      <c r="B785" s="24" t="s">
        <v>156</v>
      </c>
      <c r="C785" s="26" t="s">
        <v>429</v>
      </c>
      <c r="D785" s="24" t="s">
        <v>16</v>
      </c>
      <c r="F785" s="24" t="s">
        <v>219</v>
      </c>
      <c r="G785" s="21">
        <v>2019</v>
      </c>
      <c r="H785" s="21">
        <v>15</v>
      </c>
      <c r="I785" s="21">
        <v>7</v>
      </c>
      <c r="J785" s="21">
        <v>3</v>
      </c>
      <c r="K785" s="25" t="str">
        <f t="shared" ca="1" si="62"/>
        <v>Activo</v>
      </c>
      <c r="L785" s="25" t="s">
        <v>302</v>
      </c>
      <c r="O785" s="25" t="s">
        <v>221</v>
      </c>
      <c r="P785" s="26" t="s">
        <v>49</v>
      </c>
      <c r="Q785" s="34">
        <v>365</v>
      </c>
      <c r="R785" s="25" t="s">
        <v>64</v>
      </c>
      <c r="S785" s="28">
        <v>46198</v>
      </c>
      <c r="T785" s="28">
        <f t="shared" si="63"/>
        <v>46563</v>
      </c>
      <c r="U785" s="25">
        <f t="shared" ca="1" si="64"/>
        <v>302</v>
      </c>
      <c r="V785" s="25" t="str">
        <f t="shared" ca="1" si="65"/>
        <v>AL DÍA</v>
      </c>
      <c r="W785" s="25" t="s">
        <v>24</v>
      </c>
      <c r="X785" s="25" t="s">
        <v>271</v>
      </c>
      <c r="Y785" s="25">
        <v>2</v>
      </c>
      <c r="Z785" s="1" t="s">
        <v>303</v>
      </c>
    </row>
    <row r="786" spans="1:26" ht="14.25" hidden="1" customHeight="1" x14ac:dyDescent="0.15">
      <c r="A786" s="24" t="s">
        <v>296</v>
      </c>
      <c r="B786" s="24" t="s">
        <v>156</v>
      </c>
      <c r="C786" s="26" t="s">
        <v>429</v>
      </c>
      <c r="D786" s="24" t="s">
        <v>16</v>
      </c>
      <c r="F786" s="24" t="s">
        <v>224</v>
      </c>
      <c r="G786" s="71"/>
      <c r="H786" s="21">
        <v>0</v>
      </c>
      <c r="I786" s="21">
        <v>2026</v>
      </c>
      <c r="J786" s="21">
        <v>3</v>
      </c>
      <c r="K786" s="25" t="str">
        <f t="shared" ca="1" si="62"/>
        <v>Activo</v>
      </c>
      <c r="P786" s="26"/>
      <c r="Q786" s="34">
        <v>365</v>
      </c>
      <c r="R786" s="25" t="s">
        <v>64</v>
      </c>
      <c r="S786" s="28">
        <v>46198</v>
      </c>
      <c r="T786" s="28">
        <f t="shared" si="63"/>
        <v>46563</v>
      </c>
      <c r="U786" s="25">
        <f t="shared" ca="1" si="64"/>
        <v>302</v>
      </c>
      <c r="V786" s="25" t="str">
        <f t="shared" ca="1" si="65"/>
        <v>AL DÍA</v>
      </c>
      <c r="W786" s="25" t="s">
        <v>24</v>
      </c>
      <c r="X786" s="25" t="s">
        <v>271</v>
      </c>
      <c r="Y786" s="25">
        <v>2</v>
      </c>
    </row>
    <row r="787" spans="1:26" ht="14.25" hidden="1" customHeight="1" x14ac:dyDescent="0.15">
      <c r="A787" s="24" t="s">
        <v>296</v>
      </c>
      <c r="B787" s="24" t="s">
        <v>156</v>
      </c>
      <c r="C787" s="26" t="s">
        <v>429</v>
      </c>
      <c r="D787" s="24" t="s">
        <v>16</v>
      </c>
      <c r="E787" s="24" t="s">
        <v>435</v>
      </c>
      <c r="F787" s="24" t="s">
        <v>420</v>
      </c>
      <c r="G787" s="71"/>
      <c r="H787" s="21">
        <v>0</v>
      </c>
      <c r="I787" s="21">
        <v>2026</v>
      </c>
      <c r="J787" s="21">
        <v>3</v>
      </c>
      <c r="K787" s="25" t="str">
        <f t="shared" ca="1" si="62"/>
        <v>Activo</v>
      </c>
      <c r="O787" s="25">
        <v>27</v>
      </c>
      <c r="P787" s="26" t="s">
        <v>439</v>
      </c>
      <c r="Q787" s="34">
        <v>180</v>
      </c>
      <c r="S787" s="29">
        <v>46198</v>
      </c>
      <c r="T787" s="28">
        <f t="shared" si="63"/>
        <v>46378</v>
      </c>
      <c r="U787" s="25">
        <f t="shared" ca="1" si="64"/>
        <v>117</v>
      </c>
      <c r="V787" s="25" t="str">
        <f t="shared" ca="1" si="65"/>
        <v>AL DÍA</v>
      </c>
      <c r="W787" s="25" t="s">
        <v>24</v>
      </c>
      <c r="X787" s="25" t="s">
        <v>271</v>
      </c>
      <c r="Y787" s="25">
        <v>2</v>
      </c>
    </row>
    <row r="788" spans="1:26" ht="14.25" hidden="1" customHeight="1" x14ac:dyDescent="0.15">
      <c r="A788" s="24" t="s">
        <v>296</v>
      </c>
      <c r="B788" s="24" t="s">
        <v>156</v>
      </c>
      <c r="C788" s="26" t="s">
        <v>429</v>
      </c>
      <c r="D788" s="24" t="s">
        <v>16</v>
      </c>
      <c r="E788" s="24" t="s">
        <v>450</v>
      </c>
      <c r="F788" s="24" t="s">
        <v>421</v>
      </c>
      <c r="G788" s="71"/>
      <c r="H788" s="21">
        <v>0</v>
      </c>
      <c r="I788" s="21">
        <v>2026</v>
      </c>
      <c r="J788" s="21">
        <v>3</v>
      </c>
      <c r="K788" s="25" t="str">
        <f t="shared" ca="1" si="62"/>
        <v>Activo</v>
      </c>
      <c r="O788" s="72"/>
      <c r="P788" s="26" t="s">
        <v>439</v>
      </c>
      <c r="Q788" s="34">
        <v>180</v>
      </c>
      <c r="S788" s="29">
        <v>46198</v>
      </c>
      <c r="T788" s="28">
        <f t="shared" si="63"/>
        <v>46378</v>
      </c>
      <c r="U788" s="25">
        <f t="shared" ca="1" si="64"/>
        <v>117</v>
      </c>
      <c r="V788" s="25" t="str">
        <f t="shared" ca="1" si="65"/>
        <v>AL DÍA</v>
      </c>
      <c r="W788" s="25" t="s">
        <v>24</v>
      </c>
      <c r="X788" s="25" t="s">
        <v>271</v>
      </c>
      <c r="Y788" s="25">
        <v>2</v>
      </c>
    </row>
    <row r="789" spans="1:26" ht="14.25" hidden="1" customHeight="1" x14ac:dyDescent="0.15">
      <c r="A789" s="24" t="s">
        <v>296</v>
      </c>
      <c r="B789" s="24" t="s">
        <v>156</v>
      </c>
      <c r="C789" s="26" t="s">
        <v>429</v>
      </c>
      <c r="D789" s="24" t="s">
        <v>16</v>
      </c>
      <c r="E789" s="24" t="s">
        <v>450</v>
      </c>
      <c r="F789" s="24" t="s">
        <v>422</v>
      </c>
      <c r="G789" s="71"/>
      <c r="H789" s="21">
        <v>0</v>
      </c>
      <c r="I789" s="21">
        <v>2026</v>
      </c>
      <c r="J789" s="21">
        <v>3</v>
      </c>
      <c r="K789" s="25" t="str">
        <f t="shared" ca="1" si="62"/>
        <v>Activo</v>
      </c>
      <c r="O789" s="72">
        <v>1</v>
      </c>
      <c r="P789" s="26" t="s">
        <v>439</v>
      </c>
      <c r="Q789" s="34">
        <v>180</v>
      </c>
      <c r="S789" s="29">
        <v>46198</v>
      </c>
      <c r="T789" s="28">
        <f t="shared" si="63"/>
        <v>46378</v>
      </c>
      <c r="U789" s="25">
        <f t="shared" ca="1" si="64"/>
        <v>117</v>
      </c>
      <c r="V789" s="25" t="str">
        <f t="shared" ca="1" si="65"/>
        <v>AL DÍA</v>
      </c>
      <c r="W789" s="25" t="s">
        <v>24</v>
      </c>
      <c r="X789" s="25" t="s">
        <v>271</v>
      </c>
      <c r="Y789" s="25">
        <v>2</v>
      </c>
    </row>
    <row r="790" spans="1:26" ht="14.25" hidden="1" customHeight="1" x14ac:dyDescent="0.15">
      <c r="A790" s="24" t="s">
        <v>296</v>
      </c>
      <c r="B790" s="24" t="s">
        <v>156</v>
      </c>
      <c r="C790" s="26" t="s">
        <v>429</v>
      </c>
      <c r="D790" s="24" t="s">
        <v>16</v>
      </c>
      <c r="E790" s="24" t="s">
        <v>435</v>
      </c>
      <c r="F790" s="24" t="s">
        <v>423</v>
      </c>
      <c r="G790" s="71"/>
      <c r="H790" s="21">
        <v>0</v>
      </c>
      <c r="I790" s="21">
        <v>2026</v>
      </c>
      <c r="J790" s="21">
        <v>3</v>
      </c>
      <c r="K790" s="25" t="str">
        <f t="shared" ca="1" si="62"/>
        <v>Activo</v>
      </c>
      <c r="O790" s="72">
        <v>1</v>
      </c>
      <c r="P790" s="26" t="s">
        <v>439</v>
      </c>
      <c r="Q790" s="34">
        <v>180</v>
      </c>
      <c r="S790" s="29">
        <v>46198</v>
      </c>
      <c r="T790" s="28">
        <f t="shared" si="63"/>
        <v>46378</v>
      </c>
      <c r="U790" s="25">
        <f t="shared" ca="1" si="64"/>
        <v>117</v>
      </c>
      <c r="V790" s="25" t="str">
        <f t="shared" ca="1" si="65"/>
        <v>AL DÍA</v>
      </c>
      <c r="W790" s="25" t="s">
        <v>24</v>
      </c>
      <c r="X790" s="25" t="s">
        <v>271</v>
      </c>
      <c r="Y790" s="25">
        <v>2</v>
      </c>
    </row>
    <row r="791" spans="1:26" ht="14.25" hidden="1" customHeight="1" x14ac:dyDescent="0.15">
      <c r="A791" s="24" t="s">
        <v>296</v>
      </c>
      <c r="B791" s="24" t="s">
        <v>188</v>
      </c>
      <c r="C791" s="95" t="s">
        <v>454</v>
      </c>
      <c r="D791" s="24" t="s">
        <v>65</v>
      </c>
      <c r="F791" s="24" t="s">
        <v>455</v>
      </c>
      <c r="G791" s="21">
        <v>1987</v>
      </c>
      <c r="H791" s="21">
        <v>100</v>
      </c>
      <c r="I791" s="21">
        <f ca="1">YEAR(TODAY())-G791</f>
        <v>39</v>
      </c>
      <c r="J791" s="21">
        <v>3</v>
      </c>
      <c r="K791" s="25" t="str">
        <f t="shared" ca="1" si="62"/>
        <v>Activo</v>
      </c>
      <c r="L791" s="25" t="s">
        <v>49</v>
      </c>
      <c r="O791" s="25" t="s">
        <v>456</v>
      </c>
      <c r="P791" s="25" t="s">
        <v>22</v>
      </c>
      <c r="Q791" s="32">
        <v>365</v>
      </c>
      <c r="R791" s="25" t="s">
        <v>64</v>
      </c>
      <c r="S791" s="29"/>
      <c r="T791" s="28">
        <f t="shared" si="63"/>
        <v>365</v>
      </c>
      <c r="U791" s="25">
        <f t="shared" ca="1" si="64"/>
        <v>-45896</v>
      </c>
      <c r="V791" s="25" t="str">
        <f t="shared" ca="1" si="65"/>
        <v>VENCIDO</v>
      </c>
      <c r="W791" s="25" t="s">
        <v>24</v>
      </c>
      <c r="X791" s="25" t="s">
        <v>262</v>
      </c>
      <c r="Y791" s="25">
        <v>2</v>
      </c>
    </row>
    <row r="792" spans="1:26" ht="14.25" hidden="1" customHeight="1" x14ac:dyDescent="0.15">
      <c r="A792" s="24" t="s">
        <v>234</v>
      </c>
      <c r="B792" s="24" t="s">
        <v>88</v>
      </c>
      <c r="C792" s="26" t="s">
        <v>67</v>
      </c>
      <c r="D792" s="24" t="s">
        <v>65</v>
      </c>
      <c r="E792" s="24" t="s">
        <v>452</v>
      </c>
      <c r="F792" s="24" t="s">
        <v>128</v>
      </c>
      <c r="G792" s="21">
        <v>2014</v>
      </c>
      <c r="H792" s="21">
        <v>0</v>
      </c>
      <c r="I792" s="21">
        <f t="shared" ref="I792:I854" ca="1" si="66">YEAR(TODAY())-G792</f>
        <v>12</v>
      </c>
      <c r="J792" s="21">
        <v>3</v>
      </c>
      <c r="K792" s="25" t="str">
        <f t="shared" ca="1" si="62"/>
        <v>Activo</v>
      </c>
      <c r="L792" s="25" t="s">
        <v>49</v>
      </c>
      <c r="M792" s="25" t="s">
        <v>49</v>
      </c>
      <c r="N792" s="25" t="s">
        <v>49</v>
      </c>
      <c r="O792" s="25" t="s">
        <v>68</v>
      </c>
      <c r="P792" s="25" t="s">
        <v>138</v>
      </c>
      <c r="Q792" s="32">
        <v>30</v>
      </c>
      <c r="R792" s="25" t="s">
        <v>69</v>
      </c>
      <c r="S792" s="30">
        <v>46228</v>
      </c>
      <c r="T792" s="28">
        <f t="shared" ref="T792:T801" si="67">+S792+Q792</f>
        <v>46258</v>
      </c>
      <c r="U792" s="25">
        <f t="shared" ca="1" si="64"/>
        <v>-3</v>
      </c>
      <c r="V792" s="25" t="str">
        <f t="shared" ca="1" si="65"/>
        <v>VENCIDO</v>
      </c>
      <c r="W792" s="25" t="s">
        <v>24</v>
      </c>
      <c r="X792" s="25" t="s">
        <v>267</v>
      </c>
      <c r="Y792" s="25">
        <v>2</v>
      </c>
      <c r="Z792" s="1" t="s">
        <v>268</v>
      </c>
    </row>
    <row r="793" spans="1:26" ht="14.25" hidden="1" customHeight="1" x14ac:dyDescent="0.15">
      <c r="A793" s="24" t="s">
        <v>234</v>
      </c>
      <c r="B793" s="24" t="s">
        <v>88</v>
      </c>
      <c r="C793" s="26" t="s">
        <v>71</v>
      </c>
      <c r="D793" s="24" t="s">
        <v>65</v>
      </c>
      <c r="E793" s="24" t="s">
        <v>452</v>
      </c>
      <c r="F793" s="24" t="s">
        <v>130</v>
      </c>
      <c r="G793" s="21">
        <v>2014</v>
      </c>
      <c r="H793" s="21">
        <v>0</v>
      </c>
      <c r="I793" s="21">
        <f t="shared" ca="1" si="66"/>
        <v>12</v>
      </c>
      <c r="J793" s="21">
        <v>3</v>
      </c>
      <c r="K793" s="25" t="str">
        <f t="shared" ca="1" si="62"/>
        <v>Activo</v>
      </c>
      <c r="L793" s="25" t="s">
        <v>49</v>
      </c>
      <c r="M793" s="25" t="s">
        <v>49</v>
      </c>
      <c r="N793" s="25" t="s">
        <v>49</v>
      </c>
      <c r="O793" s="25" t="s">
        <v>68</v>
      </c>
      <c r="P793" s="25" t="s">
        <v>138</v>
      </c>
      <c r="Q793" s="34">
        <v>30</v>
      </c>
      <c r="R793" s="25" t="s">
        <v>69</v>
      </c>
      <c r="S793" s="30">
        <v>46228</v>
      </c>
      <c r="T793" s="28">
        <f t="shared" si="67"/>
        <v>46258</v>
      </c>
      <c r="U793" s="25">
        <f t="shared" ca="1" si="64"/>
        <v>-3</v>
      </c>
      <c r="V793" s="25" t="str">
        <f t="shared" ca="1" si="65"/>
        <v>VENCIDO</v>
      </c>
      <c r="W793" s="25" t="s">
        <v>24</v>
      </c>
      <c r="X793" s="25" t="s">
        <v>267</v>
      </c>
      <c r="Y793" s="25">
        <v>2</v>
      </c>
      <c r="Z793" s="1" t="s">
        <v>268</v>
      </c>
    </row>
    <row r="794" spans="1:26" ht="14.25" hidden="1" customHeight="1" x14ac:dyDescent="0.15">
      <c r="A794" s="24" t="s">
        <v>234</v>
      </c>
      <c r="B794" s="24" t="s">
        <v>88</v>
      </c>
      <c r="C794" s="26" t="s">
        <v>236</v>
      </c>
      <c r="D794" s="24" t="s">
        <v>16</v>
      </c>
      <c r="E794" s="24" t="s">
        <v>453</v>
      </c>
      <c r="F794" s="24" t="s">
        <v>235</v>
      </c>
      <c r="G794" s="21">
        <v>2014</v>
      </c>
      <c r="H794" s="21">
        <v>40</v>
      </c>
      <c r="I794" s="21">
        <f t="shared" ca="1" si="66"/>
        <v>12</v>
      </c>
      <c r="J794" s="21">
        <v>3</v>
      </c>
      <c r="K794" s="25" t="str">
        <f t="shared" ca="1" si="62"/>
        <v>Activo</v>
      </c>
      <c r="L794" s="25" t="s">
        <v>49</v>
      </c>
      <c r="M794" s="25" t="s">
        <v>49</v>
      </c>
      <c r="N794" s="25" t="s">
        <v>49</v>
      </c>
      <c r="O794" s="25" t="s">
        <v>207</v>
      </c>
      <c r="P794" s="25" t="s">
        <v>22</v>
      </c>
      <c r="Q794" s="32">
        <v>365</v>
      </c>
      <c r="R794" s="25" t="s">
        <v>64</v>
      </c>
      <c r="S794" s="28">
        <v>46198</v>
      </c>
      <c r="T794" s="28">
        <f t="shared" si="67"/>
        <v>46563</v>
      </c>
      <c r="U794" s="25">
        <f t="shared" ca="1" si="64"/>
        <v>302</v>
      </c>
      <c r="V794" s="25" t="str">
        <f t="shared" ca="1" si="65"/>
        <v>AL DÍA</v>
      </c>
      <c r="W794" s="25" t="s">
        <v>24</v>
      </c>
      <c r="X794" s="25" t="s">
        <v>271</v>
      </c>
      <c r="Y794" s="25">
        <v>2</v>
      </c>
      <c r="Z794" s="1" t="s">
        <v>283</v>
      </c>
    </row>
    <row r="795" spans="1:26" ht="14.25" hidden="1" customHeight="1" x14ac:dyDescent="0.15">
      <c r="A795" s="24" t="s">
        <v>234</v>
      </c>
      <c r="B795" s="24" t="s">
        <v>88</v>
      </c>
      <c r="C795" s="26" t="s">
        <v>361</v>
      </c>
      <c r="D795" s="24" t="s">
        <v>65</v>
      </c>
      <c r="E795" s="24" t="s">
        <v>449</v>
      </c>
      <c r="F795" s="24" t="s">
        <v>238</v>
      </c>
      <c r="G795" s="21">
        <v>2014</v>
      </c>
      <c r="H795" s="21">
        <v>0</v>
      </c>
      <c r="I795" s="21">
        <f t="shared" ca="1" si="66"/>
        <v>12</v>
      </c>
      <c r="J795" s="21">
        <v>3</v>
      </c>
      <c r="K795" s="25" t="str">
        <f t="shared" ca="1" si="62"/>
        <v>Activo</v>
      </c>
      <c r="L795" s="25" t="s">
        <v>49</v>
      </c>
      <c r="M795" s="25" t="s">
        <v>49</v>
      </c>
      <c r="N795" s="25" t="s">
        <v>49</v>
      </c>
      <c r="O795" s="25" t="s">
        <v>98</v>
      </c>
      <c r="P795" s="25" t="s">
        <v>138</v>
      </c>
      <c r="Q795" s="32">
        <v>30</v>
      </c>
      <c r="R795" s="25" t="s">
        <v>69</v>
      </c>
      <c r="S795" s="30">
        <v>46228</v>
      </c>
      <c r="T795" s="28">
        <f t="shared" si="67"/>
        <v>46258</v>
      </c>
      <c r="U795" s="25">
        <f t="shared" ca="1" si="64"/>
        <v>-3</v>
      </c>
      <c r="V795" s="25" t="str">
        <f t="shared" ca="1" si="65"/>
        <v>VENCIDO</v>
      </c>
      <c r="W795" s="25" t="s">
        <v>24</v>
      </c>
      <c r="X795" s="25" t="s">
        <v>267</v>
      </c>
      <c r="Y795" s="25">
        <v>1</v>
      </c>
    </row>
    <row r="796" spans="1:26" ht="14.25" hidden="1" customHeight="1" x14ac:dyDescent="0.15">
      <c r="A796" s="24" t="s">
        <v>234</v>
      </c>
      <c r="B796" s="24" t="s">
        <v>88</v>
      </c>
      <c r="C796" s="26" t="s">
        <v>361</v>
      </c>
      <c r="D796" s="24" t="s">
        <v>65</v>
      </c>
      <c r="E796" s="24" t="s">
        <v>449</v>
      </c>
      <c r="F796" s="24" t="s">
        <v>239</v>
      </c>
      <c r="G796" s="21">
        <v>2014</v>
      </c>
      <c r="H796" s="21">
        <v>0</v>
      </c>
      <c r="I796" s="21">
        <f t="shared" ca="1" si="66"/>
        <v>12</v>
      </c>
      <c r="J796" s="21">
        <v>3</v>
      </c>
      <c r="K796" s="25" t="str">
        <f t="shared" ca="1" si="62"/>
        <v>Activo</v>
      </c>
      <c r="L796" s="25" t="s">
        <v>49</v>
      </c>
      <c r="M796" s="25" t="s">
        <v>49</v>
      </c>
      <c r="N796" s="25" t="s">
        <v>49</v>
      </c>
      <c r="O796" s="25" t="s">
        <v>98</v>
      </c>
      <c r="P796" s="25" t="s">
        <v>138</v>
      </c>
      <c r="Q796" s="32">
        <v>30</v>
      </c>
      <c r="R796" s="25" t="s">
        <v>69</v>
      </c>
      <c r="S796" s="30">
        <v>46228</v>
      </c>
      <c r="T796" s="28">
        <f t="shared" si="67"/>
        <v>46258</v>
      </c>
      <c r="U796" s="25">
        <f t="shared" ca="1" si="64"/>
        <v>-3</v>
      </c>
      <c r="V796" s="25" t="str">
        <f t="shared" ca="1" si="65"/>
        <v>VENCIDO</v>
      </c>
      <c r="W796" s="25" t="s">
        <v>24</v>
      </c>
      <c r="X796" s="25" t="s">
        <v>267</v>
      </c>
      <c r="Y796" s="25">
        <v>1</v>
      </c>
    </row>
    <row r="797" spans="1:26" ht="14.25" hidden="1" customHeight="1" x14ac:dyDescent="0.15">
      <c r="A797" s="24" t="s">
        <v>234</v>
      </c>
      <c r="B797" s="24" t="s">
        <v>88</v>
      </c>
      <c r="C797" s="26" t="s">
        <v>361</v>
      </c>
      <c r="D797" s="24" t="s">
        <v>65</v>
      </c>
      <c r="E797" s="24" t="s">
        <v>449</v>
      </c>
      <c r="F797" s="24" t="s">
        <v>237</v>
      </c>
      <c r="G797" s="21">
        <v>2014</v>
      </c>
      <c r="H797" s="21">
        <v>0</v>
      </c>
      <c r="I797" s="21">
        <f t="shared" ca="1" si="66"/>
        <v>12</v>
      </c>
      <c r="J797" s="21">
        <v>3</v>
      </c>
      <c r="K797" s="25" t="str">
        <f t="shared" ca="1" si="62"/>
        <v>Activo</v>
      </c>
      <c r="L797" s="25" t="s">
        <v>49</v>
      </c>
      <c r="M797" s="25" t="s">
        <v>49</v>
      </c>
      <c r="N797" s="25" t="s">
        <v>49</v>
      </c>
      <c r="P797" s="25" t="s">
        <v>138</v>
      </c>
      <c r="Q797" s="32">
        <v>30</v>
      </c>
      <c r="R797" s="25" t="s">
        <v>69</v>
      </c>
      <c r="S797" s="30">
        <v>46228</v>
      </c>
      <c r="T797" s="28">
        <f t="shared" si="67"/>
        <v>46258</v>
      </c>
      <c r="U797" s="25">
        <f t="shared" ca="1" si="64"/>
        <v>-3</v>
      </c>
      <c r="V797" s="25" t="str">
        <f t="shared" ca="1" si="65"/>
        <v>VENCIDO</v>
      </c>
      <c r="W797" s="25" t="s">
        <v>24</v>
      </c>
      <c r="X797" s="25" t="s">
        <v>267</v>
      </c>
      <c r="Y797" s="25">
        <v>2</v>
      </c>
      <c r="Z797" s="1" t="s">
        <v>285</v>
      </c>
    </row>
    <row r="798" spans="1:26" ht="14.25" hidden="1" customHeight="1" x14ac:dyDescent="0.15">
      <c r="A798" s="24" t="s">
        <v>234</v>
      </c>
      <c r="B798" s="24" t="s">
        <v>88</v>
      </c>
      <c r="C798" s="25" t="s">
        <v>361</v>
      </c>
      <c r="D798" s="24" t="s">
        <v>65</v>
      </c>
      <c r="E798" s="24" t="s">
        <v>449</v>
      </c>
      <c r="F798" s="24" t="s">
        <v>109</v>
      </c>
      <c r="G798" s="21">
        <v>2014</v>
      </c>
      <c r="H798" s="21">
        <v>0</v>
      </c>
      <c r="I798" s="21">
        <f t="shared" ca="1" si="66"/>
        <v>12</v>
      </c>
      <c r="J798" s="21">
        <v>3</v>
      </c>
      <c r="K798" s="25" t="str">
        <f t="shared" ca="1" si="62"/>
        <v>Activo</v>
      </c>
      <c r="L798" s="25" t="s">
        <v>49</v>
      </c>
      <c r="M798" s="25" t="s">
        <v>49</v>
      </c>
      <c r="N798" s="25" t="s">
        <v>49</v>
      </c>
      <c r="O798" s="25" t="s">
        <v>240</v>
      </c>
      <c r="P798" s="26" t="s">
        <v>138</v>
      </c>
      <c r="Q798" s="34">
        <v>30</v>
      </c>
      <c r="R798" s="25" t="s">
        <v>69</v>
      </c>
      <c r="S798" s="30">
        <v>46228</v>
      </c>
      <c r="T798" s="28">
        <f t="shared" si="67"/>
        <v>46258</v>
      </c>
      <c r="U798" s="25">
        <f t="shared" ca="1" si="64"/>
        <v>-3</v>
      </c>
      <c r="V798" s="25" t="str">
        <f t="shared" ca="1" si="65"/>
        <v>VENCIDO</v>
      </c>
      <c r="W798" s="25" t="s">
        <v>24</v>
      </c>
      <c r="X798" s="25" t="s">
        <v>267</v>
      </c>
      <c r="Y798" s="25">
        <v>2</v>
      </c>
    </row>
    <row r="799" spans="1:26" ht="14.25" hidden="1" customHeight="1" x14ac:dyDescent="0.15">
      <c r="A799" s="24" t="s">
        <v>234</v>
      </c>
      <c r="B799" s="24" t="s">
        <v>88</v>
      </c>
      <c r="C799" s="25" t="s">
        <v>361</v>
      </c>
      <c r="D799" s="24" t="s">
        <v>65</v>
      </c>
      <c r="E799" s="24" t="s">
        <v>449</v>
      </c>
      <c r="F799" s="24" t="s">
        <v>110</v>
      </c>
      <c r="G799" s="21">
        <v>2014</v>
      </c>
      <c r="H799" s="21">
        <v>0</v>
      </c>
      <c r="I799" s="21">
        <f t="shared" ca="1" si="66"/>
        <v>12</v>
      </c>
      <c r="J799" s="21">
        <v>3</v>
      </c>
      <c r="K799" s="25" t="str">
        <f t="shared" ca="1" si="62"/>
        <v>Activo</v>
      </c>
      <c r="L799" s="25" t="s">
        <v>49</v>
      </c>
      <c r="M799" s="25" t="s">
        <v>49</v>
      </c>
      <c r="N799" s="25" t="s">
        <v>49</v>
      </c>
      <c r="O799" s="25" t="s">
        <v>241</v>
      </c>
      <c r="P799" s="25" t="s">
        <v>138</v>
      </c>
      <c r="Q799" s="32">
        <v>30</v>
      </c>
      <c r="R799" s="25" t="s">
        <v>69</v>
      </c>
      <c r="S799" s="30">
        <v>46228</v>
      </c>
      <c r="T799" s="28">
        <f t="shared" si="67"/>
        <v>46258</v>
      </c>
      <c r="U799" s="25">
        <f t="shared" ca="1" si="64"/>
        <v>-3</v>
      </c>
      <c r="V799" s="25" t="str">
        <f t="shared" ca="1" si="65"/>
        <v>VENCIDO</v>
      </c>
      <c r="W799" s="25" t="s">
        <v>24</v>
      </c>
      <c r="X799" s="25" t="s">
        <v>267</v>
      </c>
      <c r="Y799" s="25">
        <v>2</v>
      </c>
    </row>
    <row r="800" spans="1:26" ht="14.25" hidden="1" customHeight="1" x14ac:dyDescent="0.15">
      <c r="A800" s="24" t="s">
        <v>234</v>
      </c>
      <c r="B800" s="24" t="s">
        <v>88</v>
      </c>
      <c r="C800" s="25" t="s">
        <v>20</v>
      </c>
      <c r="D800" s="24" t="s">
        <v>16</v>
      </c>
      <c r="F800" s="24" t="s">
        <v>55</v>
      </c>
      <c r="G800" s="21">
        <v>2023</v>
      </c>
      <c r="H800" s="21">
        <v>7</v>
      </c>
      <c r="I800" s="21">
        <f t="shared" ca="1" si="66"/>
        <v>3</v>
      </c>
      <c r="J800" s="21">
        <v>3</v>
      </c>
      <c r="K800" s="25" t="str">
        <f t="shared" ca="1" si="62"/>
        <v>Activo</v>
      </c>
      <c r="L800" s="25" t="s">
        <v>242</v>
      </c>
      <c r="O800" s="25" t="s">
        <v>243</v>
      </c>
      <c r="P800" s="26" t="s">
        <v>22</v>
      </c>
      <c r="Q800" s="34">
        <v>365</v>
      </c>
      <c r="R800" s="25" t="s">
        <v>69</v>
      </c>
      <c r="S800" s="30">
        <v>46198</v>
      </c>
      <c r="T800" s="28">
        <f t="shared" si="67"/>
        <v>46563</v>
      </c>
      <c r="U800" s="25">
        <f t="shared" ca="1" si="64"/>
        <v>302</v>
      </c>
      <c r="V800" s="25" t="str">
        <f t="shared" ca="1" si="65"/>
        <v>AL DÍA</v>
      </c>
      <c r="W800" s="25" t="s">
        <v>24</v>
      </c>
      <c r="X800" s="25" t="s">
        <v>271</v>
      </c>
      <c r="Y800" s="25">
        <v>1</v>
      </c>
      <c r="Z800" s="1" t="s">
        <v>274</v>
      </c>
    </row>
    <row r="801" spans="1:26" ht="14.25" hidden="1" customHeight="1" x14ac:dyDescent="0.15">
      <c r="A801" s="24" t="s">
        <v>234</v>
      </c>
      <c r="B801" s="24" t="s">
        <v>88</v>
      </c>
      <c r="C801" s="26" t="s">
        <v>20</v>
      </c>
      <c r="D801" s="24" t="s">
        <v>16</v>
      </c>
      <c r="F801" s="24" t="s">
        <v>59</v>
      </c>
      <c r="G801" s="21">
        <v>2023</v>
      </c>
      <c r="H801" s="21">
        <v>7</v>
      </c>
      <c r="I801" s="21">
        <f t="shared" ca="1" si="66"/>
        <v>3</v>
      </c>
      <c r="J801" s="21">
        <v>3</v>
      </c>
      <c r="K801" s="25" t="str">
        <f t="shared" ca="1" si="62"/>
        <v>Activo</v>
      </c>
      <c r="L801" s="25" t="s">
        <v>242</v>
      </c>
      <c r="O801" s="25" t="s">
        <v>243</v>
      </c>
      <c r="P801" s="25" t="s">
        <v>22</v>
      </c>
      <c r="Q801" s="32">
        <v>365</v>
      </c>
      <c r="R801" s="25" t="s">
        <v>69</v>
      </c>
      <c r="S801" s="28">
        <v>46198</v>
      </c>
      <c r="T801" s="28">
        <f t="shared" si="67"/>
        <v>46563</v>
      </c>
      <c r="U801" s="25">
        <f t="shared" ca="1" si="64"/>
        <v>302</v>
      </c>
      <c r="V801" s="25" t="str">
        <f t="shared" ca="1" si="65"/>
        <v>AL DÍA</v>
      </c>
      <c r="W801" s="25" t="s">
        <v>24</v>
      </c>
      <c r="X801" s="25" t="s">
        <v>271</v>
      </c>
      <c r="Y801" s="25">
        <v>1</v>
      </c>
      <c r="Z801" s="1" t="s">
        <v>274</v>
      </c>
    </row>
    <row r="802" spans="1:26" ht="14.25" hidden="1" customHeight="1" x14ac:dyDescent="0.15">
      <c r="A802" s="24" t="s">
        <v>234</v>
      </c>
      <c r="B802" s="24" t="s">
        <v>88</v>
      </c>
      <c r="C802" s="25" t="s">
        <v>467</v>
      </c>
      <c r="D802" s="24" t="s">
        <v>65</v>
      </c>
      <c r="F802" s="24" t="s">
        <v>468</v>
      </c>
      <c r="G802" s="21">
        <v>2016</v>
      </c>
      <c r="H802" s="21">
        <v>12</v>
      </c>
      <c r="I802" s="21">
        <f t="shared" ca="1" si="66"/>
        <v>10</v>
      </c>
      <c r="J802" s="21">
        <v>3</v>
      </c>
      <c r="K802" s="25" t="str">
        <f t="shared" ca="1" si="62"/>
        <v>Activo</v>
      </c>
      <c r="L802" s="25" t="s">
        <v>49</v>
      </c>
      <c r="M802" s="25" t="s">
        <v>49</v>
      </c>
      <c r="N802" s="25" t="s">
        <v>49</v>
      </c>
      <c r="R802" s="25" t="s">
        <v>64</v>
      </c>
      <c r="S802" s="28">
        <v>1</v>
      </c>
      <c r="T802" s="28">
        <v>1</v>
      </c>
      <c r="U802" s="25">
        <f t="shared" ca="1" si="64"/>
        <v>-46260</v>
      </c>
      <c r="V802" s="25" t="str">
        <f t="shared" ca="1" si="65"/>
        <v>VENCIDO</v>
      </c>
      <c r="W802" s="25" t="s">
        <v>24</v>
      </c>
      <c r="X802" s="25" t="s">
        <v>262</v>
      </c>
      <c r="Y802" s="25">
        <v>2</v>
      </c>
    </row>
    <row r="803" spans="1:26" ht="14.25" hidden="1" customHeight="1" x14ac:dyDescent="0.15">
      <c r="A803" s="24" t="s">
        <v>234</v>
      </c>
      <c r="B803" s="24" t="s">
        <v>88</v>
      </c>
      <c r="C803" s="25" t="s">
        <v>467</v>
      </c>
      <c r="D803" s="24" t="s">
        <v>65</v>
      </c>
      <c r="F803" s="24" t="s">
        <v>469</v>
      </c>
      <c r="G803" s="71">
        <v>1990</v>
      </c>
      <c r="H803" s="21">
        <v>40</v>
      </c>
      <c r="I803" s="21">
        <f t="shared" ca="1" si="66"/>
        <v>36</v>
      </c>
      <c r="J803" s="21">
        <v>3</v>
      </c>
      <c r="K803" s="25" t="str">
        <f t="shared" ca="1" si="62"/>
        <v>Activo</v>
      </c>
      <c r="L803" s="25" t="s">
        <v>49</v>
      </c>
      <c r="M803" s="25" t="s">
        <v>49</v>
      </c>
      <c r="N803" s="25" t="s">
        <v>49</v>
      </c>
      <c r="Q803" s="32">
        <v>365</v>
      </c>
      <c r="R803" s="25" t="s">
        <v>69</v>
      </c>
      <c r="S803" s="28">
        <v>46037</v>
      </c>
      <c r="T803" s="28">
        <v>46402</v>
      </c>
      <c r="U803" s="25">
        <f t="shared" ca="1" si="64"/>
        <v>141</v>
      </c>
      <c r="V803" s="25" t="str">
        <f t="shared" ca="1" si="65"/>
        <v>AL DÍA</v>
      </c>
      <c r="W803" s="25" t="s">
        <v>24</v>
      </c>
      <c r="X803" s="25" t="s">
        <v>262</v>
      </c>
      <c r="Y803" s="25">
        <v>2</v>
      </c>
    </row>
    <row r="804" spans="1:26" ht="14.25" hidden="1" customHeight="1" x14ac:dyDescent="0.15">
      <c r="A804" s="24" t="s">
        <v>244</v>
      </c>
      <c r="B804" s="24" t="s">
        <v>88</v>
      </c>
      <c r="C804" s="25" t="s">
        <v>252</v>
      </c>
      <c r="D804" s="24" t="s">
        <v>16</v>
      </c>
      <c r="E804" s="24" t="s">
        <v>451</v>
      </c>
      <c r="F804" s="24" t="s">
        <v>245</v>
      </c>
      <c r="G804" s="21">
        <v>2017</v>
      </c>
      <c r="H804" s="21">
        <v>15</v>
      </c>
      <c r="I804" s="21">
        <f t="shared" ca="1" si="66"/>
        <v>9</v>
      </c>
      <c r="J804" s="21">
        <v>3</v>
      </c>
      <c r="K804" s="25" t="str">
        <f t="shared" ca="1" si="62"/>
        <v>Activo</v>
      </c>
      <c r="L804" s="25" t="s">
        <v>250</v>
      </c>
      <c r="P804" s="25" t="s">
        <v>22</v>
      </c>
      <c r="Q804" s="32">
        <v>365</v>
      </c>
      <c r="R804" s="25" t="s">
        <v>23</v>
      </c>
      <c r="S804" s="28">
        <v>46198</v>
      </c>
      <c r="T804" s="28">
        <f t="shared" ref="T804:T867" si="68">+S804+Q804</f>
        <v>46563</v>
      </c>
      <c r="U804" s="25">
        <f t="shared" ca="1" si="64"/>
        <v>302</v>
      </c>
      <c r="V804" s="25" t="str">
        <f t="shared" ca="1" si="65"/>
        <v>AL DÍA</v>
      </c>
      <c r="W804" s="25" t="s">
        <v>24</v>
      </c>
      <c r="X804" s="25" t="s">
        <v>271</v>
      </c>
      <c r="Y804" s="25">
        <v>1</v>
      </c>
      <c r="Z804" s="1" t="s">
        <v>276</v>
      </c>
    </row>
    <row r="805" spans="1:26" ht="14.25" hidden="1" customHeight="1" x14ac:dyDescent="0.15">
      <c r="A805" s="24" t="s">
        <v>244</v>
      </c>
      <c r="B805" s="24" t="s">
        <v>88</v>
      </c>
      <c r="C805" s="26" t="s">
        <v>252</v>
      </c>
      <c r="D805" s="24" t="s">
        <v>16</v>
      </c>
      <c r="E805" s="24" t="s">
        <v>451</v>
      </c>
      <c r="F805" s="24" t="s">
        <v>246</v>
      </c>
      <c r="G805" s="21">
        <v>2017</v>
      </c>
      <c r="H805" s="21">
        <v>15</v>
      </c>
      <c r="I805" s="21">
        <f t="shared" ca="1" si="66"/>
        <v>9</v>
      </c>
      <c r="J805" s="21">
        <v>3</v>
      </c>
      <c r="K805" s="25" t="str">
        <f t="shared" ca="1" si="62"/>
        <v>Activo</v>
      </c>
      <c r="L805" s="25" t="s">
        <v>250</v>
      </c>
      <c r="P805" s="25" t="s">
        <v>22</v>
      </c>
      <c r="Q805" s="32">
        <v>365</v>
      </c>
      <c r="R805" s="25" t="s">
        <v>23</v>
      </c>
      <c r="S805" s="28">
        <v>46198</v>
      </c>
      <c r="T805" s="28">
        <f t="shared" si="68"/>
        <v>46563</v>
      </c>
      <c r="U805" s="25">
        <f t="shared" ca="1" si="64"/>
        <v>302</v>
      </c>
      <c r="V805" s="25" t="str">
        <f t="shared" ca="1" si="65"/>
        <v>AL DÍA</v>
      </c>
      <c r="W805" s="25" t="s">
        <v>24</v>
      </c>
      <c r="X805" s="25" t="s">
        <v>271</v>
      </c>
      <c r="Y805" s="25">
        <v>1</v>
      </c>
      <c r="Z805" s="1" t="s">
        <v>276</v>
      </c>
    </row>
    <row r="806" spans="1:26" ht="14.25" hidden="1" customHeight="1" x14ac:dyDescent="0.15">
      <c r="A806" s="24" t="s">
        <v>244</v>
      </c>
      <c r="B806" s="24" t="s">
        <v>88</v>
      </c>
      <c r="C806" s="26" t="s">
        <v>252</v>
      </c>
      <c r="D806" s="24" t="s">
        <v>16</v>
      </c>
      <c r="E806" s="24" t="s">
        <v>451</v>
      </c>
      <c r="F806" s="24" t="s">
        <v>247</v>
      </c>
      <c r="G806" s="21">
        <v>2017</v>
      </c>
      <c r="H806" s="21">
        <v>15</v>
      </c>
      <c r="I806" s="21">
        <f t="shared" ca="1" si="66"/>
        <v>9</v>
      </c>
      <c r="J806" s="21">
        <v>3</v>
      </c>
      <c r="K806" s="25" t="str">
        <f t="shared" ca="1" si="62"/>
        <v>Activo</v>
      </c>
      <c r="L806" s="25" t="s">
        <v>250</v>
      </c>
      <c r="P806" s="25" t="s">
        <v>22</v>
      </c>
      <c r="Q806" s="32">
        <v>365</v>
      </c>
      <c r="R806" s="25" t="s">
        <v>23</v>
      </c>
      <c r="S806" s="28">
        <v>46198</v>
      </c>
      <c r="T806" s="28">
        <f t="shared" si="68"/>
        <v>46563</v>
      </c>
      <c r="U806" s="25">
        <f t="shared" ca="1" si="64"/>
        <v>302</v>
      </c>
      <c r="V806" s="25" t="str">
        <f t="shared" ca="1" si="65"/>
        <v>AL DÍA</v>
      </c>
      <c r="W806" s="25" t="s">
        <v>24</v>
      </c>
      <c r="X806" s="25" t="s">
        <v>271</v>
      </c>
      <c r="Y806" s="25">
        <v>1</v>
      </c>
      <c r="Z806" s="1" t="s">
        <v>276</v>
      </c>
    </row>
    <row r="807" spans="1:26" ht="14.25" hidden="1" customHeight="1" x14ac:dyDescent="0.15">
      <c r="A807" s="24" t="s">
        <v>244</v>
      </c>
      <c r="B807" s="24" t="s">
        <v>88</v>
      </c>
      <c r="C807" s="26" t="s">
        <v>252</v>
      </c>
      <c r="D807" s="24" t="s">
        <v>16</v>
      </c>
      <c r="E807" s="24" t="s">
        <v>451</v>
      </c>
      <c r="F807" s="24" t="s">
        <v>248</v>
      </c>
      <c r="G807" s="21">
        <v>2017</v>
      </c>
      <c r="H807" s="21">
        <v>15</v>
      </c>
      <c r="I807" s="21">
        <f t="shared" ca="1" si="66"/>
        <v>9</v>
      </c>
      <c r="J807" s="21">
        <v>3</v>
      </c>
      <c r="K807" s="25" t="str">
        <f t="shared" ca="1" si="62"/>
        <v>Activo</v>
      </c>
      <c r="P807" s="25" t="s">
        <v>22</v>
      </c>
      <c r="Q807" s="32">
        <v>365</v>
      </c>
      <c r="R807" s="25" t="s">
        <v>23</v>
      </c>
      <c r="S807" s="28">
        <v>46198</v>
      </c>
      <c r="T807" s="28">
        <f t="shared" si="68"/>
        <v>46563</v>
      </c>
      <c r="U807" s="25">
        <f t="shared" ca="1" si="64"/>
        <v>302</v>
      </c>
      <c r="V807" s="25" t="str">
        <f t="shared" ca="1" si="65"/>
        <v>AL DÍA</v>
      </c>
      <c r="W807" s="25" t="s">
        <v>24</v>
      </c>
      <c r="X807" s="25" t="s">
        <v>271</v>
      </c>
      <c r="Y807" s="25">
        <v>1</v>
      </c>
      <c r="Z807" s="1" t="s">
        <v>276</v>
      </c>
    </row>
    <row r="808" spans="1:26" ht="14.25" hidden="1" customHeight="1" x14ac:dyDescent="0.15">
      <c r="A808" s="24" t="s">
        <v>114</v>
      </c>
      <c r="B808" s="24" t="s">
        <v>88</v>
      </c>
      <c r="C808" s="26" t="s">
        <v>103</v>
      </c>
      <c r="D808" s="24" t="s">
        <v>16</v>
      </c>
      <c r="E808" s="24" t="s">
        <v>451</v>
      </c>
      <c r="F808" s="24" t="s">
        <v>17</v>
      </c>
      <c r="G808" s="21">
        <v>2014</v>
      </c>
      <c r="H808" s="21">
        <v>15</v>
      </c>
      <c r="I808" s="21">
        <f t="shared" ca="1" si="66"/>
        <v>12</v>
      </c>
      <c r="J808" s="21">
        <v>3</v>
      </c>
      <c r="K808" s="25" t="str">
        <f t="shared" ca="1" si="62"/>
        <v>Activo</v>
      </c>
      <c r="L808" s="25" t="s">
        <v>101</v>
      </c>
      <c r="M808" s="25" t="s">
        <v>102</v>
      </c>
      <c r="N808" s="25" t="s">
        <v>201</v>
      </c>
      <c r="O808" s="25" t="s">
        <v>256</v>
      </c>
      <c r="P808" s="25" t="s">
        <v>22</v>
      </c>
      <c r="Q808" s="32">
        <v>365</v>
      </c>
      <c r="R808" s="25" t="s">
        <v>23</v>
      </c>
      <c r="S808" s="28">
        <v>46198</v>
      </c>
      <c r="T808" s="28">
        <f t="shared" si="68"/>
        <v>46563</v>
      </c>
      <c r="U808" s="25">
        <f t="shared" ca="1" si="64"/>
        <v>302</v>
      </c>
      <c r="V808" s="25" t="str">
        <f t="shared" ca="1" si="65"/>
        <v>AL DÍA</v>
      </c>
      <c r="W808" s="25" t="s">
        <v>24</v>
      </c>
      <c r="X808" s="25" t="s">
        <v>271</v>
      </c>
      <c r="Y808" s="25">
        <v>1</v>
      </c>
      <c r="Z808" s="1" t="s">
        <v>276</v>
      </c>
    </row>
    <row r="809" spans="1:26" ht="14.25" hidden="1" customHeight="1" x14ac:dyDescent="0.15">
      <c r="A809" s="24" t="s">
        <v>114</v>
      </c>
      <c r="B809" s="24" t="s">
        <v>88</v>
      </c>
      <c r="C809" s="26" t="s">
        <v>94</v>
      </c>
      <c r="D809" s="24" t="s">
        <v>16</v>
      </c>
      <c r="E809" s="24" t="s">
        <v>451</v>
      </c>
      <c r="F809" s="24" t="s">
        <v>93</v>
      </c>
      <c r="G809" s="21">
        <v>2014</v>
      </c>
      <c r="H809" s="21">
        <v>20</v>
      </c>
      <c r="I809" s="21">
        <f t="shared" ca="1" si="66"/>
        <v>12</v>
      </c>
      <c r="J809" s="21">
        <v>3</v>
      </c>
      <c r="K809" s="25" t="str">
        <f t="shared" ca="1" si="62"/>
        <v>Activo</v>
      </c>
      <c r="L809" s="25" t="s">
        <v>89</v>
      </c>
      <c r="P809" s="25" t="s">
        <v>22</v>
      </c>
      <c r="Q809" s="34">
        <v>365</v>
      </c>
      <c r="R809" s="25" t="s">
        <v>69</v>
      </c>
      <c r="S809" s="28">
        <v>46198</v>
      </c>
      <c r="T809" s="28">
        <f t="shared" si="68"/>
        <v>46563</v>
      </c>
      <c r="U809" s="25">
        <f t="shared" ca="1" si="64"/>
        <v>302</v>
      </c>
      <c r="V809" s="25" t="str">
        <f t="shared" ca="1" si="65"/>
        <v>AL DÍA</v>
      </c>
      <c r="W809" s="25" t="s">
        <v>24</v>
      </c>
      <c r="X809" s="25" t="s">
        <v>262</v>
      </c>
      <c r="Y809" s="25">
        <v>1</v>
      </c>
      <c r="Z809" s="1" t="s">
        <v>265</v>
      </c>
    </row>
    <row r="810" spans="1:26" ht="14.25" hidden="1" customHeight="1" x14ac:dyDescent="0.15">
      <c r="A810" s="24" t="s">
        <v>114</v>
      </c>
      <c r="B810" s="24" t="s">
        <v>88</v>
      </c>
      <c r="C810" s="26" t="s">
        <v>116</v>
      </c>
      <c r="D810" s="24" t="s">
        <v>16</v>
      </c>
      <c r="E810" s="24" t="s">
        <v>451</v>
      </c>
      <c r="F810" s="24" t="s">
        <v>115</v>
      </c>
      <c r="G810" s="21">
        <v>2017</v>
      </c>
      <c r="H810" s="21">
        <v>25</v>
      </c>
      <c r="I810" s="21">
        <f t="shared" ca="1" si="66"/>
        <v>9</v>
      </c>
      <c r="J810" s="21">
        <v>3</v>
      </c>
      <c r="K810" s="25" t="str">
        <f t="shared" ca="1" si="62"/>
        <v>Activo</v>
      </c>
      <c r="O810" s="25" t="s">
        <v>294</v>
      </c>
      <c r="P810" s="25" t="s">
        <v>117</v>
      </c>
      <c r="Q810" s="34">
        <v>180</v>
      </c>
      <c r="R810" s="25" t="s">
        <v>23</v>
      </c>
      <c r="S810" s="28">
        <v>46198</v>
      </c>
      <c r="T810" s="28">
        <f t="shared" si="68"/>
        <v>46378</v>
      </c>
      <c r="U810" s="25">
        <f t="shared" ca="1" si="64"/>
        <v>117</v>
      </c>
      <c r="V810" s="25" t="str">
        <f t="shared" ca="1" si="65"/>
        <v>AL DÍA</v>
      </c>
      <c r="W810" s="25" t="s">
        <v>24</v>
      </c>
      <c r="X810" s="25" t="s">
        <v>271</v>
      </c>
      <c r="Y810" s="32">
        <v>2</v>
      </c>
    </row>
    <row r="811" spans="1:26" ht="14.25" customHeight="1" x14ac:dyDescent="0.15">
      <c r="A811" s="24" t="s">
        <v>114</v>
      </c>
      <c r="B811" s="24" t="s">
        <v>88</v>
      </c>
      <c r="C811" s="26" t="s">
        <v>95</v>
      </c>
      <c r="D811" s="24" t="s">
        <v>65</v>
      </c>
      <c r="F811" s="24" t="s">
        <v>287</v>
      </c>
      <c r="G811" s="21">
        <v>2014</v>
      </c>
      <c r="H811" s="21">
        <v>20</v>
      </c>
      <c r="I811" s="21">
        <f t="shared" ca="1" si="66"/>
        <v>12</v>
      </c>
      <c r="J811" s="21">
        <v>3</v>
      </c>
      <c r="K811" s="25" t="str">
        <f t="shared" ca="1" si="62"/>
        <v>Activo</v>
      </c>
      <c r="L811" s="25" t="s">
        <v>49</v>
      </c>
      <c r="M811" s="25" t="s">
        <v>49</v>
      </c>
      <c r="N811" s="25" t="s">
        <v>49</v>
      </c>
      <c r="P811" s="25" t="s">
        <v>81</v>
      </c>
      <c r="Q811" s="32">
        <f>365*3.5</f>
        <v>1277.5</v>
      </c>
      <c r="R811" s="25" t="s">
        <v>69</v>
      </c>
      <c r="S811" s="28">
        <v>45347</v>
      </c>
      <c r="T811" s="28">
        <f t="shared" si="68"/>
        <v>46624.5</v>
      </c>
      <c r="U811" s="25">
        <f t="shared" ca="1" si="64"/>
        <v>363.5</v>
      </c>
      <c r="V811" s="25" t="str">
        <f t="shared" ca="1" si="65"/>
        <v>AL DÍA</v>
      </c>
      <c r="W811" s="25" t="s">
        <v>24</v>
      </c>
      <c r="X811" s="25" t="s">
        <v>277</v>
      </c>
      <c r="Y811" s="25">
        <v>2</v>
      </c>
      <c r="Z811" s="1" t="s">
        <v>288</v>
      </c>
    </row>
    <row r="812" spans="1:26" ht="14.25" hidden="1" customHeight="1" x14ac:dyDescent="0.15">
      <c r="A812" s="24" t="s">
        <v>114</v>
      </c>
      <c r="B812" s="24" t="s">
        <v>88</v>
      </c>
      <c r="C812" s="26" t="s">
        <v>88</v>
      </c>
      <c r="D812" s="24" t="s">
        <v>16</v>
      </c>
      <c r="E812" s="24" t="s">
        <v>453</v>
      </c>
      <c r="F812" s="24" t="s">
        <v>118</v>
      </c>
      <c r="G812" s="21">
        <v>2014</v>
      </c>
      <c r="H812" s="21">
        <v>40</v>
      </c>
      <c r="I812" s="21">
        <f t="shared" ca="1" si="66"/>
        <v>12</v>
      </c>
      <c r="J812" s="21">
        <v>3</v>
      </c>
      <c r="K812" s="25" t="str">
        <f t="shared" ca="1" si="62"/>
        <v>Activo</v>
      </c>
      <c r="L812" s="25" t="s">
        <v>49</v>
      </c>
      <c r="M812" s="25" t="s">
        <v>49</v>
      </c>
      <c r="N812" s="25" t="s">
        <v>49</v>
      </c>
      <c r="O812" s="25" t="s">
        <v>203</v>
      </c>
      <c r="P812" s="25" t="s">
        <v>22</v>
      </c>
      <c r="Q812" s="32">
        <v>365</v>
      </c>
      <c r="R812" s="25" t="s">
        <v>64</v>
      </c>
      <c r="S812" s="28">
        <v>46198</v>
      </c>
      <c r="T812" s="28">
        <f t="shared" si="68"/>
        <v>46563</v>
      </c>
      <c r="U812" s="25">
        <f t="shared" ca="1" si="64"/>
        <v>302</v>
      </c>
      <c r="V812" s="25" t="str">
        <f t="shared" ca="1" si="65"/>
        <v>AL DÍA</v>
      </c>
      <c r="W812" s="25" t="s">
        <v>24</v>
      </c>
      <c r="X812" s="25" t="s">
        <v>271</v>
      </c>
      <c r="Y812" s="25">
        <v>2</v>
      </c>
      <c r="Z812" s="1" t="s">
        <v>283</v>
      </c>
    </row>
    <row r="813" spans="1:26" ht="14.25" hidden="1" customHeight="1" x14ac:dyDescent="0.15">
      <c r="A813" s="24" t="s">
        <v>114</v>
      </c>
      <c r="B813" s="24" t="s">
        <v>88</v>
      </c>
      <c r="C813" s="26" t="s">
        <v>88</v>
      </c>
      <c r="D813" s="24" t="s">
        <v>16</v>
      </c>
      <c r="E813" s="24" t="s">
        <v>453</v>
      </c>
      <c r="F813" s="24" t="s">
        <v>119</v>
      </c>
      <c r="G813" s="21">
        <v>2014</v>
      </c>
      <c r="H813" s="21">
        <v>40</v>
      </c>
      <c r="I813" s="21">
        <f t="shared" ca="1" si="66"/>
        <v>12</v>
      </c>
      <c r="J813" s="21">
        <v>3</v>
      </c>
      <c r="K813" s="25" t="str">
        <f t="shared" ca="1" si="62"/>
        <v>Activo</v>
      </c>
      <c r="L813" s="25" t="s">
        <v>49</v>
      </c>
      <c r="M813" s="25" t="s">
        <v>49</v>
      </c>
      <c r="N813" s="25" t="s">
        <v>49</v>
      </c>
      <c r="O813" s="25" t="s">
        <v>214</v>
      </c>
      <c r="P813" s="25" t="s">
        <v>22</v>
      </c>
      <c r="Q813" s="32">
        <v>365</v>
      </c>
      <c r="R813" s="25" t="s">
        <v>64</v>
      </c>
      <c r="S813" s="28">
        <v>46198</v>
      </c>
      <c r="T813" s="28">
        <f t="shared" si="68"/>
        <v>46563</v>
      </c>
      <c r="U813" s="25">
        <f t="shared" ca="1" si="64"/>
        <v>302</v>
      </c>
      <c r="V813" s="25" t="str">
        <f t="shared" ca="1" si="65"/>
        <v>AL DÍA</v>
      </c>
      <c r="W813" s="25" t="s">
        <v>24</v>
      </c>
      <c r="X813" s="25" t="s">
        <v>271</v>
      </c>
      <c r="Y813" s="25">
        <v>2</v>
      </c>
      <c r="Z813" s="1" t="s">
        <v>283</v>
      </c>
    </row>
    <row r="814" spans="1:26" ht="14.25" hidden="1" customHeight="1" x14ac:dyDescent="0.15">
      <c r="A814" s="24" t="s">
        <v>114</v>
      </c>
      <c r="B814" s="24" t="s">
        <v>88</v>
      </c>
      <c r="C814" s="26" t="s">
        <v>88</v>
      </c>
      <c r="D814" s="24" t="s">
        <v>65</v>
      </c>
      <c r="E814" s="24" t="s">
        <v>449</v>
      </c>
      <c r="F814" s="24" t="s">
        <v>108</v>
      </c>
      <c r="G814" s="21">
        <v>2014</v>
      </c>
      <c r="H814" s="21">
        <v>0</v>
      </c>
      <c r="I814" s="21">
        <f t="shared" ca="1" si="66"/>
        <v>12</v>
      </c>
      <c r="J814" s="21">
        <v>3</v>
      </c>
      <c r="K814" s="25" t="str">
        <f t="shared" ca="1" si="62"/>
        <v>Activo</v>
      </c>
      <c r="L814" s="25" t="s">
        <v>49</v>
      </c>
      <c r="M814" s="25" t="s">
        <v>49</v>
      </c>
      <c r="N814" s="25" t="s">
        <v>49</v>
      </c>
      <c r="P814" s="25" t="s">
        <v>138</v>
      </c>
      <c r="Q814" s="32">
        <v>30</v>
      </c>
      <c r="R814" s="25" t="s">
        <v>69</v>
      </c>
      <c r="S814" s="30">
        <v>46228</v>
      </c>
      <c r="T814" s="28">
        <f t="shared" si="68"/>
        <v>46258</v>
      </c>
      <c r="U814" s="25">
        <f t="shared" ca="1" si="64"/>
        <v>-3</v>
      </c>
      <c r="V814" s="25" t="str">
        <f t="shared" ca="1" si="65"/>
        <v>VENCIDO</v>
      </c>
      <c r="W814" s="25" t="s">
        <v>24</v>
      </c>
      <c r="X814" s="25" t="s">
        <v>267</v>
      </c>
      <c r="Y814" s="25">
        <v>1</v>
      </c>
    </row>
    <row r="815" spans="1:26" ht="14.25" hidden="1" customHeight="1" x14ac:dyDescent="0.15">
      <c r="A815" s="24" t="s">
        <v>114</v>
      </c>
      <c r="B815" s="24" t="s">
        <v>88</v>
      </c>
      <c r="C815" s="26" t="s">
        <v>88</v>
      </c>
      <c r="D815" s="24" t="s">
        <v>65</v>
      </c>
      <c r="E815" s="24" t="s">
        <v>449</v>
      </c>
      <c r="F815" s="24" t="s">
        <v>237</v>
      </c>
      <c r="G815" s="21">
        <v>2014</v>
      </c>
      <c r="H815" s="21">
        <v>0</v>
      </c>
      <c r="I815" s="21">
        <f t="shared" ca="1" si="66"/>
        <v>12</v>
      </c>
      <c r="J815" s="21">
        <v>3</v>
      </c>
      <c r="K815" s="25" t="str">
        <f t="shared" ca="1" si="62"/>
        <v>Activo</v>
      </c>
      <c r="L815" s="25" t="s">
        <v>49</v>
      </c>
      <c r="M815" s="25" t="s">
        <v>49</v>
      </c>
      <c r="N815" s="25" t="s">
        <v>49</v>
      </c>
      <c r="P815" s="25" t="s">
        <v>138</v>
      </c>
      <c r="Q815" s="32">
        <v>30</v>
      </c>
      <c r="R815" s="25" t="s">
        <v>69</v>
      </c>
      <c r="S815" s="30">
        <v>46228</v>
      </c>
      <c r="T815" s="28">
        <f t="shared" si="68"/>
        <v>46258</v>
      </c>
      <c r="U815" s="25">
        <f t="shared" ca="1" si="64"/>
        <v>-3</v>
      </c>
      <c r="V815" s="25" t="str">
        <f t="shared" ca="1" si="65"/>
        <v>VENCIDO</v>
      </c>
      <c r="W815" s="25" t="s">
        <v>24</v>
      </c>
      <c r="X815" s="25" t="s">
        <v>267</v>
      </c>
      <c r="Y815" s="25">
        <v>1</v>
      </c>
      <c r="Z815" s="1" t="s">
        <v>285</v>
      </c>
    </row>
    <row r="816" spans="1:26" ht="14.25" hidden="1" customHeight="1" x14ac:dyDescent="0.15">
      <c r="A816" s="24" t="s">
        <v>114</v>
      </c>
      <c r="B816" s="24" t="s">
        <v>88</v>
      </c>
      <c r="C816" s="26" t="s">
        <v>88</v>
      </c>
      <c r="D816" s="24" t="s">
        <v>65</v>
      </c>
      <c r="E816" s="24" t="s">
        <v>449</v>
      </c>
      <c r="F816" s="24" t="s">
        <v>109</v>
      </c>
      <c r="G816" s="21">
        <v>2014</v>
      </c>
      <c r="H816" s="21">
        <v>0</v>
      </c>
      <c r="I816" s="21">
        <f t="shared" ca="1" si="66"/>
        <v>12</v>
      </c>
      <c r="J816" s="21">
        <v>3</v>
      </c>
      <c r="K816" s="25" t="str">
        <f t="shared" ca="1" si="62"/>
        <v>Activo</v>
      </c>
      <c r="L816" s="25" t="s">
        <v>49</v>
      </c>
      <c r="M816" s="25" t="s">
        <v>49</v>
      </c>
      <c r="N816" s="25" t="s">
        <v>49</v>
      </c>
      <c r="P816" s="26" t="s">
        <v>138</v>
      </c>
      <c r="Q816" s="34">
        <v>30</v>
      </c>
      <c r="R816" s="25" t="s">
        <v>69</v>
      </c>
      <c r="S816" s="30">
        <v>46228</v>
      </c>
      <c r="T816" s="28">
        <f t="shared" si="68"/>
        <v>46258</v>
      </c>
      <c r="U816" s="25">
        <f t="shared" ca="1" si="64"/>
        <v>-3</v>
      </c>
      <c r="V816" s="25" t="str">
        <f t="shared" ca="1" si="65"/>
        <v>VENCIDO</v>
      </c>
      <c r="W816" s="25" t="s">
        <v>24</v>
      </c>
      <c r="X816" s="25" t="s">
        <v>267</v>
      </c>
      <c r="Y816" s="25">
        <v>2</v>
      </c>
    </row>
    <row r="817" spans="1:26" ht="14.25" hidden="1" customHeight="1" x14ac:dyDescent="0.15">
      <c r="A817" s="24" t="s">
        <v>114</v>
      </c>
      <c r="B817" s="24" t="s">
        <v>88</v>
      </c>
      <c r="C817" s="26" t="s">
        <v>88</v>
      </c>
      <c r="D817" s="24" t="s">
        <v>65</v>
      </c>
      <c r="E817" s="24" t="s">
        <v>449</v>
      </c>
      <c r="F817" s="24" t="s">
        <v>110</v>
      </c>
      <c r="G817" s="21">
        <v>2014</v>
      </c>
      <c r="H817" s="21">
        <v>0</v>
      </c>
      <c r="I817" s="21">
        <f t="shared" ca="1" si="66"/>
        <v>12</v>
      </c>
      <c r="J817" s="21">
        <v>3</v>
      </c>
      <c r="K817" s="25" t="str">
        <f t="shared" ca="1" si="62"/>
        <v>Activo</v>
      </c>
      <c r="L817" s="25" t="s">
        <v>49</v>
      </c>
      <c r="M817" s="25" t="s">
        <v>49</v>
      </c>
      <c r="N817" s="25" t="s">
        <v>49</v>
      </c>
      <c r="P817" s="25" t="s">
        <v>138</v>
      </c>
      <c r="Q817" s="32">
        <v>30</v>
      </c>
      <c r="R817" s="25" t="s">
        <v>69</v>
      </c>
      <c r="S817" s="30">
        <v>46228</v>
      </c>
      <c r="T817" s="28">
        <f t="shared" si="68"/>
        <v>46258</v>
      </c>
      <c r="U817" s="25">
        <f t="shared" ca="1" si="64"/>
        <v>-3</v>
      </c>
      <c r="V817" s="25" t="str">
        <f t="shared" ca="1" si="65"/>
        <v>VENCIDO</v>
      </c>
      <c r="W817" s="25" t="s">
        <v>24</v>
      </c>
      <c r="X817" s="25" t="s">
        <v>267</v>
      </c>
      <c r="Y817" s="25">
        <v>2</v>
      </c>
    </row>
    <row r="818" spans="1:26" ht="14.25" hidden="1" customHeight="1" x14ac:dyDescent="0.15">
      <c r="A818" s="24" t="s">
        <v>114</v>
      </c>
      <c r="B818" s="24" t="s">
        <v>88</v>
      </c>
      <c r="C818" s="25" t="s">
        <v>88</v>
      </c>
      <c r="D818" s="24" t="s">
        <v>65</v>
      </c>
      <c r="E818" s="24" t="s">
        <v>452</v>
      </c>
      <c r="F818" s="24" t="s">
        <v>416</v>
      </c>
      <c r="G818" s="21">
        <v>2014</v>
      </c>
      <c r="H818" s="21">
        <v>0</v>
      </c>
      <c r="I818" s="21">
        <f t="shared" ca="1" si="66"/>
        <v>12</v>
      </c>
      <c r="J818" s="21">
        <v>3</v>
      </c>
      <c r="K818" s="25" t="str">
        <f t="shared" ca="1" si="62"/>
        <v>Activo</v>
      </c>
      <c r="L818" s="25" t="s">
        <v>49</v>
      </c>
      <c r="M818" s="25" t="s">
        <v>49</v>
      </c>
      <c r="N818" s="26" t="s">
        <v>49</v>
      </c>
      <c r="P818" s="26" t="s">
        <v>138</v>
      </c>
      <c r="Q818" s="34">
        <v>30</v>
      </c>
      <c r="R818" s="25" t="s">
        <v>69</v>
      </c>
      <c r="S818" s="30">
        <v>46228</v>
      </c>
      <c r="T818" s="28">
        <f t="shared" si="68"/>
        <v>46258</v>
      </c>
      <c r="U818" s="25">
        <f t="shared" ca="1" si="64"/>
        <v>-3</v>
      </c>
      <c r="V818" s="25" t="str">
        <f t="shared" ca="1" si="65"/>
        <v>VENCIDO</v>
      </c>
      <c r="W818" s="25" t="s">
        <v>24</v>
      </c>
      <c r="X818" s="25" t="s">
        <v>267</v>
      </c>
      <c r="Y818" s="25">
        <v>2</v>
      </c>
    </row>
    <row r="819" spans="1:26" ht="14.25" hidden="1" customHeight="1" x14ac:dyDescent="0.15">
      <c r="A819" s="24" t="s">
        <v>114</v>
      </c>
      <c r="B819" s="24" t="s">
        <v>88</v>
      </c>
      <c r="C819" s="25" t="s">
        <v>88</v>
      </c>
      <c r="D819" s="24" t="s">
        <v>65</v>
      </c>
      <c r="F819" s="24" t="s">
        <v>84</v>
      </c>
      <c r="G819" s="21">
        <v>2014</v>
      </c>
      <c r="H819" s="21">
        <v>0</v>
      </c>
      <c r="I819" s="21">
        <f t="shared" ca="1" si="66"/>
        <v>12</v>
      </c>
      <c r="J819" s="21">
        <v>3</v>
      </c>
      <c r="K819" s="25" t="str">
        <f t="shared" ca="1" si="62"/>
        <v>Activo</v>
      </c>
      <c r="L819" s="25" t="s">
        <v>49</v>
      </c>
      <c r="M819" s="25" t="s">
        <v>49</v>
      </c>
      <c r="N819" s="25" t="s">
        <v>49</v>
      </c>
      <c r="O819" s="26"/>
      <c r="P819" s="26" t="s">
        <v>440</v>
      </c>
      <c r="Q819" s="34">
        <f>365*3</f>
        <v>1095</v>
      </c>
      <c r="R819" s="25" t="s">
        <v>69</v>
      </c>
      <c r="S819" s="28">
        <v>46198</v>
      </c>
      <c r="T819" s="28">
        <f t="shared" si="68"/>
        <v>47293</v>
      </c>
      <c r="U819" s="25">
        <f t="shared" ca="1" si="64"/>
        <v>1032</v>
      </c>
      <c r="V819" s="25" t="str">
        <f t="shared" ca="1" si="65"/>
        <v>AL DÍA</v>
      </c>
      <c r="W819" s="25" t="s">
        <v>24</v>
      </c>
      <c r="X819" s="25" t="s">
        <v>262</v>
      </c>
      <c r="Y819" s="25">
        <v>3</v>
      </c>
    </row>
    <row r="820" spans="1:26" ht="14.25" hidden="1" customHeight="1" x14ac:dyDescent="0.15">
      <c r="A820" s="24" t="s">
        <v>114</v>
      </c>
      <c r="B820" s="24" t="s">
        <v>88</v>
      </c>
      <c r="C820" s="25" t="s">
        <v>88</v>
      </c>
      <c r="D820" s="24" t="s">
        <v>65</v>
      </c>
      <c r="F820" s="24" t="s">
        <v>86</v>
      </c>
      <c r="G820" s="21">
        <v>2014</v>
      </c>
      <c r="H820" s="21">
        <v>0</v>
      </c>
      <c r="I820" s="21">
        <f t="shared" ca="1" si="66"/>
        <v>12</v>
      </c>
      <c r="J820" s="21">
        <v>3</v>
      </c>
      <c r="K820" s="25" t="str">
        <f t="shared" ca="1" si="62"/>
        <v>Activo</v>
      </c>
      <c r="L820" s="25" t="s">
        <v>49</v>
      </c>
      <c r="M820" s="25" t="s">
        <v>49</v>
      </c>
      <c r="N820" s="25" t="s">
        <v>49</v>
      </c>
      <c r="P820" s="26" t="s">
        <v>87</v>
      </c>
      <c r="Q820" s="34">
        <f>5*365</f>
        <v>1825</v>
      </c>
      <c r="R820" s="25" t="s">
        <v>69</v>
      </c>
      <c r="S820" s="28">
        <v>46198</v>
      </c>
      <c r="T820" s="28">
        <f t="shared" si="68"/>
        <v>48023</v>
      </c>
      <c r="U820" s="25">
        <f t="shared" ca="1" si="64"/>
        <v>1762</v>
      </c>
      <c r="V820" s="25" t="str">
        <f t="shared" ca="1" si="65"/>
        <v>AL DÍA</v>
      </c>
      <c r="W820" s="25" t="s">
        <v>24</v>
      </c>
      <c r="X820" s="25" t="s">
        <v>262</v>
      </c>
      <c r="Y820" s="25">
        <v>1</v>
      </c>
    </row>
    <row r="821" spans="1:26" ht="14.25" hidden="1" customHeight="1" x14ac:dyDescent="0.15">
      <c r="A821" s="24" t="s">
        <v>114</v>
      </c>
      <c r="B821" s="24" t="s">
        <v>88</v>
      </c>
      <c r="C821" s="25" t="s">
        <v>100</v>
      </c>
      <c r="D821" s="24" t="s">
        <v>65</v>
      </c>
      <c r="F821" s="24" t="s">
        <v>463</v>
      </c>
      <c r="G821" s="21">
        <v>2014</v>
      </c>
      <c r="H821" s="21">
        <v>25</v>
      </c>
      <c r="I821" s="21">
        <f t="shared" ca="1" si="66"/>
        <v>12</v>
      </c>
      <c r="J821" s="21">
        <v>3</v>
      </c>
      <c r="K821" s="25" t="str">
        <f t="shared" ca="1" si="62"/>
        <v>Activo</v>
      </c>
      <c r="L821" s="25" t="s">
        <v>49</v>
      </c>
      <c r="M821" s="25" t="s">
        <v>49</v>
      </c>
      <c r="N821" s="25" t="s">
        <v>49</v>
      </c>
      <c r="P821" s="26" t="s">
        <v>81</v>
      </c>
      <c r="Q821" s="34">
        <f>365*3.5</f>
        <v>1277.5</v>
      </c>
      <c r="R821" s="25" t="s">
        <v>69</v>
      </c>
      <c r="S821" s="28">
        <v>46198</v>
      </c>
      <c r="T821" s="28">
        <f t="shared" si="68"/>
        <v>47475.5</v>
      </c>
      <c r="U821" s="25">
        <f t="shared" ca="1" si="64"/>
        <v>1214.5</v>
      </c>
      <c r="V821" s="25" t="str">
        <f t="shared" ca="1" si="65"/>
        <v>AL DÍA</v>
      </c>
      <c r="W821" s="25" t="s">
        <v>24</v>
      </c>
      <c r="X821" s="25" t="s">
        <v>277</v>
      </c>
      <c r="Y821" s="25">
        <v>1</v>
      </c>
    </row>
    <row r="822" spans="1:26" ht="14.25" hidden="1" customHeight="1" x14ac:dyDescent="0.15">
      <c r="A822" s="24" t="s">
        <v>114</v>
      </c>
      <c r="B822" s="24" t="s">
        <v>120</v>
      </c>
      <c r="C822" s="26" t="s">
        <v>94</v>
      </c>
      <c r="D822" s="24" t="s">
        <v>16</v>
      </c>
      <c r="E822" s="24" t="s">
        <v>451</v>
      </c>
      <c r="F822" s="24" t="s">
        <v>93</v>
      </c>
      <c r="G822" s="21">
        <v>2014</v>
      </c>
      <c r="H822" s="21">
        <v>20</v>
      </c>
      <c r="I822" s="21">
        <f t="shared" ca="1" si="66"/>
        <v>12</v>
      </c>
      <c r="J822" s="21">
        <v>3</v>
      </c>
      <c r="K822" s="25" t="str">
        <f t="shared" ca="1" si="62"/>
        <v>Activo</v>
      </c>
      <c r="L822" s="25" t="s">
        <v>89</v>
      </c>
      <c r="P822" s="25" t="s">
        <v>22</v>
      </c>
      <c r="Q822" s="32">
        <v>365</v>
      </c>
      <c r="R822" s="25" t="s">
        <v>69</v>
      </c>
      <c r="S822" s="28">
        <v>46198</v>
      </c>
      <c r="T822" s="28">
        <f t="shared" si="68"/>
        <v>46563</v>
      </c>
      <c r="U822" s="25">
        <f t="shared" ca="1" si="64"/>
        <v>302</v>
      </c>
      <c r="V822" s="25" t="str">
        <f t="shared" ca="1" si="65"/>
        <v>AL DÍA</v>
      </c>
      <c r="W822" s="25" t="s">
        <v>24</v>
      </c>
      <c r="X822" s="25" t="s">
        <v>262</v>
      </c>
      <c r="Y822" s="25">
        <v>1</v>
      </c>
      <c r="Z822" s="1" t="s">
        <v>265</v>
      </c>
    </row>
    <row r="823" spans="1:26" ht="14.25" customHeight="1" x14ac:dyDescent="0.15">
      <c r="A823" s="24" t="s">
        <v>114</v>
      </c>
      <c r="B823" s="24" t="s">
        <v>120</v>
      </c>
      <c r="C823" s="25" t="s">
        <v>95</v>
      </c>
      <c r="D823" s="24" t="s">
        <v>65</v>
      </c>
      <c r="F823" s="24" t="s">
        <v>121</v>
      </c>
      <c r="G823" s="21">
        <v>2014</v>
      </c>
      <c r="H823" s="21">
        <v>20</v>
      </c>
      <c r="I823" s="21">
        <f t="shared" ca="1" si="66"/>
        <v>12</v>
      </c>
      <c r="J823" s="21">
        <v>3</v>
      </c>
      <c r="K823" s="25" t="str">
        <f t="shared" ca="1" si="62"/>
        <v>Activo</v>
      </c>
      <c r="L823" s="25" t="s">
        <v>49</v>
      </c>
      <c r="M823" s="25" t="s">
        <v>49</v>
      </c>
      <c r="N823" s="25" t="s">
        <v>49</v>
      </c>
      <c r="P823" s="26" t="s">
        <v>81</v>
      </c>
      <c r="Q823" s="34">
        <f>365*3.5</f>
        <v>1277.5</v>
      </c>
      <c r="R823" s="25" t="s">
        <v>69</v>
      </c>
      <c r="S823" s="28">
        <v>45347</v>
      </c>
      <c r="T823" s="28">
        <f t="shared" si="68"/>
        <v>46624.5</v>
      </c>
      <c r="U823" s="25">
        <f t="shared" ca="1" si="64"/>
        <v>363.5</v>
      </c>
      <c r="V823" s="25" t="str">
        <f t="shared" ca="1" si="65"/>
        <v>AL DÍA</v>
      </c>
      <c r="W823" s="25" t="s">
        <v>24</v>
      </c>
      <c r="X823" s="25" t="s">
        <v>277</v>
      </c>
      <c r="Y823" s="25">
        <v>2</v>
      </c>
      <c r="Z823" s="1" t="s">
        <v>279</v>
      </c>
    </row>
    <row r="824" spans="1:26" ht="14.25" hidden="1" customHeight="1" x14ac:dyDescent="0.15">
      <c r="A824" s="24" t="s">
        <v>114</v>
      </c>
      <c r="B824" s="24" t="s">
        <v>120</v>
      </c>
      <c r="C824" s="25" t="s">
        <v>88</v>
      </c>
      <c r="D824" s="24" t="s">
        <v>65</v>
      </c>
      <c r="E824" s="24" t="s">
        <v>449</v>
      </c>
      <c r="F824" s="24" t="s">
        <v>237</v>
      </c>
      <c r="G824" s="21">
        <v>2014</v>
      </c>
      <c r="H824" s="21">
        <v>0</v>
      </c>
      <c r="I824" s="21">
        <f t="shared" ca="1" si="66"/>
        <v>12</v>
      </c>
      <c r="J824" s="21">
        <v>3</v>
      </c>
      <c r="K824" s="25" t="str">
        <f t="shared" ca="1" si="62"/>
        <v>Activo</v>
      </c>
      <c r="L824" s="25" t="s">
        <v>49</v>
      </c>
      <c r="M824" s="25" t="s">
        <v>49</v>
      </c>
      <c r="N824" s="25" t="s">
        <v>49</v>
      </c>
      <c r="P824" s="26" t="s">
        <v>138</v>
      </c>
      <c r="Q824" s="34">
        <v>30</v>
      </c>
      <c r="R824" s="25" t="s">
        <v>69</v>
      </c>
      <c r="S824" s="30">
        <v>46228</v>
      </c>
      <c r="T824" s="28">
        <f t="shared" si="68"/>
        <v>46258</v>
      </c>
      <c r="U824" s="25">
        <f t="shared" ca="1" si="64"/>
        <v>-3</v>
      </c>
      <c r="V824" s="25" t="str">
        <f t="shared" ca="1" si="65"/>
        <v>VENCIDO</v>
      </c>
      <c r="W824" s="25" t="s">
        <v>24</v>
      </c>
      <c r="X824" s="25" t="s">
        <v>267</v>
      </c>
      <c r="Y824" s="25">
        <v>1</v>
      </c>
      <c r="Z824" s="1" t="s">
        <v>285</v>
      </c>
    </row>
    <row r="825" spans="1:26" ht="14.25" hidden="1" customHeight="1" x14ac:dyDescent="0.15">
      <c r="A825" s="24" t="s">
        <v>114</v>
      </c>
      <c r="B825" s="24" t="s">
        <v>120</v>
      </c>
      <c r="C825" s="25" t="s">
        <v>88</v>
      </c>
      <c r="D825" s="24" t="s">
        <v>65</v>
      </c>
      <c r="E825" s="24" t="s">
        <v>449</v>
      </c>
      <c r="F825" s="24" t="s">
        <v>109</v>
      </c>
      <c r="G825" s="21">
        <v>2014</v>
      </c>
      <c r="H825" s="21">
        <v>0</v>
      </c>
      <c r="I825" s="21">
        <f t="shared" ca="1" si="66"/>
        <v>12</v>
      </c>
      <c r="J825" s="21">
        <v>3</v>
      </c>
      <c r="K825" s="25" t="str">
        <f t="shared" ca="1" si="62"/>
        <v>Activo</v>
      </c>
      <c r="L825" s="25" t="s">
        <v>49</v>
      </c>
      <c r="M825" s="26" t="s">
        <v>49</v>
      </c>
      <c r="N825" s="26" t="s">
        <v>49</v>
      </c>
      <c r="P825" s="26" t="s">
        <v>138</v>
      </c>
      <c r="Q825" s="34">
        <v>30</v>
      </c>
      <c r="R825" s="25" t="s">
        <v>69</v>
      </c>
      <c r="S825" s="30">
        <v>46228</v>
      </c>
      <c r="T825" s="28">
        <f t="shared" si="68"/>
        <v>46258</v>
      </c>
      <c r="U825" s="25">
        <f t="shared" ca="1" si="64"/>
        <v>-3</v>
      </c>
      <c r="V825" s="25" t="str">
        <f t="shared" ca="1" si="65"/>
        <v>VENCIDO</v>
      </c>
      <c r="W825" s="25" t="s">
        <v>24</v>
      </c>
      <c r="X825" s="25" t="s">
        <v>267</v>
      </c>
      <c r="Y825" s="25">
        <v>2</v>
      </c>
    </row>
    <row r="826" spans="1:26" ht="14.25" hidden="1" customHeight="1" x14ac:dyDescent="0.15">
      <c r="A826" s="24" t="s">
        <v>114</v>
      </c>
      <c r="B826" s="24" t="s">
        <v>120</v>
      </c>
      <c r="C826" s="25" t="s">
        <v>88</v>
      </c>
      <c r="D826" s="24" t="s">
        <v>65</v>
      </c>
      <c r="E826" s="24" t="s">
        <v>449</v>
      </c>
      <c r="F826" s="24" t="s">
        <v>110</v>
      </c>
      <c r="G826" s="21">
        <v>2014</v>
      </c>
      <c r="H826" s="21">
        <v>0</v>
      </c>
      <c r="I826" s="21">
        <f t="shared" ca="1" si="66"/>
        <v>12</v>
      </c>
      <c r="J826" s="21">
        <v>3</v>
      </c>
      <c r="K826" s="25" t="str">
        <f t="shared" ca="1" si="62"/>
        <v>Activo</v>
      </c>
      <c r="L826" s="25" t="s">
        <v>49</v>
      </c>
      <c r="M826" s="25" t="s">
        <v>49</v>
      </c>
      <c r="N826" s="25" t="s">
        <v>49</v>
      </c>
      <c r="P826" s="26" t="s">
        <v>138</v>
      </c>
      <c r="Q826" s="34">
        <v>30</v>
      </c>
      <c r="R826" s="25" t="s">
        <v>69</v>
      </c>
      <c r="S826" s="30">
        <v>46228</v>
      </c>
      <c r="T826" s="28">
        <f t="shared" si="68"/>
        <v>46258</v>
      </c>
      <c r="U826" s="25">
        <f t="shared" ca="1" si="64"/>
        <v>-3</v>
      </c>
      <c r="V826" s="25" t="str">
        <f t="shared" ca="1" si="65"/>
        <v>VENCIDO</v>
      </c>
      <c r="W826" s="25" t="s">
        <v>24</v>
      </c>
      <c r="X826" s="25" t="s">
        <v>267</v>
      </c>
      <c r="Y826" s="25">
        <v>2</v>
      </c>
    </row>
    <row r="827" spans="1:26" ht="14.25" hidden="1" customHeight="1" x14ac:dyDescent="0.15">
      <c r="A827" s="24" t="s">
        <v>114</v>
      </c>
      <c r="B827" s="24" t="s">
        <v>120</v>
      </c>
      <c r="C827" s="25" t="s">
        <v>88</v>
      </c>
      <c r="D827" s="24" t="s">
        <v>65</v>
      </c>
      <c r="F827" s="24" t="s">
        <v>84</v>
      </c>
      <c r="G827" s="21">
        <v>2014</v>
      </c>
      <c r="H827" s="21">
        <v>0</v>
      </c>
      <c r="I827" s="21">
        <f t="shared" ca="1" si="66"/>
        <v>12</v>
      </c>
      <c r="J827" s="21">
        <v>3</v>
      </c>
      <c r="K827" s="25" t="str">
        <f t="shared" ca="1" si="62"/>
        <v>Activo</v>
      </c>
      <c r="L827" s="25" t="s">
        <v>49</v>
      </c>
      <c r="M827" s="25" t="s">
        <v>49</v>
      </c>
      <c r="N827" s="25" t="s">
        <v>49</v>
      </c>
      <c r="P827" s="26" t="s">
        <v>440</v>
      </c>
      <c r="Q827" s="34">
        <f>365*3</f>
        <v>1095</v>
      </c>
      <c r="R827" s="25" t="s">
        <v>69</v>
      </c>
      <c r="S827" s="28">
        <v>46198</v>
      </c>
      <c r="T827" s="28">
        <f t="shared" si="68"/>
        <v>47293</v>
      </c>
      <c r="U827" s="25">
        <f t="shared" ca="1" si="64"/>
        <v>1032</v>
      </c>
      <c r="V827" s="25" t="str">
        <f t="shared" ca="1" si="65"/>
        <v>AL DÍA</v>
      </c>
      <c r="W827" s="25" t="s">
        <v>24</v>
      </c>
      <c r="X827" s="25" t="s">
        <v>262</v>
      </c>
      <c r="Y827" s="25">
        <v>3</v>
      </c>
    </row>
    <row r="828" spans="1:26" ht="14.25" hidden="1" customHeight="1" x14ac:dyDescent="0.15">
      <c r="A828" s="24" t="s">
        <v>114</v>
      </c>
      <c r="B828" s="24" t="s">
        <v>120</v>
      </c>
      <c r="C828" s="25" t="s">
        <v>88</v>
      </c>
      <c r="D828" s="24" t="s">
        <v>65</v>
      </c>
      <c r="F828" s="24" t="s">
        <v>112</v>
      </c>
      <c r="G828" s="21">
        <v>2014</v>
      </c>
      <c r="H828" s="21">
        <v>25</v>
      </c>
      <c r="I828" s="21">
        <f t="shared" ca="1" si="66"/>
        <v>12</v>
      </c>
      <c r="J828" s="21">
        <v>3</v>
      </c>
      <c r="K828" s="25" t="str">
        <f t="shared" ca="1" si="62"/>
        <v>Activo</v>
      </c>
      <c r="L828" s="25" t="s">
        <v>49</v>
      </c>
      <c r="M828" s="25" t="s">
        <v>49</v>
      </c>
      <c r="N828" s="25" t="s">
        <v>49</v>
      </c>
      <c r="P828" s="26" t="s">
        <v>194</v>
      </c>
      <c r="Q828" s="34">
        <f>365</f>
        <v>365</v>
      </c>
      <c r="R828" s="25" t="s">
        <v>69</v>
      </c>
      <c r="S828" s="28">
        <v>46198</v>
      </c>
      <c r="T828" s="28">
        <f t="shared" si="68"/>
        <v>46563</v>
      </c>
      <c r="U828" s="25">
        <f t="shared" ca="1" si="64"/>
        <v>302</v>
      </c>
      <c r="V828" s="25" t="str">
        <f t="shared" ca="1" si="65"/>
        <v>AL DÍA</v>
      </c>
      <c r="W828" s="25" t="s">
        <v>24</v>
      </c>
      <c r="X828" s="25" t="s">
        <v>262</v>
      </c>
      <c r="Y828" s="25">
        <v>2</v>
      </c>
    </row>
    <row r="829" spans="1:26" ht="14.25" hidden="1" customHeight="1" x14ac:dyDescent="0.15">
      <c r="A829" s="24" t="s">
        <v>114</v>
      </c>
      <c r="B829" s="24" t="s">
        <v>88</v>
      </c>
      <c r="C829" s="25" t="s">
        <v>394</v>
      </c>
      <c r="D829" s="24" t="s">
        <v>65</v>
      </c>
      <c r="F829" s="24" t="s">
        <v>215</v>
      </c>
      <c r="G829" s="21">
        <v>2014</v>
      </c>
      <c r="H829" s="21">
        <v>0</v>
      </c>
      <c r="I829" s="21">
        <f t="shared" ca="1" si="66"/>
        <v>12</v>
      </c>
      <c r="J829" s="21">
        <v>3</v>
      </c>
      <c r="K829" s="25" t="str">
        <f t="shared" ca="1" si="62"/>
        <v>Activo</v>
      </c>
      <c r="L829" s="25" t="s">
        <v>49</v>
      </c>
      <c r="M829" s="25" t="s">
        <v>49</v>
      </c>
      <c r="N829" s="25" t="s">
        <v>49</v>
      </c>
      <c r="P829" s="26" t="s">
        <v>22</v>
      </c>
      <c r="Q829" s="34">
        <v>365</v>
      </c>
      <c r="R829" s="25" t="s">
        <v>64</v>
      </c>
      <c r="S829" s="28">
        <v>46198</v>
      </c>
      <c r="T829" s="28">
        <f t="shared" si="68"/>
        <v>46563</v>
      </c>
      <c r="U829" s="25">
        <f t="shared" ca="1" si="64"/>
        <v>302</v>
      </c>
      <c r="V829" s="25" t="str">
        <f t="shared" ca="1" si="65"/>
        <v>AL DÍA</v>
      </c>
      <c r="W829" s="25" t="s">
        <v>24</v>
      </c>
      <c r="X829" s="25" t="s">
        <v>277</v>
      </c>
      <c r="Y829" s="25">
        <v>2</v>
      </c>
      <c r="Z829" s="1" t="s">
        <v>284</v>
      </c>
    </row>
    <row r="830" spans="1:26" ht="14.25" hidden="1" customHeight="1" x14ac:dyDescent="0.15">
      <c r="A830" s="24" t="s">
        <v>114</v>
      </c>
      <c r="B830" s="24" t="s">
        <v>88</v>
      </c>
      <c r="C830" s="25" t="s">
        <v>394</v>
      </c>
      <c r="D830" s="24" t="s">
        <v>65</v>
      </c>
      <c r="F830" s="24" t="s">
        <v>217</v>
      </c>
      <c r="G830" s="21">
        <v>2014</v>
      </c>
      <c r="H830" s="21">
        <v>0</v>
      </c>
      <c r="I830" s="21">
        <f t="shared" ca="1" si="66"/>
        <v>12</v>
      </c>
      <c r="J830" s="21">
        <v>3</v>
      </c>
      <c r="K830" s="25" t="str">
        <f t="shared" ca="1" si="62"/>
        <v>Activo</v>
      </c>
      <c r="L830" s="25" t="s">
        <v>49</v>
      </c>
      <c r="O830" s="25">
        <v>62.64</v>
      </c>
      <c r="P830" s="26"/>
      <c r="Q830" s="34">
        <v>365</v>
      </c>
      <c r="R830" s="25" t="s">
        <v>64</v>
      </c>
      <c r="S830" s="28">
        <v>46198</v>
      </c>
      <c r="T830" s="28">
        <f t="shared" si="68"/>
        <v>46563</v>
      </c>
      <c r="U830" s="25">
        <f t="shared" ca="1" si="64"/>
        <v>302</v>
      </c>
      <c r="V830" s="25" t="str">
        <f t="shared" ca="1" si="65"/>
        <v>AL DÍA</v>
      </c>
      <c r="W830" s="25" t="s">
        <v>24</v>
      </c>
      <c r="X830" s="25" t="s">
        <v>262</v>
      </c>
      <c r="Y830" s="25">
        <v>2</v>
      </c>
    </row>
    <row r="831" spans="1:26" ht="14.25" hidden="1" customHeight="1" x14ac:dyDescent="0.15">
      <c r="A831" s="24" t="s">
        <v>114</v>
      </c>
      <c r="B831" s="24" t="s">
        <v>88</v>
      </c>
      <c r="C831" s="25" t="s">
        <v>394</v>
      </c>
      <c r="D831" s="24" t="s">
        <v>65</v>
      </c>
      <c r="F831" s="24" t="s">
        <v>218</v>
      </c>
      <c r="G831" s="21">
        <v>2014</v>
      </c>
      <c r="H831" s="21">
        <v>0</v>
      </c>
      <c r="I831" s="21">
        <f t="shared" ca="1" si="66"/>
        <v>12</v>
      </c>
      <c r="J831" s="21">
        <v>3</v>
      </c>
      <c r="K831" s="25" t="str">
        <f t="shared" ca="1" si="62"/>
        <v>Activo</v>
      </c>
      <c r="L831" s="25" t="s">
        <v>49</v>
      </c>
      <c r="O831" s="25" t="s">
        <v>227</v>
      </c>
      <c r="P831" s="26"/>
      <c r="Q831" s="34">
        <v>365</v>
      </c>
      <c r="R831" s="25" t="s">
        <v>64</v>
      </c>
      <c r="S831" s="28">
        <v>46198</v>
      </c>
      <c r="T831" s="28">
        <f t="shared" si="68"/>
        <v>46563</v>
      </c>
      <c r="U831" s="25">
        <f t="shared" ca="1" si="64"/>
        <v>302</v>
      </c>
      <c r="V831" s="25" t="str">
        <f t="shared" ca="1" si="65"/>
        <v>AL DÍA</v>
      </c>
      <c r="W831" s="25" t="s">
        <v>24</v>
      </c>
      <c r="X831" s="25" t="s">
        <v>262</v>
      </c>
      <c r="Y831" s="25">
        <v>2</v>
      </c>
    </row>
    <row r="832" spans="1:26" ht="14.25" hidden="1" customHeight="1" x14ac:dyDescent="0.15">
      <c r="A832" s="24" t="s">
        <v>114</v>
      </c>
      <c r="B832" s="24" t="s">
        <v>88</v>
      </c>
      <c r="C832" s="25" t="s">
        <v>394</v>
      </c>
      <c r="D832" s="24" t="s">
        <v>16</v>
      </c>
      <c r="F832" s="24" t="s">
        <v>219</v>
      </c>
      <c r="G832" s="96">
        <v>2022</v>
      </c>
      <c r="H832" s="21">
        <v>15</v>
      </c>
      <c r="I832" s="21">
        <f t="shared" ca="1" si="66"/>
        <v>4</v>
      </c>
      <c r="J832" s="21">
        <v>3</v>
      </c>
      <c r="K832" s="25" t="str">
        <f t="shared" ca="1" si="62"/>
        <v>Activo</v>
      </c>
      <c r="L832" s="72"/>
      <c r="M832" s="72"/>
      <c r="O832" s="25" t="s">
        <v>221</v>
      </c>
      <c r="P832" s="26" t="s">
        <v>49</v>
      </c>
      <c r="Q832" s="34">
        <v>365</v>
      </c>
      <c r="R832" s="25" t="s">
        <v>64</v>
      </c>
      <c r="S832" s="28">
        <v>46198</v>
      </c>
      <c r="T832" s="28">
        <f t="shared" si="68"/>
        <v>46563</v>
      </c>
      <c r="U832" s="25">
        <f t="shared" ca="1" si="64"/>
        <v>302</v>
      </c>
      <c r="V832" s="25" t="str">
        <f t="shared" ca="1" si="65"/>
        <v>AL DÍA</v>
      </c>
      <c r="W832" s="25" t="s">
        <v>24</v>
      </c>
      <c r="X832" s="25" t="s">
        <v>271</v>
      </c>
      <c r="Y832" s="25">
        <v>2</v>
      </c>
      <c r="Z832" s="1" t="s">
        <v>303</v>
      </c>
    </row>
    <row r="833" spans="1:26" ht="14.25" hidden="1" customHeight="1" x14ac:dyDescent="0.15">
      <c r="A833" s="24" t="s">
        <v>114</v>
      </c>
      <c r="B833" s="24" t="s">
        <v>88</v>
      </c>
      <c r="C833" s="25" t="s">
        <v>394</v>
      </c>
      <c r="D833" s="24" t="s">
        <v>16</v>
      </c>
      <c r="F833" s="24" t="s">
        <v>224</v>
      </c>
      <c r="G833" s="21">
        <v>2014</v>
      </c>
      <c r="H833" s="21">
        <v>0</v>
      </c>
      <c r="I833" s="21">
        <f t="shared" ca="1" si="66"/>
        <v>12</v>
      </c>
      <c r="J833" s="21">
        <v>3</v>
      </c>
      <c r="K833" s="25" t="str">
        <f t="shared" ca="1" si="62"/>
        <v>Activo</v>
      </c>
      <c r="L833" s="26"/>
      <c r="M833" s="26"/>
      <c r="N833" s="26"/>
      <c r="P833" s="26"/>
      <c r="Q833" s="34">
        <v>365</v>
      </c>
      <c r="R833" s="25" t="s">
        <v>64</v>
      </c>
      <c r="S833" s="28">
        <v>46198</v>
      </c>
      <c r="T833" s="28">
        <f t="shared" si="68"/>
        <v>46563</v>
      </c>
      <c r="U833" s="25">
        <f t="shared" ca="1" si="64"/>
        <v>302</v>
      </c>
      <c r="V833" s="25" t="str">
        <f t="shared" ca="1" si="65"/>
        <v>AL DÍA</v>
      </c>
      <c r="W833" s="25" t="s">
        <v>24</v>
      </c>
      <c r="X833" s="25" t="s">
        <v>271</v>
      </c>
      <c r="Y833" s="25">
        <v>2</v>
      </c>
    </row>
    <row r="834" spans="1:26" ht="14.25" hidden="1" customHeight="1" x14ac:dyDescent="0.15">
      <c r="A834" s="24" t="s">
        <v>114</v>
      </c>
      <c r="B834" s="24" t="s">
        <v>88</v>
      </c>
      <c r="C834" s="25" t="s">
        <v>394</v>
      </c>
      <c r="D834" s="24" t="s">
        <v>65</v>
      </c>
      <c r="F834" s="24" t="s">
        <v>220</v>
      </c>
      <c r="G834" s="21">
        <v>2014</v>
      </c>
      <c r="H834" s="21">
        <v>0</v>
      </c>
      <c r="I834" s="21">
        <f t="shared" ca="1" si="66"/>
        <v>12</v>
      </c>
      <c r="J834" s="21">
        <v>3</v>
      </c>
      <c r="K834" s="25" t="str">
        <f t="shared" ref="K834:K897" ca="1" si="69">IF(J834=1,"Cambiar",IF(J834=2,"Presupuestar",IF(H834=0,"Activo",IF(G834+H834&lt;YEAR(TODAY()),"Cambiar o Inspección externa",IF(G834+H834-1&lt;YEAR(TODAY()),"Presupuestar","Activo")))))</f>
        <v>Activo</v>
      </c>
      <c r="L834" s="25" t="s">
        <v>49</v>
      </c>
      <c r="O834" s="25" t="s">
        <v>222</v>
      </c>
      <c r="P834" s="26"/>
      <c r="Q834" s="34">
        <v>365</v>
      </c>
      <c r="R834" s="25" t="s">
        <v>64</v>
      </c>
      <c r="S834" s="28">
        <v>46198</v>
      </c>
      <c r="T834" s="28">
        <f t="shared" si="68"/>
        <v>46563</v>
      </c>
      <c r="U834" s="25">
        <f t="shared" ref="U834:U897" ca="1" si="70">T834-TODAY()</f>
        <v>302</v>
      </c>
      <c r="V834" s="25" t="str">
        <f t="shared" ref="V834:V897" ca="1" si="71">IF(U834&lt;0, "VENCIDO", "AL DÍA")</f>
        <v>AL DÍA</v>
      </c>
      <c r="W834" s="25" t="s">
        <v>24</v>
      </c>
      <c r="X834" s="25" t="s">
        <v>262</v>
      </c>
      <c r="Y834" s="25">
        <v>2</v>
      </c>
    </row>
    <row r="835" spans="1:26" ht="14.25" hidden="1" customHeight="1" x14ac:dyDescent="0.15">
      <c r="A835" s="24" t="s">
        <v>114</v>
      </c>
      <c r="B835" s="24" t="s">
        <v>88</v>
      </c>
      <c r="C835" s="25" t="s">
        <v>395</v>
      </c>
      <c r="D835" s="24" t="s">
        <v>65</v>
      </c>
      <c r="F835" s="24" t="s">
        <v>215</v>
      </c>
      <c r="G835" s="21">
        <v>2014</v>
      </c>
      <c r="H835" s="21">
        <v>0</v>
      </c>
      <c r="I835" s="21">
        <f t="shared" ca="1" si="66"/>
        <v>12</v>
      </c>
      <c r="J835" s="21">
        <v>3</v>
      </c>
      <c r="K835" s="25" t="str">
        <f t="shared" ca="1" si="69"/>
        <v>Activo</v>
      </c>
      <c r="L835" s="25" t="s">
        <v>49</v>
      </c>
      <c r="M835" s="25" t="s">
        <v>49</v>
      </c>
      <c r="N835" s="25" t="s">
        <v>49</v>
      </c>
      <c r="P835" s="26" t="s">
        <v>22</v>
      </c>
      <c r="Q835" s="34">
        <v>365</v>
      </c>
      <c r="R835" s="25" t="s">
        <v>64</v>
      </c>
      <c r="S835" s="28">
        <v>46198</v>
      </c>
      <c r="T835" s="28">
        <f t="shared" si="68"/>
        <v>46563</v>
      </c>
      <c r="U835" s="25">
        <f t="shared" ca="1" si="70"/>
        <v>302</v>
      </c>
      <c r="V835" s="25" t="str">
        <f t="shared" ca="1" si="71"/>
        <v>AL DÍA</v>
      </c>
      <c r="W835" s="25" t="s">
        <v>24</v>
      </c>
      <c r="X835" s="25" t="s">
        <v>277</v>
      </c>
      <c r="Y835" s="25">
        <v>2</v>
      </c>
      <c r="Z835" s="1" t="s">
        <v>284</v>
      </c>
    </row>
    <row r="836" spans="1:26" ht="14.25" hidden="1" customHeight="1" x14ac:dyDescent="0.15">
      <c r="A836" s="24" t="s">
        <v>114</v>
      </c>
      <c r="B836" s="24" t="s">
        <v>88</v>
      </c>
      <c r="C836" s="26" t="s">
        <v>395</v>
      </c>
      <c r="D836" s="24" t="s">
        <v>65</v>
      </c>
      <c r="F836" s="24" t="s">
        <v>217</v>
      </c>
      <c r="G836" s="21">
        <v>2014</v>
      </c>
      <c r="H836" s="21">
        <v>0</v>
      </c>
      <c r="I836" s="21">
        <f t="shared" ca="1" si="66"/>
        <v>12</v>
      </c>
      <c r="J836" s="21">
        <v>3</v>
      </c>
      <c r="K836" s="25" t="str">
        <f t="shared" ca="1" si="69"/>
        <v>Activo</v>
      </c>
      <c r="L836" s="25" t="s">
        <v>49</v>
      </c>
      <c r="O836" s="25">
        <v>62.64</v>
      </c>
      <c r="Q836" s="34">
        <v>365</v>
      </c>
      <c r="R836" s="25" t="s">
        <v>64</v>
      </c>
      <c r="S836" s="28">
        <v>46198</v>
      </c>
      <c r="T836" s="28">
        <f t="shared" si="68"/>
        <v>46563</v>
      </c>
      <c r="U836" s="25">
        <f t="shared" ca="1" si="70"/>
        <v>302</v>
      </c>
      <c r="V836" s="25" t="str">
        <f t="shared" ca="1" si="71"/>
        <v>AL DÍA</v>
      </c>
      <c r="W836" s="25" t="s">
        <v>24</v>
      </c>
      <c r="X836" s="25" t="s">
        <v>262</v>
      </c>
      <c r="Y836" s="25">
        <v>2</v>
      </c>
    </row>
    <row r="837" spans="1:26" ht="14.25" hidden="1" customHeight="1" x14ac:dyDescent="0.15">
      <c r="A837" s="24" t="s">
        <v>114</v>
      </c>
      <c r="B837" s="24" t="s">
        <v>88</v>
      </c>
      <c r="C837" s="26" t="s">
        <v>395</v>
      </c>
      <c r="D837" s="24" t="s">
        <v>65</v>
      </c>
      <c r="F837" s="24" t="s">
        <v>218</v>
      </c>
      <c r="G837" s="21">
        <v>2014</v>
      </c>
      <c r="H837" s="21">
        <v>0</v>
      </c>
      <c r="I837" s="21">
        <f t="shared" ca="1" si="66"/>
        <v>12</v>
      </c>
      <c r="J837" s="21">
        <v>3</v>
      </c>
      <c r="K837" s="25" t="str">
        <f t="shared" ca="1" si="69"/>
        <v>Activo</v>
      </c>
      <c r="L837" s="25" t="s">
        <v>49</v>
      </c>
      <c r="O837" s="25" t="s">
        <v>227</v>
      </c>
      <c r="Q837" s="34">
        <v>365</v>
      </c>
      <c r="R837" s="25" t="s">
        <v>64</v>
      </c>
      <c r="S837" s="28">
        <v>46198</v>
      </c>
      <c r="T837" s="28">
        <f t="shared" si="68"/>
        <v>46563</v>
      </c>
      <c r="U837" s="25">
        <f t="shared" ca="1" si="70"/>
        <v>302</v>
      </c>
      <c r="V837" s="25" t="str">
        <f t="shared" ca="1" si="71"/>
        <v>AL DÍA</v>
      </c>
      <c r="W837" s="25" t="s">
        <v>24</v>
      </c>
      <c r="X837" s="25" t="s">
        <v>262</v>
      </c>
      <c r="Y837" s="25">
        <v>2</v>
      </c>
    </row>
    <row r="838" spans="1:26" ht="14.25" hidden="1" customHeight="1" x14ac:dyDescent="0.15">
      <c r="A838" s="24" t="s">
        <v>114</v>
      </c>
      <c r="B838" s="24" t="s">
        <v>88</v>
      </c>
      <c r="C838" s="26" t="s">
        <v>395</v>
      </c>
      <c r="D838" s="24" t="s">
        <v>16</v>
      </c>
      <c r="F838" s="24" t="s">
        <v>219</v>
      </c>
      <c r="G838" s="96">
        <v>2022</v>
      </c>
      <c r="H838" s="21">
        <v>15</v>
      </c>
      <c r="I838" s="21">
        <f t="shared" ca="1" si="66"/>
        <v>4</v>
      </c>
      <c r="J838" s="21">
        <v>3</v>
      </c>
      <c r="K838" s="25" t="str">
        <f t="shared" ca="1" si="69"/>
        <v>Activo</v>
      </c>
      <c r="L838" s="72"/>
      <c r="M838" s="72"/>
      <c r="O838" s="25" t="s">
        <v>221</v>
      </c>
      <c r="P838" s="25" t="s">
        <v>49</v>
      </c>
      <c r="Q838" s="34">
        <v>365</v>
      </c>
      <c r="R838" s="25" t="s">
        <v>64</v>
      </c>
      <c r="S838" s="28">
        <v>46198</v>
      </c>
      <c r="T838" s="28">
        <f t="shared" si="68"/>
        <v>46563</v>
      </c>
      <c r="U838" s="25">
        <f t="shared" ca="1" si="70"/>
        <v>302</v>
      </c>
      <c r="V838" s="25" t="str">
        <f t="shared" ca="1" si="71"/>
        <v>AL DÍA</v>
      </c>
      <c r="W838" s="25" t="s">
        <v>24</v>
      </c>
      <c r="X838" s="25" t="s">
        <v>271</v>
      </c>
      <c r="Y838" s="25">
        <v>2</v>
      </c>
      <c r="Z838" s="1" t="s">
        <v>303</v>
      </c>
    </row>
    <row r="839" spans="1:26" ht="14.25" hidden="1" customHeight="1" x14ac:dyDescent="0.15">
      <c r="A839" s="24" t="s">
        <v>114</v>
      </c>
      <c r="B839" s="24" t="s">
        <v>88</v>
      </c>
      <c r="C839" s="26" t="s">
        <v>395</v>
      </c>
      <c r="D839" s="24" t="s">
        <v>16</v>
      </c>
      <c r="F839" s="24" t="s">
        <v>224</v>
      </c>
      <c r="G839" s="21">
        <v>2014</v>
      </c>
      <c r="H839" s="21">
        <v>0</v>
      </c>
      <c r="I839" s="21">
        <f t="shared" ca="1" si="66"/>
        <v>12</v>
      </c>
      <c r="J839" s="21">
        <v>3</v>
      </c>
      <c r="K839" s="25" t="str">
        <f t="shared" ca="1" si="69"/>
        <v>Activo</v>
      </c>
      <c r="Q839" s="34">
        <v>365</v>
      </c>
      <c r="R839" s="25" t="s">
        <v>64</v>
      </c>
      <c r="S839" s="28">
        <v>46198</v>
      </c>
      <c r="T839" s="28">
        <f t="shared" si="68"/>
        <v>46563</v>
      </c>
      <c r="U839" s="25">
        <f t="shared" ca="1" si="70"/>
        <v>302</v>
      </c>
      <c r="V839" s="25" t="str">
        <f t="shared" ca="1" si="71"/>
        <v>AL DÍA</v>
      </c>
      <c r="W839" s="25" t="s">
        <v>24</v>
      </c>
      <c r="X839" s="25" t="s">
        <v>271</v>
      </c>
      <c r="Y839" s="25">
        <v>2</v>
      </c>
    </row>
    <row r="840" spans="1:26" ht="14.25" hidden="1" customHeight="1" x14ac:dyDescent="0.15">
      <c r="A840" s="24" t="s">
        <v>114</v>
      </c>
      <c r="B840" s="24" t="s">
        <v>88</v>
      </c>
      <c r="C840" s="26" t="s">
        <v>395</v>
      </c>
      <c r="D840" s="24" t="s">
        <v>65</v>
      </c>
      <c r="F840" s="24" t="s">
        <v>220</v>
      </c>
      <c r="G840" s="21">
        <v>2014</v>
      </c>
      <c r="H840" s="21">
        <v>0</v>
      </c>
      <c r="I840" s="21">
        <f t="shared" ca="1" si="66"/>
        <v>12</v>
      </c>
      <c r="J840" s="21">
        <v>3</v>
      </c>
      <c r="K840" s="25" t="str">
        <f t="shared" ca="1" si="69"/>
        <v>Activo</v>
      </c>
      <c r="L840" s="25" t="s">
        <v>49</v>
      </c>
      <c r="O840" s="25" t="s">
        <v>222</v>
      </c>
      <c r="Q840" s="34">
        <v>365</v>
      </c>
      <c r="R840" s="25" t="s">
        <v>64</v>
      </c>
      <c r="S840" s="28">
        <v>46198</v>
      </c>
      <c r="T840" s="28">
        <f t="shared" si="68"/>
        <v>46563</v>
      </c>
      <c r="U840" s="25">
        <f t="shared" ca="1" si="70"/>
        <v>302</v>
      </c>
      <c r="V840" s="25" t="str">
        <f t="shared" ca="1" si="71"/>
        <v>AL DÍA</v>
      </c>
      <c r="W840" s="25" t="s">
        <v>24</v>
      </c>
      <c r="X840" s="25" t="s">
        <v>262</v>
      </c>
      <c r="Y840" s="25">
        <v>2</v>
      </c>
    </row>
    <row r="841" spans="1:26" ht="14.25" hidden="1" customHeight="1" x14ac:dyDescent="0.15">
      <c r="A841" s="24" t="s">
        <v>114</v>
      </c>
      <c r="B841" s="24" t="s">
        <v>88</v>
      </c>
      <c r="C841" s="26" t="s">
        <v>396</v>
      </c>
      <c r="D841" s="24" t="s">
        <v>65</v>
      </c>
      <c r="F841" s="24" t="s">
        <v>215</v>
      </c>
      <c r="G841" s="21">
        <v>2014</v>
      </c>
      <c r="H841" s="21">
        <v>0</v>
      </c>
      <c r="I841" s="21">
        <f t="shared" ca="1" si="66"/>
        <v>12</v>
      </c>
      <c r="J841" s="21">
        <v>3</v>
      </c>
      <c r="K841" s="25" t="str">
        <f t="shared" ca="1" si="69"/>
        <v>Activo</v>
      </c>
      <c r="L841" s="25" t="s">
        <v>49</v>
      </c>
      <c r="M841" s="25" t="s">
        <v>49</v>
      </c>
      <c r="N841" s="25" t="s">
        <v>49</v>
      </c>
      <c r="P841" s="25" t="s">
        <v>22</v>
      </c>
      <c r="Q841" s="34">
        <v>365</v>
      </c>
      <c r="R841" s="25" t="s">
        <v>64</v>
      </c>
      <c r="S841" s="28">
        <v>46198</v>
      </c>
      <c r="T841" s="28">
        <f t="shared" si="68"/>
        <v>46563</v>
      </c>
      <c r="U841" s="25">
        <f t="shared" ca="1" si="70"/>
        <v>302</v>
      </c>
      <c r="V841" s="25" t="str">
        <f t="shared" ca="1" si="71"/>
        <v>AL DÍA</v>
      </c>
      <c r="W841" s="25" t="s">
        <v>24</v>
      </c>
      <c r="X841" s="25" t="s">
        <v>277</v>
      </c>
      <c r="Y841" s="25">
        <v>2</v>
      </c>
      <c r="Z841" s="1" t="s">
        <v>284</v>
      </c>
    </row>
    <row r="842" spans="1:26" ht="14.25" hidden="1" customHeight="1" x14ac:dyDescent="0.15">
      <c r="A842" s="24" t="s">
        <v>114</v>
      </c>
      <c r="B842" s="24" t="s">
        <v>88</v>
      </c>
      <c r="C842" s="26" t="s">
        <v>396</v>
      </c>
      <c r="D842" s="24" t="s">
        <v>65</v>
      </c>
      <c r="F842" s="24" t="s">
        <v>217</v>
      </c>
      <c r="G842" s="21">
        <v>2014</v>
      </c>
      <c r="H842" s="21">
        <v>0</v>
      </c>
      <c r="I842" s="21">
        <f t="shared" ca="1" si="66"/>
        <v>12</v>
      </c>
      <c r="J842" s="21">
        <v>3</v>
      </c>
      <c r="K842" s="25" t="str">
        <f t="shared" ca="1" si="69"/>
        <v>Activo</v>
      </c>
      <c r="L842" s="25" t="s">
        <v>49</v>
      </c>
      <c r="O842" s="25">
        <v>62.64</v>
      </c>
      <c r="Q842" s="34">
        <v>365</v>
      </c>
      <c r="R842" s="25" t="s">
        <v>64</v>
      </c>
      <c r="S842" s="28">
        <v>46198</v>
      </c>
      <c r="T842" s="28">
        <f t="shared" si="68"/>
        <v>46563</v>
      </c>
      <c r="U842" s="25">
        <f t="shared" ca="1" si="70"/>
        <v>302</v>
      </c>
      <c r="V842" s="25" t="str">
        <f t="shared" ca="1" si="71"/>
        <v>AL DÍA</v>
      </c>
      <c r="W842" s="25" t="s">
        <v>24</v>
      </c>
      <c r="X842" s="25" t="s">
        <v>262</v>
      </c>
      <c r="Y842" s="25">
        <v>2</v>
      </c>
    </row>
    <row r="843" spans="1:26" ht="14.25" hidden="1" customHeight="1" x14ac:dyDescent="0.15">
      <c r="A843" s="24" t="s">
        <v>114</v>
      </c>
      <c r="B843" s="24" t="s">
        <v>88</v>
      </c>
      <c r="C843" s="26" t="s">
        <v>396</v>
      </c>
      <c r="D843" s="24" t="s">
        <v>65</v>
      </c>
      <c r="F843" s="24" t="s">
        <v>218</v>
      </c>
      <c r="G843" s="21">
        <v>2014</v>
      </c>
      <c r="H843" s="21">
        <v>0</v>
      </c>
      <c r="I843" s="21">
        <f t="shared" ca="1" si="66"/>
        <v>12</v>
      </c>
      <c r="J843" s="21">
        <v>3</v>
      </c>
      <c r="K843" s="25" t="str">
        <f t="shared" ca="1" si="69"/>
        <v>Activo</v>
      </c>
      <c r="L843" s="25" t="s">
        <v>49</v>
      </c>
      <c r="O843" s="25" t="s">
        <v>227</v>
      </c>
      <c r="P843" s="26"/>
      <c r="Q843" s="34">
        <v>365</v>
      </c>
      <c r="R843" s="25" t="s">
        <v>64</v>
      </c>
      <c r="S843" s="28">
        <v>46198</v>
      </c>
      <c r="T843" s="28">
        <f t="shared" si="68"/>
        <v>46563</v>
      </c>
      <c r="U843" s="25">
        <f t="shared" ca="1" si="70"/>
        <v>302</v>
      </c>
      <c r="V843" s="25" t="str">
        <f t="shared" ca="1" si="71"/>
        <v>AL DÍA</v>
      </c>
      <c r="W843" s="25" t="s">
        <v>24</v>
      </c>
      <c r="X843" s="25" t="s">
        <v>262</v>
      </c>
      <c r="Y843" s="25">
        <v>2</v>
      </c>
    </row>
    <row r="844" spans="1:26" ht="14.25" hidden="1" customHeight="1" x14ac:dyDescent="0.15">
      <c r="A844" s="24" t="s">
        <v>114</v>
      </c>
      <c r="B844" s="24" t="s">
        <v>88</v>
      </c>
      <c r="C844" s="26" t="s">
        <v>396</v>
      </c>
      <c r="D844" s="24" t="s">
        <v>16</v>
      </c>
      <c r="F844" s="24" t="s">
        <v>219</v>
      </c>
      <c r="G844" s="96">
        <v>2022</v>
      </c>
      <c r="H844" s="21">
        <v>15</v>
      </c>
      <c r="I844" s="21">
        <f t="shared" ca="1" si="66"/>
        <v>4</v>
      </c>
      <c r="J844" s="21">
        <v>3</v>
      </c>
      <c r="K844" s="25" t="str">
        <f t="shared" ca="1" si="69"/>
        <v>Activo</v>
      </c>
      <c r="L844" s="72"/>
      <c r="M844" s="72"/>
      <c r="O844" s="25" t="s">
        <v>221</v>
      </c>
      <c r="P844" s="25" t="s">
        <v>49</v>
      </c>
      <c r="Q844" s="34">
        <v>365</v>
      </c>
      <c r="R844" s="25" t="s">
        <v>64</v>
      </c>
      <c r="S844" s="28">
        <v>46198</v>
      </c>
      <c r="T844" s="28">
        <f t="shared" si="68"/>
        <v>46563</v>
      </c>
      <c r="U844" s="25">
        <f t="shared" ca="1" si="70"/>
        <v>302</v>
      </c>
      <c r="V844" s="25" t="str">
        <f t="shared" ca="1" si="71"/>
        <v>AL DÍA</v>
      </c>
      <c r="W844" s="25" t="s">
        <v>24</v>
      </c>
      <c r="X844" s="25" t="s">
        <v>271</v>
      </c>
      <c r="Y844" s="25">
        <v>2</v>
      </c>
      <c r="Z844" s="1" t="s">
        <v>303</v>
      </c>
    </row>
    <row r="845" spans="1:26" ht="14.25" hidden="1" customHeight="1" x14ac:dyDescent="0.15">
      <c r="A845" s="24" t="s">
        <v>114</v>
      </c>
      <c r="B845" s="24" t="s">
        <v>88</v>
      </c>
      <c r="C845" s="26" t="s">
        <v>396</v>
      </c>
      <c r="D845" s="24" t="s">
        <v>16</v>
      </c>
      <c r="F845" s="24" t="s">
        <v>224</v>
      </c>
      <c r="G845" s="21">
        <v>2014</v>
      </c>
      <c r="H845" s="21">
        <v>0</v>
      </c>
      <c r="I845" s="21">
        <f t="shared" ca="1" si="66"/>
        <v>12</v>
      </c>
      <c r="J845" s="21">
        <v>3</v>
      </c>
      <c r="K845" s="25" t="str">
        <f t="shared" ca="1" si="69"/>
        <v>Activo</v>
      </c>
      <c r="Q845" s="34">
        <v>365</v>
      </c>
      <c r="R845" s="25" t="s">
        <v>64</v>
      </c>
      <c r="S845" s="28">
        <v>46198</v>
      </c>
      <c r="T845" s="28">
        <f t="shared" si="68"/>
        <v>46563</v>
      </c>
      <c r="U845" s="25">
        <f t="shared" ca="1" si="70"/>
        <v>302</v>
      </c>
      <c r="V845" s="25" t="str">
        <f t="shared" ca="1" si="71"/>
        <v>AL DÍA</v>
      </c>
      <c r="W845" s="25" t="s">
        <v>24</v>
      </c>
      <c r="X845" s="25" t="s">
        <v>271</v>
      </c>
      <c r="Y845" s="25">
        <v>2</v>
      </c>
    </row>
    <row r="846" spans="1:26" ht="14.25" hidden="1" customHeight="1" x14ac:dyDescent="0.15">
      <c r="A846" s="24" t="s">
        <v>114</v>
      </c>
      <c r="B846" s="24" t="s">
        <v>88</v>
      </c>
      <c r="C846" s="26" t="s">
        <v>396</v>
      </c>
      <c r="D846" s="24" t="s">
        <v>65</v>
      </c>
      <c r="F846" s="24" t="s">
        <v>220</v>
      </c>
      <c r="G846" s="21">
        <v>2014</v>
      </c>
      <c r="H846" s="21">
        <v>0</v>
      </c>
      <c r="I846" s="21">
        <f t="shared" ca="1" si="66"/>
        <v>12</v>
      </c>
      <c r="J846" s="21">
        <v>3</v>
      </c>
      <c r="K846" s="25" t="str">
        <f t="shared" ca="1" si="69"/>
        <v>Activo</v>
      </c>
      <c r="L846" s="25" t="s">
        <v>49</v>
      </c>
      <c r="O846" s="25" t="s">
        <v>222</v>
      </c>
      <c r="Q846" s="34">
        <v>365</v>
      </c>
      <c r="R846" s="25" t="s">
        <v>64</v>
      </c>
      <c r="S846" s="28">
        <v>46198</v>
      </c>
      <c r="T846" s="28">
        <f t="shared" si="68"/>
        <v>46563</v>
      </c>
      <c r="U846" s="25">
        <f t="shared" ca="1" si="70"/>
        <v>302</v>
      </c>
      <c r="V846" s="25" t="str">
        <f t="shared" ca="1" si="71"/>
        <v>AL DÍA</v>
      </c>
      <c r="W846" s="25" t="s">
        <v>24</v>
      </c>
      <c r="X846" s="25" t="s">
        <v>262</v>
      </c>
      <c r="Y846" s="25">
        <v>2</v>
      </c>
    </row>
    <row r="847" spans="1:26" ht="14.25" hidden="1" customHeight="1" x14ac:dyDescent="0.15">
      <c r="A847" s="24" t="s">
        <v>114</v>
      </c>
      <c r="B847" s="24" t="s">
        <v>88</v>
      </c>
      <c r="C847" s="26" t="s">
        <v>397</v>
      </c>
      <c r="D847" s="24" t="s">
        <v>65</v>
      </c>
      <c r="F847" s="24" t="s">
        <v>215</v>
      </c>
      <c r="G847" s="21">
        <v>2014</v>
      </c>
      <c r="H847" s="21">
        <v>0</v>
      </c>
      <c r="I847" s="21">
        <f t="shared" ca="1" si="66"/>
        <v>12</v>
      </c>
      <c r="J847" s="21">
        <v>3</v>
      </c>
      <c r="K847" s="25" t="str">
        <f t="shared" ca="1" si="69"/>
        <v>Activo</v>
      </c>
      <c r="L847" s="25" t="s">
        <v>49</v>
      </c>
      <c r="M847" s="25" t="s">
        <v>49</v>
      </c>
      <c r="N847" s="25" t="s">
        <v>49</v>
      </c>
      <c r="P847" s="25" t="s">
        <v>22</v>
      </c>
      <c r="Q847" s="34">
        <v>365</v>
      </c>
      <c r="R847" s="25" t="s">
        <v>64</v>
      </c>
      <c r="S847" s="28">
        <v>46198</v>
      </c>
      <c r="T847" s="28">
        <f t="shared" si="68"/>
        <v>46563</v>
      </c>
      <c r="U847" s="25">
        <f t="shared" ca="1" si="70"/>
        <v>302</v>
      </c>
      <c r="V847" s="25" t="str">
        <f t="shared" ca="1" si="71"/>
        <v>AL DÍA</v>
      </c>
      <c r="W847" s="25" t="s">
        <v>24</v>
      </c>
      <c r="X847" s="25" t="s">
        <v>277</v>
      </c>
      <c r="Y847" s="25">
        <v>2</v>
      </c>
      <c r="Z847" s="1" t="s">
        <v>284</v>
      </c>
    </row>
    <row r="848" spans="1:26" ht="14.25" hidden="1" customHeight="1" x14ac:dyDescent="0.15">
      <c r="A848" s="24" t="s">
        <v>114</v>
      </c>
      <c r="B848" s="24" t="s">
        <v>88</v>
      </c>
      <c r="C848" s="26" t="s">
        <v>397</v>
      </c>
      <c r="D848" s="24" t="s">
        <v>65</v>
      </c>
      <c r="F848" s="24" t="s">
        <v>217</v>
      </c>
      <c r="G848" s="21">
        <v>2014</v>
      </c>
      <c r="H848" s="21">
        <v>0</v>
      </c>
      <c r="I848" s="21">
        <f t="shared" ca="1" si="66"/>
        <v>12</v>
      </c>
      <c r="J848" s="21">
        <v>3</v>
      </c>
      <c r="K848" s="25" t="str">
        <f t="shared" ca="1" si="69"/>
        <v>Activo</v>
      </c>
      <c r="L848" s="25" t="s">
        <v>49</v>
      </c>
      <c r="O848" s="25">
        <v>62.64</v>
      </c>
      <c r="Q848" s="34">
        <v>365</v>
      </c>
      <c r="R848" s="25" t="s">
        <v>64</v>
      </c>
      <c r="S848" s="28">
        <v>46198</v>
      </c>
      <c r="T848" s="28">
        <f t="shared" si="68"/>
        <v>46563</v>
      </c>
      <c r="U848" s="25">
        <f t="shared" ca="1" si="70"/>
        <v>302</v>
      </c>
      <c r="V848" s="25" t="str">
        <f t="shared" ca="1" si="71"/>
        <v>AL DÍA</v>
      </c>
      <c r="W848" s="25" t="s">
        <v>24</v>
      </c>
      <c r="X848" s="25" t="s">
        <v>262</v>
      </c>
      <c r="Y848" s="25">
        <v>2</v>
      </c>
    </row>
    <row r="849" spans="1:26" ht="14.25" hidden="1" customHeight="1" x14ac:dyDescent="0.15">
      <c r="A849" s="24" t="s">
        <v>114</v>
      </c>
      <c r="B849" s="24" t="s">
        <v>88</v>
      </c>
      <c r="C849" s="26" t="s">
        <v>397</v>
      </c>
      <c r="D849" s="24" t="s">
        <v>65</v>
      </c>
      <c r="F849" s="24" t="s">
        <v>218</v>
      </c>
      <c r="G849" s="21">
        <v>2014</v>
      </c>
      <c r="H849" s="21">
        <v>0</v>
      </c>
      <c r="I849" s="21">
        <f t="shared" ca="1" si="66"/>
        <v>12</v>
      </c>
      <c r="J849" s="21">
        <v>3</v>
      </c>
      <c r="K849" s="25" t="str">
        <f t="shared" ca="1" si="69"/>
        <v>Activo</v>
      </c>
      <c r="L849" s="25" t="s">
        <v>49</v>
      </c>
      <c r="O849" s="25" t="s">
        <v>227</v>
      </c>
      <c r="Q849" s="34">
        <v>365</v>
      </c>
      <c r="R849" s="25" t="s">
        <v>64</v>
      </c>
      <c r="S849" s="28">
        <v>46198</v>
      </c>
      <c r="T849" s="28">
        <f t="shared" si="68"/>
        <v>46563</v>
      </c>
      <c r="U849" s="25">
        <f t="shared" ca="1" si="70"/>
        <v>302</v>
      </c>
      <c r="V849" s="25" t="str">
        <f t="shared" ca="1" si="71"/>
        <v>AL DÍA</v>
      </c>
      <c r="W849" s="25" t="s">
        <v>24</v>
      </c>
      <c r="X849" s="25" t="s">
        <v>262</v>
      </c>
      <c r="Y849" s="25">
        <v>2</v>
      </c>
    </row>
    <row r="850" spans="1:26" ht="14.25" hidden="1" customHeight="1" x14ac:dyDescent="0.15">
      <c r="A850" s="24" t="s">
        <v>114</v>
      </c>
      <c r="B850" s="24" t="s">
        <v>88</v>
      </c>
      <c r="C850" s="25" t="s">
        <v>397</v>
      </c>
      <c r="D850" s="24" t="s">
        <v>16</v>
      </c>
      <c r="F850" s="24" t="s">
        <v>219</v>
      </c>
      <c r="G850" s="96">
        <v>2022</v>
      </c>
      <c r="H850" s="21">
        <v>15</v>
      </c>
      <c r="I850" s="21">
        <f t="shared" ca="1" si="66"/>
        <v>4</v>
      </c>
      <c r="J850" s="21">
        <v>3</v>
      </c>
      <c r="K850" s="25" t="str">
        <f t="shared" ca="1" si="69"/>
        <v>Activo</v>
      </c>
      <c r="L850" s="72"/>
      <c r="M850" s="72"/>
      <c r="O850" s="25" t="s">
        <v>221</v>
      </c>
      <c r="P850" s="25" t="s">
        <v>49</v>
      </c>
      <c r="Q850" s="34">
        <v>365</v>
      </c>
      <c r="R850" s="25" t="s">
        <v>64</v>
      </c>
      <c r="S850" s="28">
        <v>46198</v>
      </c>
      <c r="T850" s="28">
        <f t="shared" si="68"/>
        <v>46563</v>
      </c>
      <c r="U850" s="25">
        <f t="shared" ca="1" si="70"/>
        <v>302</v>
      </c>
      <c r="V850" s="25" t="str">
        <f t="shared" ca="1" si="71"/>
        <v>AL DÍA</v>
      </c>
      <c r="W850" s="25" t="s">
        <v>24</v>
      </c>
      <c r="X850" s="25" t="s">
        <v>271</v>
      </c>
      <c r="Y850" s="25">
        <v>2</v>
      </c>
      <c r="Z850" s="1" t="s">
        <v>303</v>
      </c>
    </row>
    <row r="851" spans="1:26" ht="14.25" hidden="1" customHeight="1" x14ac:dyDescent="0.15">
      <c r="A851" s="24" t="s">
        <v>114</v>
      </c>
      <c r="B851" s="24" t="s">
        <v>88</v>
      </c>
      <c r="C851" s="26" t="s">
        <v>397</v>
      </c>
      <c r="D851" s="24" t="s">
        <v>16</v>
      </c>
      <c r="F851" s="24" t="s">
        <v>224</v>
      </c>
      <c r="G851" s="21">
        <v>2014</v>
      </c>
      <c r="H851" s="21">
        <v>0</v>
      </c>
      <c r="I851" s="21">
        <f t="shared" ca="1" si="66"/>
        <v>12</v>
      </c>
      <c r="J851" s="21">
        <v>3</v>
      </c>
      <c r="K851" s="25" t="str">
        <f t="shared" ca="1" si="69"/>
        <v>Activo</v>
      </c>
      <c r="Q851" s="34">
        <v>365</v>
      </c>
      <c r="R851" s="25" t="s">
        <v>64</v>
      </c>
      <c r="S851" s="28">
        <v>46198</v>
      </c>
      <c r="T851" s="28">
        <f t="shared" si="68"/>
        <v>46563</v>
      </c>
      <c r="U851" s="25">
        <f t="shared" ca="1" si="70"/>
        <v>302</v>
      </c>
      <c r="V851" s="25" t="str">
        <f t="shared" ca="1" si="71"/>
        <v>AL DÍA</v>
      </c>
      <c r="W851" s="25" t="s">
        <v>24</v>
      </c>
      <c r="X851" s="25" t="s">
        <v>271</v>
      </c>
      <c r="Y851" s="25">
        <v>2</v>
      </c>
    </row>
    <row r="852" spans="1:26" ht="14.25" hidden="1" customHeight="1" x14ac:dyDescent="0.15">
      <c r="A852" s="24" t="s">
        <v>114</v>
      </c>
      <c r="B852" s="24" t="s">
        <v>88</v>
      </c>
      <c r="C852" s="26" t="s">
        <v>397</v>
      </c>
      <c r="D852" s="24" t="s">
        <v>65</v>
      </c>
      <c r="F852" s="24" t="s">
        <v>220</v>
      </c>
      <c r="G852" s="21">
        <v>2014</v>
      </c>
      <c r="H852" s="21">
        <v>0</v>
      </c>
      <c r="I852" s="21">
        <f t="shared" ca="1" si="66"/>
        <v>12</v>
      </c>
      <c r="J852" s="21">
        <v>3</v>
      </c>
      <c r="K852" s="25" t="str">
        <f t="shared" ca="1" si="69"/>
        <v>Activo</v>
      </c>
      <c r="L852" s="25" t="s">
        <v>49</v>
      </c>
      <c r="O852" s="25" t="s">
        <v>222</v>
      </c>
      <c r="P852" s="26"/>
      <c r="Q852" s="34">
        <v>365</v>
      </c>
      <c r="R852" s="25" t="s">
        <v>64</v>
      </c>
      <c r="S852" s="28">
        <v>46198</v>
      </c>
      <c r="T852" s="28">
        <f t="shared" si="68"/>
        <v>46563</v>
      </c>
      <c r="U852" s="25">
        <f t="shared" ca="1" si="70"/>
        <v>302</v>
      </c>
      <c r="V852" s="25" t="str">
        <f t="shared" ca="1" si="71"/>
        <v>AL DÍA</v>
      </c>
      <c r="W852" s="25" t="s">
        <v>24</v>
      </c>
      <c r="X852" s="25" t="s">
        <v>262</v>
      </c>
      <c r="Y852" s="25">
        <v>2</v>
      </c>
    </row>
    <row r="853" spans="1:26" ht="14.25" hidden="1" customHeight="1" x14ac:dyDescent="0.15">
      <c r="A853" s="24" t="s">
        <v>114</v>
      </c>
      <c r="B853" s="24" t="s">
        <v>88</v>
      </c>
      <c r="C853" s="26" t="s">
        <v>398</v>
      </c>
      <c r="D853" s="24" t="s">
        <v>65</v>
      </c>
      <c r="F853" s="24" t="s">
        <v>215</v>
      </c>
      <c r="G853" s="21">
        <v>2014</v>
      </c>
      <c r="H853" s="21">
        <v>0</v>
      </c>
      <c r="I853" s="21">
        <f t="shared" ca="1" si="66"/>
        <v>12</v>
      </c>
      <c r="J853" s="21">
        <v>3</v>
      </c>
      <c r="K853" s="25" t="str">
        <f t="shared" ca="1" si="69"/>
        <v>Activo</v>
      </c>
      <c r="L853" s="25" t="s">
        <v>49</v>
      </c>
      <c r="M853" s="25" t="s">
        <v>49</v>
      </c>
      <c r="N853" s="25" t="s">
        <v>49</v>
      </c>
      <c r="P853" s="26" t="s">
        <v>22</v>
      </c>
      <c r="Q853" s="34">
        <v>365</v>
      </c>
      <c r="R853" s="25" t="s">
        <v>64</v>
      </c>
      <c r="S853" s="28">
        <v>46198</v>
      </c>
      <c r="T853" s="28">
        <f t="shared" si="68"/>
        <v>46563</v>
      </c>
      <c r="U853" s="25">
        <f t="shared" ca="1" si="70"/>
        <v>302</v>
      </c>
      <c r="V853" s="25" t="str">
        <f t="shared" ca="1" si="71"/>
        <v>AL DÍA</v>
      </c>
      <c r="W853" s="25" t="s">
        <v>24</v>
      </c>
      <c r="X853" s="25" t="s">
        <v>277</v>
      </c>
      <c r="Y853" s="25">
        <v>2</v>
      </c>
      <c r="Z853" s="1" t="s">
        <v>284</v>
      </c>
    </row>
    <row r="854" spans="1:26" ht="14.25" hidden="1" customHeight="1" x14ac:dyDescent="0.15">
      <c r="A854" s="24" t="s">
        <v>114</v>
      </c>
      <c r="B854" s="24" t="s">
        <v>88</v>
      </c>
      <c r="C854" s="26" t="s">
        <v>398</v>
      </c>
      <c r="D854" s="24" t="s">
        <v>65</v>
      </c>
      <c r="F854" s="24" t="s">
        <v>217</v>
      </c>
      <c r="G854" s="21">
        <v>2014</v>
      </c>
      <c r="H854" s="21">
        <v>0</v>
      </c>
      <c r="I854" s="21">
        <f t="shared" ca="1" si="66"/>
        <v>12</v>
      </c>
      <c r="J854" s="21">
        <v>3</v>
      </c>
      <c r="K854" s="25" t="str">
        <f t="shared" ca="1" si="69"/>
        <v>Activo</v>
      </c>
      <c r="L854" s="25" t="s">
        <v>49</v>
      </c>
      <c r="O854" s="25">
        <v>62.64</v>
      </c>
      <c r="Q854" s="34">
        <v>365</v>
      </c>
      <c r="R854" s="25" t="s">
        <v>64</v>
      </c>
      <c r="S854" s="28">
        <v>46198</v>
      </c>
      <c r="T854" s="28">
        <f t="shared" si="68"/>
        <v>46563</v>
      </c>
      <c r="U854" s="25">
        <f t="shared" ca="1" si="70"/>
        <v>302</v>
      </c>
      <c r="V854" s="25" t="str">
        <f t="shared" ca="1" si="71"/>
        <v>AL DÍA</v>
      </c>
      <c r="W854" s="25" t="s">
        <v>24</v>
      </c>
      <c r="X854" s="25" t="s">
        <v>262</v>
      </c>
      <c r="Y854" s="25">
        <v>2</v>
      </c>
    </row>
    <row r="855" spans="1:26" ht="14.25" hidden="1" customHeight="1" x14ac:dyDescent="0.15">
      <c r="A855" s="24" t="s">
        <v>114</v>
      </c>
      <c r="B855" s="24" t="s">
        <v>88</v>
      </c>
      <c r="C855" s="26" t="s">
        <v>398</v>
      </c>
      <c r="D855" s="24" t="s">
        <v>65</v>
      </c>
      <c r="F855" s="24" t="s">
        <v>218</v>
      </c>
      <c r="G855" s="21">
        <v>2014</v>
      </c>
      <c r="H855" s="21">
        <v>0</v>
      </c>
      <c r="I855" s="21">
        <f t="shared" ref="I855:I918" ca="1" si="72">YEAR(TODAY())-G855</f>
        <v>12</v>
      </c>
      <c r="J855" s="21">
        <v>3</v>
      </c>
      <c r="K855" s="25" t="str">
        <f t="shared" ca="1" si="69"/>
        <v>Activo</v>
      </c>
      <c r="L855" s="25" t="s">
        <v>49</v>
      </c>
      <c r="O855" s="25" t="s">
        <v>227</v>
      </c>
      <c r="Q855" s="34">
        <v>365</v>
      </c>
      <c r="R855" s="25" t="s">
        <v>64</v>
      </c>
      <c r="S855" s="28">
        <v>46198</v>
      </c>
      <c r="T855" s="28">
        <f t="shared" si="68"/>
        <v>46563</v>
      </c>
      <c r="U855" s="25">
        <f t="shared" ca="1" si="70"/>
        <v>302</v>
      </c>
      <c r="V855" s="25" t="str">
        <f t="shared" ca="1" si="71"/>
        <v>AL DÍA</v>
      </c>
      <c r="W855" s="25" t="s">
        <v>24</v>
      </c>
      <c r="X855" s="25" t="s">
        <v>262</v>
      </c>
      <c r="Y855" s="25">
        <v>2</v>
      </c>
    </row>
    <row r="856" spans="1:26" ht="14.25" hidden="1" customHeight="1" x14ac:dyDescent="0.15">
      <c r="A856" s="24" t="s">
        <v>114</v>
      </c>
      <c r="B856" s="24" t="s">
        <v>88</v>
      </c>
      <c r="C856" s="26" t="s">
        <v>398</v>
      </c>
      <c r="D856" s="24" t="s">
        <v>16</v>
      </c>
      <c r="F856" s="24" t="s">
        <v>219</v>
      </c>
      <c r="G856" s="96">
        <v>2022</v>
      </c>
      <c r="H856" s="21">
        <v>15</v>
      </c>
      <c r="I856" s="21">
        <f t="shared" ca="1" si="72"/>
        <v>4</v>
      </c>
      <c r="J856" s="21">
        <v>3</v>
      </c>
      <c r="K856" s="25" t="str">
        <f t="shared" ca="1" si="69"/>
        <v>Activo</v>
      </c>
      <c r="L856" s="72"/>
      <c r="M856" s="72"/>
      <c r="O856" s="25" t="s">
        <v>221</v>
      </c>
      <c r="P856" s="25" t="s">
        <v>49</v>
      </c>
      <c r="Q856" s="34">
        <v>365</v>
      </c>
      <c r="R856" s="25" t="s">
        <v>64</v>
      </c>
      <c r="S856" s="28">
        <v>46198</v>
      </c>
      <c r="T856" s="28">
        <f t="shared" si="68"/>
        <v>46563</v>
      </c>
      <c r="U856" s="25">
        <f t="shared" ca="1" si="70"/>
        <v>302</v>
      </c>
      <c r="V856" s="25" t="str">
        <f t="shared" ca="1" si="71"/>
        <v>AL DÍA</v>
      </c>
      <c r="W856" s="25" t="s">
        <v>24</v>
      </c>
      <c r="X856" s="25" t="s">
        <v>271</v>
      </c>
      <c r="Y856" s="25">
        <v>2</v>
      </c>
      <c r="Z856" s="1" t="s">
        <v>303</v>
      </c>
    </row>
    <row r="857" spans="1:26" ht="14.25" hidden="1" customHeight="1" x14ac:dyDescent="0.15">
      <c r="A857" s="24" t="s">
        <v>114</v>
      </c>
      <c r="B857" s="24" t="s">
        <v>88</v>
      </c>
      <c r="C857" s="26" t="s">
        <v>398</v>
      </c>
      <c r="D857" s="24" t="s">
        <v>16</v>
      </c>
      <c r="F857" s="24" t="s">
        <v>224</v>
      </c>
      <c r="G857" s="21">
        <v>2014</v>
      </c>
      <c r="H857" s="21">
        <v>0</v>
      </c>
      <c r="I857" s="21">
        <f t="shared" ca="1" si="72"/>
        <v>12</v>
      </c>
      <c r="J857" s="21">
        <v>3</v>
      </c>
      <c r="K857" s="25" t="str">
        <f t="shared" ca="1" si="69"/>
        <v>Activo</v>
      </c>
      <c r="Q857" s="34">
        <v>365</v>
      </c>
      <c r="R857" s="25" t="s">
        <v>64</v>
      </c>
      <c r="S857" s="28">
        <v>46198</v>
      </c>
      <c r="T857" s="28">
        <f t="shared" si="68"/>
        <v>46563</v>
      </c>
      <c r="U857" s="25">
        <f t="shared" ca="1" si="70"/>
        <v>302</v>
      </c>
      <c r="V857" s="25" t="str">
        <f t="shared" ca="1" si="71"/>
        <v>AL DÍA</v>
      </c>
      <c r="W857" s="25" t="s">
        <v>24</v>
      </c>
      <c r="X857" s="25" t="s">
        <v>271</v>
      </c>
      <c r="Y857" s="25">
        <v>2</v>
      </c>
    </row>
    <row r="858" spans="1:26" ht="14.25" hidden="1" customHeight="1" x14ac:dyDescent="0.15">
      <c r="A858" s="24" t="s">
        <v>114</v>
      </c>
      <c r="B858" s="24" t="s">
        <v>88</v>
      </c>
      <c r="C858" s="26" t="s">
        <v>398</v>
      </c>
      <c r="D858" s="24" t="s">
        <v>65</v>
      </c>
      <c r="F858" s="24" t="s">
        <v>220</v>
      </c>
      <c r="G858" s="21">
        <v>2014</v>
      </c>
      <c r="H858" s="21">
        <v>0</v>
      </c>
      <c r="I858" s="21">
        <f t="shared" ca="1" si="72"/>
        <v>12</v>
      </c>
      <c r="J858" s="21">
        <v>3</v>
      </c>
      <c r="K858" s="25" t="str">
        <f t="shared" ca="1" si="69"/>
        <v>Activo</v>
      </c>
      <c r="L858" s="25" t="s">
        <v>49</v>
      </c>
      <c r="O858" s="25" t="s">
        <v>222</v>
      </c>
      <c r="Q858" s="34">
        <v>365</v>
      </c>
      <c r="R858" s="25" t="s">
        <v>64</v>
      </c>
      <c r="S858" s="28">
        <v>46198</v>
      </c>
      <c r="T858" s="28">
        <f t="shared" si="68"/>
        <v>46563</v>
      </c>
      <c r="U858" s="25">
        <f t="shared" ca="1" si="70"/>
        <v>302</v>
      </c>
      <c r="V858" s="25" t="str">
        <f t="shared" ca="1" si="71"/>
        <v>AL DÍA</v>
      </c>
      <c r="W858" s="25" t="s">
        <v>24</v>
      </c>
      <c r="X858" s="25" t="s">
        <v>262</v>
      </c>
      <c r="Y858" s="25">
        <v>2</v>
      </c>
    </row>
    <row r="859" spans="1:26" ht="14.25" hidden="1" customHeight="1" x14ac:dyDescent="0.15">
      <c r="A859" s="24" t="s">
        <v>114</v>
      </c>
      <c r="B859" s="24" t="s">
        <v>88</v>
      </c>
      <c r="C859" s="26" t="s">
        <v>399</v>
      </c>
      <c r="D859" s="24" t="s">
        <v>65</v>
      </c>
      <c r="F859" s="24" t="s">
        <v>215</v>
      </c>
      <c r="G859" s="21">
        <v>2014</v>
      </c>
      <c r="H859" s="21">
        <v>0</v>
      </c>
      <c r="I859" s="21">
        <f t="shared" ca="1" si="72"/>
        <v>12</v>
      </c>
      <c r="J859" s="21">
        <v>3</v>
      </c>
      <c r="K859" s="25" t="str">
        <f t="shared" ca="1" si="69"/>
        <v>Activo</v>
      </c>
      <c r="L859" s="25" t="s">
        <v>49</v>
      </c>
      <c r="M859" s="25" t="s">
        <v>49</v>
      </c>
      <c r="N859" s="25" t="s">
        <v>49</v>
      </c>
      <c r="P859" s="25" t="s">
        <v>22</v>
      </c>
      <c r="Q859" s="34">
        <v>365</v>
      </c>
      <c r="R859" s="25" t="s">
        <v>64</v>
      </c>
      <c r="S859" s="28">
        <v>46198</v>
      </c>
      <c r="T859" s="28">
        <f t="shared" si="68"/>
        <v>46563</v>
      </c>
      <c r="U859" s="25">
        <f t="shared" ca="1" si="70"/>
        <v>302</v>
      </c>
      <c r="V859" s="25" t="str">
        <f t="shared" ca="1" si="71"/>
        <v>AL DÍA</v>
      </c>
      <c r="W859" s="25" t="s">
        <v>24</v>
      </c>
      <c r="X859" s="25" t="s">
        <v>277</v>
      </c>
      <c r="Y859" s="25">
        <v>2</v>
      </c>
      <c r="Z859" s="1" t="s">
        <v>284</v>
      </c>
    </row>
    <row r="860" spans="1:26" ht="14.25" hidden="1" customHeight="1" x14ac:dyDescent="0.15">
      <c r="A860" s="24" t="s">
        <v>114</v>
      </c>
      <c r="B860" s="24" t="s">
        <v>88</v>
      </c>
      <c r="C860" s="26" t="s">
        <v>399</v>
      </c>
      <c r="D860" s="24" t="s">
        <v>65</v>
      </c>
      <c r="F860" s="24" t="s">
        <v>217</v>
      </c>
      <c r="G860" s="21">
        <v>2014</v>
      </c>
      <c r="H860" s="21">
        <v>0</v>
      </c>
      <c r="I860" s="21">
        <f t="shared" ca="1" si="72"/>
        <v>12</v>
      </c>
      <c r="J860" s="21">
        <v>3</v>
      </c>
      <c r="K860" s="25" t="str">
        <f t="shared" ca="1" si="69"/>
        <v>Activo</v>
      </c>
      <c r="L860" s="25" t="s">
        <v>49</v>
      </c>
      <c r="O860" s="25">
        <v>62.64</v>
      </c>
      <c r="Q860" s="34">
        <v>365</v>
      </c>
      <c r="R860" s="25" t="s">
        <v>64</v>
      </c>
      <c r="S860" s="28">
        <v>46198</v>
      </c>
      <c r="T860" s="28">
        <f t="shared" si="68"/>
        <v>46563</v>
      </c>
      <c r="U860" s="25">
        <f t="shared" ca="1" si="70"/>
        <v>302</v>
      </c>
      <c r="V860" s="25" t="str">
        <f t="shared" ca="1" si="71"/>
        <v>AL DÍA</v>
      </c>
      <c r="W860" s="25" t="s">
        <v>24</v>
      </c>
      <c r="X860" s="25" t="s">
        <v>262</v>
      </c>
      <c r="Y860" s="25">
        <v>2</v>
      </c>
    </row>
    <row r="861" spans="1:26" ht="14.25" hidden="1" customHeight="1" x14ac:dyDescent="0.15">
      <c r="A861" s="24" t="s">
        <v>114</v>
      </c>
      <c r="B861" s="24" t="s">
        <v>88</v>
      </c>
      <c r="C861" s="26" t="s">
        <v>399</v>
      </c>
      <c r="D861" s="24" t="s">
        <v>65</v>
      </c>
      <c r="F861" s="24" t="s">
        <v>218</v>
      </c>
      <c r="G861" s="21">
        <v>2014</v>
      </c>
      <c r="H861" s="21">
        <v>0</v>
      </c>
      <c r="I861" s="21">
        <f t="shared" ca="1" si="72"/>
        <v>12</v>
      </c>
      <c r="J861" s="21">
        <v>3</v>
      </c>
      <c r="K861" s="25" t="str">
        <f t="shared" ca="1" si="69"/>
        <v>Activo</v>
      </c>
      <c r="L861" s="25" t="s">
        <v>49</v>
      </c>
      <c r="O861" s="25" t="s">
        <v>227</v>
      </c>
      <c r="Q861" s="34">
        <v>365</v>
      </c>
      <c r="R861" s="25" t="s">
        <v>64</v>
      </c>
      <c r="S861" s="28">
        <v>46198</v>
      </c>
      <c r="T861" s="28">
        <f t="shared" si="68"/>
        <v>46563</v>
      </c>
      <c r="U861" s="25">
        <f t="shared" ca="1" si="70"/>
        <v>302</v>
      </c>
      <c r="V861" s="25" t="str">
        <f t="shared" ca="1" si="71"/>
        <v>AL DÍA</v>
      </c>
      <c r="W861" s="25" t="s">
        <v>24</v>
      </c>
      <c r="X861" s="25" t="s">
        <v>262</v>
      </c>
      <c r="Y861" s="25">
        <v>2</v>
      </c>
    </row>
    <row r="862" spans="1:26" ht="14.25" hidden="1" customHeight="1" x14ac:dyDescent="0.15">
      <c r="A862" s="24" t="s">
        <v>114</v>
      </c>
      <c r="B862" s="24" t="s">
        <v>88</v>
      </c>
      <c r="C862" s="26" t="s">
        <v>399</v>
      </c>
      <c r="D862" s="24" t="s">
        <v>16</v>
      </c>
      <c r="F862" s="24" t="s">
        <v>219</v>
      </c>
      <c r="G862" s="96">
        <v>2022</v>
      </c>
      <c r="H862" s="21">
        <v>15</v>
      </c>
      <c r="I862" s="21">
        <f t="shared" ca="1" si="72"/>
        <v>4</v>
      </c>
      <c r="J862" s="21">
        <v>3</v>
      </c>
      <c r="K862" s="25" t="str">
        <f t="shared" ca="1" si="69"/>
        <v>Activo</v>
      </c>
      <c r="L862" s="72"/>
      <c r="M862" s="72"/>
      <c r="O862" s="25" t="s">
        <v>221</v>
      </c>
      <c r="P862" s="25" t="s">
        <v>49</v>
      </c>
      <c r="Q862" s="34">
        <v>365</v>
      </c>
      <c r="R862" s="25" t="s">
        <v>64</v>
      </c>
      <c r="S862" s="28">
        <v>46198</v>
      </c>
      <c r="T862" s="28">
        <f t="shared" si="68"/>
        <v>46563</v>
      </c>
      <c r="U862" s="25">
        <f t="shared" ca="1" si="70"/>
        <v>302</v>
      </c>
      <c r="V862" s="25" t="str">
        <f t="shared" ca="1" si="71"/>
        <v>AL DÍA</v>
      </c>
      <c r="W862" s="25" t="s">
        <v>24</v>
      </c>
      <c r="X862" s="25" t="s">
        <v>271</v>
      </c>
      <c r="Y862" s="25">
        <v>2</v>
      </c>
      <c r="Z862" s="1" t="s">
        <v>303</v>
      </c>
    </row>
    <row r="863" spans="1:26" ht="14.25" hidden="1" customHeight="1" x14ac:dyDescent="0.15">
      <c r="A863" s="24" t="s">
        <v>114</v>
      </c>
      <c r="B863" s="24" t="s">
        <v>88</v>
      </c>
      <c r="C863" s="26" t="s">
        <v>399</v>
      </c>
      <c r="D863" s="24" t="s">
        <v>16</v>
      </c>
      <c r="F863" s="24" t="s">
        <v>224</v>
      </c>
      <c r="G863" s="21">
        <v>2014</v>
      </c>
      <c r="H863" s="21">
        <v>0</v>
      </c>
      <c r="I863" s="21">
        <f t="shared" ca="1" si="72"/>
        <v>12</v>
      </c>
      <c r="J863" s="21">
        <v>3</v>
      </c>
      <c r="K863" s="25" t="str">
        <f t="shared" ca="1" si="69"/>
        <v>Activo</v>
      </c>
      <c r="Q863" s="34">
        <v>365</v>
      </c>
      <c r="R863" s="25" t="s">
        <v>64</v>
      </c>
      <c r="S863" s="28">
        <v>46198</v>
      </c>
      <c r="T863" s="28">
        <f t="shared" si="68"/>
        <v>46563</v>
      </c>
      <c r="U863" s="25">
        <f t="shared" ca="1" si="70"/>
        <v>302</v>
      </c>
      <c r="V863" s="25" t="str">
        <f t="shared" ca="1" si="71"/>
        <v>AL DÍA</v>
      </c>
      <c r="W863" s="25" t="s">
        <v>24</v>
      </c>
      <c r="X863" s="25" t="s">
        <v>271</v>
      </c>
      <c r="Y863" s="25">
        <v>2</v>
      </c>
    </row>
    <row r="864" spans="1:26" ht="14.25" hidden="1" customHeight="1" x14ac:dyDescent="0.15">
      <c r="A864" s="24" t="s">
        <v>114</v>
      </c>
      <c r="B864" s="24" t="s">
        <v>88</v>
      </c>
      <c r="C864" s="26" t="s">
        <v>399</v>
      </c>
      <c r="D864" s="24" t="s">
        <v>65</v>
      </c>
      <c r="F864" s="24" t="s">
        <v>220</v>
      </c>
      <c r="G864" s="21">
        <v>2014</v>
      </c>
      <c r="H864" s="21">
        <v>0</v>
      </c>
      <c r="I864" s="21">
        <f t="shared" ca="1" si="72"/>
        <v>12</v>
      </c>
      <c r="J864" s="21">
        <v>3</v>
      </c>
      <c r="K864" s="25" t="str">
        <f t="shared" ca="1" si="69"/>
        <v>Activo</v>
      </c>
      <c r="L864" s="25" t="s">
        <v>49</v>
      </c>
      <c r="O864" s="25" t="s">
        <v>222</v>
      </c>
      <c r="Q864" s="34">
        <v>365</v>
      </c>
      <c r="R864" s="25" t="s">
        <v>64</v>
      </c>
      <c r="S864" s="28">
        <v>46198</v>
      </c>
      <c r="T864" s="28">
        <f t="shared" si="68"/>
        <v>46563</v>
      </c>
      <c r="U864" s="25">
        <f t="shared" ca="1" si="70"/>
        <v>302</v>
      </c>
      <c r="V864" s="25" t="str">
        <f t="shared" ca="1" si="71"/>
        <v>AL DÍA</v>
      </c>
      <c r="W864" s="25" t="s">
        <v>24</v>
      </c>
      <c r="X864" s="25" t="s">
        <v>262</v>
      </c>
      <c r="Y864" s="25">
        <v>2</v>
      </c>
    </row>
    <row r="865" spans="1:26" ht="14.25" hidden="1" customHeight="1" x14ac:dyDescent="0.15">
      <c r="A865" s="24" t="s">
        <v>114</v>
      </c>
      <c r="B865" s="24" t="s">
        <v>120</v>
      </c>
      <c r="C865" s="25" t="s">
        <v>400</v>
      </c>
      <c r="D865" s="24" t="s">
        <v>65</v>
      </c>
      <c r="F865" s="24" t="s">
        <v>215</v>
      </c>
      <c r="G865" s="21">
        <v>2014</v>
      </c>
      <c r="H865" s="21">
        <v>0</v>
      </c>
      <c r="I865" s="21">
        <f t="shared" ca="1" si="72"/>
        <v>12</v>
      </c>
      <c r="J865" s="21">
        <v>3</v>
      </c>
      <c r="K865" s="25" t="str">
        <f t="shared" ca="1" si="69"/>
        <v>Activo</v>
      </c>
      <c r="L865" s="25" t="s">
        <v>49</v>
      </c>
      <c r="M865" s="25" t="s">
        <v>49</v>
      </c>
      <c r="N865" s="25" t="s">
        <v>49</v>
      </c>
      <c r="P865" s="26" t="s">
        <v>22</v>
      </c>
      <c r="Q865" s="34">
        <v>365</v>
      </c>
      <c r="R865" s="25" t="s">
        <v>64</v>
      </c>
      <c r="S865" s="28">
        <v>46198</v>
      </c>
      <c r="T865" s="28">
        <f t="shared" si="68"/>
        <v>46563</v>
      </c>
      <c r="U865" s="25">
        <f t="shared" ca="1" si="70"/>
        <v>302</v>
      </c>
      <c r="V865" s="25" t="str">
        <f t="shared" ca="1" si="71"/>
        <v>AL DÍA</v>
      </c>
      <c r="W865" s="25" t="s">
        <v>24</v>
      </c>
      <c r="X865" s="25" t="s">
        <v>277</v>
      </c>
      <c r="Y865" s="25">
        <v>2</v>
      </c>
      <c r="Z865" s="1" t="s">
        <v>284</v>
      </c>
    </row>
    <row r="866" spans="1:26" ht="14.25" hidden="1" customHeight="1" x14ac:dyDescent="0.15">
      <c r="A866" s="24" t="s">
        <v>114</v>
      </c>
      <c r="B866" s="24" t="s">
        <v>120</v>
      </c>
      <c r="C866" s="25" t="s">
        <v>400</v>
      </c>
      <c r="D866" s="24" t="s">
        <v>65</v>
      </c>
      <c r="F866" s="24" t="s">
        <v>217</v>
      </c>
      <c r="G866" s="21">
        <v>2014</v>
      </c>
      <c r="H866" s="21">
        <v>0</v>
      </c>
      <c r="I866" s="21">
        <f t="shared" ca="1" si="72"/>
        <v>12</v>
      </c>
      <c r="J866" s="21">
        <v>3</v>
      </c>
      <c r="K866" s="25" t="str">
        <f t="shared" ca="1" si="69"/>
        <v>Activo</v>
      </c>
      <c r="L866" s="25" t="s">
        <v>49</v>
      </c>
      <c r="O866" s="25">
        <v>62.64</v>
      </c>
      <c r="Q866" s="34">
        <v>365</v>
      </c>
      <c r="R866" s="25" t="s">
        <v>64</v>
      </c>
      <c r="S866" s="28">
        <v>46198</v>
      </c>
      <c r="T866" s="28">
        <f t="shared" si="68"/>
        <v>46563</v>
      </c>
      <c r="U866" s="25">
        <f t="shared" ca="1" si="70"/>
        <v>302</v>
      </c>
      <c r="V866" s="25" t="str">
        <f t="shared" ca="1" si="71"/>
        <v>AL DÍA</v>
      </c>
      <c r="W866" s="25" t="s">
        <v>24</v>
      </c>
      <c r="X866" s="25" t="s">
        <v>262</v>
      </c>
      <c r="Y866" s="25">
        <v>2</v>
      </c>
    </row>
    <row r="867" spans="1:26" ht="14.25" hidden="1" customHeight="1" x14ac:dyDescent="0.15">
      <c r="A867" s="24" t="s">
        <v>114</v>
      </c>
      <c r="B867" s="24" t="s">
        <v>120</v>
      </c>
      <c r="C867" s="25" t="s">
        <v>400</v>
      </c>
      <c r="D867" s="24" t="s">
        <v>65</v>
      </c>
      <c r="F867" s="24" t="s">
        <v>218</v>
      </c>
      <c r="G867" s="21">
        <v>2014</v>
      </c>
      <c r="H867" s="21">
        <v>0</v>
      </c>
      <c r="I867" s="21">
        <f t="shared" ca="1" si="72"/>
        <v>12</v>
      </c>
      <c r="J867" s="21">
        <v>3</v>
      </c>
      <c r="K867" s="25" t="str">
        <f t="shared" ca="1" si="69"/>
        <v>Activo</v>
      </c>
      <c r="L867" s="25" t="s">
        <v>49</v>
      </c>
      <c r="O867" s="25" t="s">
        <v>227</v>
      </c>
      <c r="P867" s="26"/>
      <c r="Q867" s="34">
        <v>365</v>
      </c>
      <c r="R867" s="25" t="s">
        <v>64</v>
      </c>
      <c r="S867" s="28">
        <v>46198</v>
      </c>
      <c r="T867" s="28">
        <f t="shared" si="68"/>
        <v>46563</v>
      </c>
      <c r="U867" s="25">
        <f t="shared" ca="1" si="70"/>
        <v>302</v>
      </c>
      <c r="V867" s="25" t="str">
        <f t="shared" ca="1" si="71"/>
        <v>AL DÍA</v>
      </c>
      <c r="W867" s="25" t="s">
        <v>24</v>
      </c>
      <c r="X867" s="25" t="s">
        <v>262</v>
      </c>
      <c r="Y867" s="25">
        <v>2</v>
      </c>
    </row>
    <row r="868" spans="1:26" ht="14.25" hidden="1" customHeight="1" x14ac:dyDescent="0.15">
      <c r="A868" s="24" t="s">
        <v>114</v>
      </c>
      <c r="B868" s="24" t="s">
        <v>120</v>
      </c>
      <c r="C868" s="26" t="s">
        <v>400</v>
      </c>
      <c r="D868" s="24" t="s">
        <v>16</v>
      </c>
      <c r="F868" s="24" t="s">
        <v>219</v>
      </c>
      <c r="G868" s="96">
        <v>2022</v>
      </c>
      <c r="H868" s="21">
        <v>15</v>
      </c>
      <c r="I868" s="21">
        <f t="shared" ca="1" si="72"/>
        <v>4</v>
      </c>
      <c r="J868" s="21">
        <v>3</v>
      </c>
      <c r="K868" s="25" t="str">
        <f t="shared" ca="1" si="69"/>
        <v>Activo</v>
      </c>
      <c r="L868" s="72"/>
      <c r="M868" s="72"/>
      <c r="O868" s="25" t="s">
        <v>221</v>
      </c>
      <c r="P868" s="25" t="s">
        <v>49</v>
      </c>
      <c r="Q868" s="34">
        <v>365</v>
      </c>
      <c r="R868" s="25" t="s">
        <v>64</v>
      </c>
      <c r="S868" s="28">
        <v>46198</v>
      </c>
      <c r="T868" s="28">
        <f t="shared" ref="T868:T931" si="73">+S868+Q868</f>
        <v>46563</v>
      </c>
      <c r="U868" s="25">
        <f t="shared" ca="1" si="70"/>
        <v>302</v>
      </c>
      <c r="V868" s="25" t="str">
        <f t="shared" ca="1" si="71"/>
        <v>AL DÍA</v>
      </c>
      <c r="W868" s="25" t="s">
        <v>24</v>
      </c>
      <c r="X868" s="25" t="s">
        <v>271</v>
      </c>
      <c r="Y868" s="25">
        <v>2</v>
      </c>
      <c r="Z868" s="1" t="s">
        <v>303</v>
      </c>
    </row>
    <row r="869" spans="1:26" ht="14.25" hidden="1" customHeight="1" x14ac:dyDescent="0.15">
      <c r="A869" s="24" t="s">
        <v>114</v>
      </c>
      <c r="B869" s="24" t="s">
        <v>120</v>
      </c>
      <c r="C869" s="25" t="s">
        <v>400</v>
      </c>
      <c r="D869" s="24" t="s">
        <v>16</v>
      </c>
      <c r="F869" s="24" t="s">
        <v>224</v>
      </c>
      <c r="G869" s="21">
        <v>2014</v>
      </c>
      <c r="H869" s="21">
        <v>0</v>
      </c>
      <c r="I869" s="21">
        <f t="shared" ca="1" si="72"/>
        <v>12</v>
      </c>
      <c r="J869" s="21">
        <v>3</v>
      </c>
      <c r="K869" s="25" t="str">
        <f t="shared" ca="1" si="69"/>
        <v>Activo</v>
      </c>
      <c r="Q869" s="34">
        <v>365</v>
      </c>
      <c r="R869" s="25" t="s">
        <v>64</v>
      </c>
      <c r="S869" s="28">
        <v>46198</v>
      </c>
      <c r="T869" s="28">
        <f t="shared" si="73"/>
        <v>46563</v>
      </c>
      <c r="U869" s="25">
        <f t="shared" ca="1" si="70"/>
        <v>302</v>
      </c>
      <c r="V869" s="25" t="str">
        <f t="shared" ca="1" si="71"/>
        <v>AL DÍA</v>
      </c>
      <c r="W869" s="25" t="s">
        <v>24</v>
      </c>
      <c r="X869" s="25" t="s">
        <v>271</v>
      </c>
      <c r="Y869" s="25">
        <v>2</v>
      </c>
    </row>
    <row r="870" spans="1:26" ht="14.25" hidden="1" customHeight="1" x14ac:dyDescent="0.15">
      <c r="A870" s="24" t="s">
        <v>114</v>
      </c>
      <c r="B870" s="24" t="s">
        <v>120</v>
      </c>
      <c r="C870" s="25" t="s">
        <v>400</v>
      </c>
      <c r="D870" s="24" t="s">
        <v>65</v>
      </c>
      <c r="F870" s="24" t="s">
        <v>220</v>
      </c>
      <c r="G870" s="21">
        <v>2014</v>
      </c>
      <c r="H870" s="21">
        <v>0</v>
      </c>
      <c r="I870" s="21">
        <f t="shared" ca="1" si="72"/>
        <v>12</v>
      </c>
      <c r="J870" s="21">
        <v>3</v>
      </c>
      <c r="K870" s="25" t="str">
        <f t="shared" ca="1" si="69"/>
        <v>Activo</v>
      </c>
      <c r="L870" s="25" t="s">
        <v>49</v>
      </c>
      <c r="O870" s="25" t="s">
        <v>222</v>
      </c>
      <c r="Q870" s="34">
        <v>365</v>
      </c>
      <c r="R870" s="25" t="s">
        <v>64</v>
      </c>
      <c r="S870" s="28">
        <v>46198</v>
      </c>
      <c r="T870" s="28">
        <f t="shared" si="73"/>
        <v>46563</v>
      </c>
      <c r="U870" s="25">
        <f t="shared" ca="1" si="70"/>
        <v>302</v>
      </c>
      <c r="V870" s="25" t="str">
        <f t="shared" ca="1" si="71"/>
        <v>AL DÍA</v>
      </c>
      <c r="W870" s="25" t="s">
        <v>24</v>
      </c>
      <c r="X870" s="25" t="s">
        <v>262</v>
      </c>
      <c r="Y870" s="25">
        <v>2</v>
      </c>
    </row>
    <row r="871" spans="1:26" ht="14.25" hidden="1" customHeight="1" x14ac:dyDescent="0.15">
      <c r="A871" s="24" t="s">
        <v>114</v>
      </c>
      <c r="B871" s="24" t="s">
        <v>120</v>
      </c>
      <c r="C871" s="25" t="s">
        <v>401</v>
      </c>
      <c r="D871" s="24" t="s">
        <v>65</v>
      </c>
      <c r="F871" s="24" t="s">
        <v>215</v>
      </c>
      <c r="G871" s="21">
        <v>2014</v>
      </c>
      <c r="H871" s="21">
        <v>0</v>
      </c>
      <c r="I871" s="21">
        <f t="shared" ca="1" si="72"/>
        <v>12</v>
      </c>
      <c r="J871" s="21">
        <v>3</v>
      </c>
      <c r="K871" s="25" t="str">
        <f t="shared" ca="1" si="69"/>
        <v>Activo</v>
      </c>
      <c r="L871" s="25" t="s">
        <v>49</v>
      </c>
      <c r="M871" s="25" t="s">
        <v>49</v>
      </c>
      <c r="N871" s="25" t="s">
        <v>49</v>
      </c>
      <c r="P871" s="25" t="s">
        <v>22</v>
      </c>
      <c r="Q871" s="34">
        <v>365</v>
      </c>
      <c r="R871" s="25" t="s">
        <v>64</v>
      </c>
      <c r="S871" s="28">
        <v>46198</v>
      </c>
      <c r="T871" s="28">
        <f t="shared" si="73"/>
        <v>46563</v>
      </c>
      <c r="U871" s="25">
        <f t="shared" ca="1" si="70"/>
        <v>302</v>
      </c>
      <c r="V871" s="25" t="str">
        <f t="shared" ca="1" si="71"/>
        <v>AL DÍA</v>
      </c>
      <c r="W871" s="25" t="s">
        <v>24</v>
      </c>
      <c r="X871" s="25" t="s">
        <v>277</v>
      </c>
      <c r="Y871" s="25">
        <v>2</v>
      </c>
      <c r="Z871" s="1" t="s">
        <v>284</v>
      </c>
    </row>
    <row r="872" spans="1:26" ht="14.25" hidden="1" customHeight="1" x14ac:dyDescent="0.15">
      <c r="A872" s="24" t="s">
        <v>114</v>
      </c>
      <c r="B872" s="24" t="s">
        <v>120</v>
      </c>
      <c r="C872" s="26" t="s">
        <v>401</v>
      </c>
      <c r="D872" s="24" t="s">
        <v>65</v>
      </c>
      <c r="F872" s="24" t="s">
        <v>217</v>
      </c>
      <c r="G872" s="21">
        <v>2014</v>
      </c>
      <c r="H872" s="21">
        <v>0</v>
      </c>
      <c r="I872" s="21">
        <f t="shared" ca="1" si="72"/>
        <v>12</v>
      </c>
      <c r="J872" s="21">
        <v>3</v>
      </c>
      <c r="K872" s="25" t="str">
        <f t="shared" ca="1" si="69"/>
        <v>Activo</v>
      </c>
      <c r="L872" s="25" t="s">
        <v>49</v>
      </c>
      <c r="O872" s="25">
        <v>62.64</v>
      </c>
      <c r="Q872" s="34">
        <v>365</v>
      </c>
      <c r="R872" s="25" t="s">
        <v>64</v>
      </c>
      <c r="S872" s="28">
        <v>46198</v>
      </c>
      <c r="T872" s="28">
        <f t="shared" si="73"/>
        <v>46563</v>
      </c>
      <c r="U872" s="25">
        <f t="shared" ca="1" si="70"/>
        <v>302</v>
      </c>
      <c r="V872" s="25" t="str">
        <f t="shared" ca="1" si="71"/>
        <v>AL DÍA</v>
      </c>
      <c r="W872" s="25" t="s">
        <v>24</v>
      </c>
      <c r="X872" s="25" t="s">
        <v>262</v>
      </c>
      <c r="Y872" s="25">
        <v>2</v>
      </c>
    </row>
    <row r="873" spans="1:26" ht="14.25" hidden="1" customHeight="1" x14ac:dyDescent="0.15">
      <c r="A873" s="24" t="s">
        <v>114</v>
      </c>
      <c r="B873" s="24" t="s">
        <v>120</v>
      </c>
      <c r="C873" s="26" t="s">
        <v>401</v>
      </c>
      <c r="D873" s="24" t="s">
        <v>65</v>
      </c>
      <c r="F873" s="24" t="s">
        <v>218</v>
      </c>
      <c r="G873" s="21">
        <v>2014</v>
      </c>
      <c r="H873" s="21">
        <v>0</v>
      </c>
      <c r="I873" s="21">
        <f t="shared" ca="1" si="72"/>
        <v>12</v>
      </c>
      <c r="J873" s="21">
        <v>3</v>
      </c>
      <c r="K873" s="25" t="str">
        <f t="shared" ca="1" si="69"/>
        <v>Activo</v>
      </c>
      <c r="L873" s="25" t="s">
        <v>49</v>
      </c>
      <c r="O873" s="25" t="s">
        <v>227</v>
      </c>
      <c r="Q873" s="34">
        <v>365</v>
      </c>
      <c r="R873" s="25" t="s">
        <v>64</v>
      </c>
      <c r="S873" s="28">
        <v>46198</v>
      </c>
      <c r="T873" s="28">
        <f t="shared" si="73"/>
        <v>46563</v>
      </c>
      <c r="U873" s="25">
        <f t="shared" ca="1" si="70"/>
        <v>302</v>
      </c>
      <c r="V873" s="25" t="str">
        <f t="shared" ca="1" si="71"/>
        <v>AL DÍA</v>
      </c>
      <c r="W873" s="25" t="s">
        <v>24</v>
      </c>
      <c r="X873" s="25" t="s">
        <v>262</v>
      </c>
      <c r="Y873" s="25">
        <v>2</v>
      </c>
    </row>
    <row r="874" spans="1:26" ht="14.25" hidden="1" customHeight="1" x14ac:dyDescent="0.15">
      <c r="A874" s="24" t="s">
        <v>114</v>
      </c>
      <c r="B874" s="24" t="s">
        <v>120</v>
      </c>
      <c r="C874" s="26" t="s">
        <v>401</v>
      </c>
      <c r="D874" s="24" t="s">
        <v>16</v>
      </c>
      <c r="F874" s="24" t="s">
        <v>219</v>
      </c>
      <c r="G874" s="96">
        <v>2022</v>
      </c>
      <c r="H874" s="21">
        <v>15</v>
      </c>
      <c r="I874" s="21">
        <f t="shared" ca="1" si="72"/>
        <v>4</v>
      </c>
      <c r="J874" s="21">
        <v>3</v>
      </c>
      <c r="K874" s="25" t="str">
        <f t="shared" ca="1" si="69"/>
        <v>Activo</v>
      </c>
      <c r="L874" s="72"/>
      <c r="M874" s="72"/>
      <c r="O874" s="25" t="s">
        <v>221</v>
      </c>
      <c r="P874" s="25" t="s">
        <v>49</v>
      </c>
      <c r="Q874" s="34">
        <v>365</v>
      </c>
      <c r="R874" s="25" t="s">
        <v>64</v>
      </c>
      <c r="S874" s="28">
        <v>46198</v>
      </c>
      <c r="T874" s="28">
        <f t="shared" si="73"/>
        <v>46563</v>
      </c>
      <c r="U874" s="25">
        <f t="shared" ca="1" si="70"/>
        <v>302</v>
      </c>
      <c r="V874" s="25" t="str">
        <f t="shared" ca="1" si="71"/>
        <v>AL DÍA</v>
      </c>
      <c r="W874" s="25" t="s">
        <v>24</v>
      </c>
      <c r="X874" s="25" t="s">
        <v>271</v>
      </c>
      <c r="Y874" s="25">
        <v>2</v>
      </c>
      <c r="Z874" s="1" t="s">
        <v>303</v>
      </c>
    </row>
    <row r="875" spans="1:26" ht="14.25" hidden="1" customHeight="1" x14ac:dyDescent="0.15">
      <c r="A875" s="24" t="s">
        <v>114</v>
      </c>
      <c r="B875" s="24" t="s">
        <v>120</v>
      </c>
      <c r="C875" s="26" t="s">
        <v>401</v>
      </c>
      <c r="D875" s="24" t="s">
        <v>16</v>
      </c>
      <c r="F875" s="24" t="s">
        <v>224</v>
      </c>
      <c r="G875" s="21">
        <v>2014</v>
      </c>
      <c r="H875" s="21">
        <v>0</v>
      </c>
      <c r="I875" s="21">
        <f t="shared" ca="1" si="72"/>
        <v>12</v>
      </c>
      <c r="J875" s="21">
        <v>3</v>
      </c>
      <c r="K875" s="25" t="str">
        <f t="shared" ca="1" si="69"/>
        <v>Activo</v>
      </c>
      <c r="Q875" s="34">
        <v>365</v>
      </c>
      <c r="R875" s="25" t="s">
        <v>64</v>
      </c>
      <c r="S875" s="28">
        <v>46198</v>
      </c>
      <c r="T875" s="28">
        <f t="shared" si="73"/>
        <v>46563</v>
      </c>
      <c r="U875" s="25">
        <f t="shared" ca="1" si="70"/>
        <v>302</v>
      </c>
      <c r="V875" s="25" t="str">
        <f t="shared" ca="1" si="71"/>
        <v>AL DÍA</v>
      </c>
      <c r="W875" s="25" t="s">
        <v>24</v>
      </c>
      <c r="X875" s="25" t="s">
        <v>271</v>
      </c>
      <c r="Y875" s="25">
        <v>2</v>
      </c>
    </row>
    <row r="876" spans="1:26" ht="14.25" hidden="1" customHeight="1" x14ac:dyDescent="0.15">
      <c r="A876" s="24" t="s">
        <v>114</v>
      </c>
      <c r="B876" s="24" t="s">
        <v>120</v>
      </c>
      <c r="C876" s="26" t="s">
        <v>401</v>
      </c>
      <c r="D876" s="24" t="s">
        <v>65</v>
      </c>
      <c r="F876" s="24" t="s">
        <v>220</v>
      </c>
      <c r="G876" s="21">
        <v>2014</v>
      </c>
      <c r="H876" s="21">
        <v>0</v>
      </c>
      <c r="I876" s="21">
        <f t="shared" ca="1" si="72"/>
        <v>12</v>
      </c>
      <c r="J876" s="21">
        <v>3</v>
      </c>
      <c r="K876" s="25" t="str">
        <f t="shared" ca="1" si="69"/>
        <v>Activo</v>
      </c>
      <c r="L876" s="25" t="s">
        <v>49</v>
      </c>
      <c r="O876" s="25" t="s">
        <v>222</v>
      </c>
      <c r="Q876" s="34">
        <v>365</v>
      </c>
      <c r="R876" s="25" t="s">
        <v>64</v>
      </c>
      <c r="S876" s="28">
        <v>46198</v>
      </c>
      <c r="T876" s="28">
        <f t="shared" si="73"/>
        <v>46563</v>
      </c>
      <c r="U876" s="25">
        <f t="shared" ca="1" si="70"/>
        <v>302</v>
      </c>
      <c r="V876" s="25" t="str">
        <f t="shared" ca="1" si="71"/>
        <v>AL DÍA</v>
      </c>
      <c r="W876" s="25" t="s">
        <v>24</v>
      </c>
      <c r="X876" s="25" t="s">
        <v>262</v>
      </c>
      <c r="Y876" s="25">
        <v>2</v>
      </c>
    </row>
    <row r="877" spans="1:26" ht="14.25" hidden="1" customHeight="1" x14ac:dyDescent="0.15">
      <c r="A877" s="24" t="s">
        <v>114</v>
      </c>
      <c r="B877" s="24" t="s">
        <v>120</v>
      </c>
      <c r="C877" s="26" t="s">
        <v>402</v>
      </c>
      <c r="D877" s="24" t="s">
        <v>65</v>
      </c>
      <c r="F877" s="24" t="s">
        <v>215</v>
      </c>
      <c r="G877" s="21">
        <v>2014</v>
      </c>
      <c r="H877" s="21">
        <v>0</v>
      </c>
      <c r="I877" s="21">
        <f t="shared" ca="1" si="72"/>
        <v>12</v>
      </c>
      <c r="J877" s="21">
        <v>3</v>
      </c>
      <c r="K877" s="25" t="str">
        <f t="shared" ca="1" si="69"/>
        <v>Activo</v>
      </c>
      <c r="L877" s="25" t="s">
        <v>49</v>
      </c>
      <c r="M877" s="25" t="s">
        <v>49</v>
      </c>
      <c r="N877" s="25" t="s">
        <v>49</v>
      </c>
      <c r="P877" s="25" t="s">
        <v>22</v>
      </c>
      <c r="Q877" s="34">
        <v>365</v>
      </c>
      <c r="R877" s="25" t="s">
        <v>64</v>
      </c>
      <c r="S877" s="28">
        <v>46198</v>
      </c>
      <c r="T877" s="28">
        <f t="shared" si="73"/>
        <v>46563</v>
      </c>
      <c r="U877" s="25">
        <f t="shared" ca="1" si="70"/>
        <v>302</v>
      </c>
      <c r="V877" s="25" t="str">
        <f t="shared" ca="1" si="71"/>
        <v>AL DÍA</v>
      </c>
      <c r="W877" s="25" t="s">
        <v>24</v>
      </c>
      <c r="X877" s="25" t="s">
        <v>277</v>
      </c>
      <c r="Y877" s="25">
        <v>2</v>
      </c>
      <c r="Z877" s="1" t="s">
        <v>284</v>
      </c>
    </row>
    <row r="878" spans="1:26" ht="14.25" hidden="1" customHeight="1" x14ac:dyDescent="0.15">
      <c r="A878" s="24" t="s">
        <v>114</v>
      </c>
      <c r="B878" s="24" t="s">
        <v>120</v>
      </c>
      <c r="C878" s="26" t="s">
        <v>402</v>
      </c>
      <c r="D878" s="24" t="s">
        <v>65</v>
      </c>
      <c r="F878" s="24" t="s">
        <v>217</v>
      </c>
      <c r="G878" s="21">
        <v>2014</v>
      </c>
      <c r="H878" s="21">
        <v>0</v>
      </c>
      <c r="I878" s="21">
        <f t="shared" ca="1" si="72"/>
        <v>12</v>
      </c>
      <c r="J878" s="21">
        <v>3</v>
      </c>
      <c r="K878" s="25" t="str">
        <f t="shared" ca="1" si="69"/>
        <v>Activo</v>
      </c>
      <c r="L878" s="25" t="s">
        <v>49</v>
      </c>
      <c r="O878" s="25">
        <v>62.64</v>
      </c>
      <c r="Q878" s="34">
        <v>365</v>
      </c>
      <c r="R878" s="25" t="s">
        <v>64</v>
      </c>
      <c r="S878" s="28">
        <v>46198</v>
      </c>
      <c r="T878" s="28">
        <f t="shared" si="73"/>
        <v>46563</v>
      </c>
      <c r="U878" s="25">
        <f t="shared" ca="1" si="70"/>
        <v>302</v>
      </c>
      <c r="V878" s="25" t="str">
        <f t="shared" ca="1" si="71"/>
        <v>AL DÍA</v>
      </c>
      <c r="W878" s="25" t="s">
        <v>24</v>
      </c>
      <c r="X878" s="25" t="s">
        <v>262</v>
      </c>
      <c r="Y878" s="25">
        <v>2</v>
      </c>
    </row>
    <row r="879" spans="1:26" ht="14.25" hidden="1" customHeight="1" x14ac:dyDescent="0.15">
      <c r="A879" s="24" t="s">
        <v>114</v>
      </c>
      <c r="B879" s="24" t="s">
        <v>120</v>
      </c>
      <c r="C879" s="26" t="s">
        <v>402</v>
      </c>
      <c r="D879" s="24" t="s">
        <v>65</v>
      </c>
      <c r="F879" s="24" t="s">
        <v>218</v>
      </c>
      <c r="G879" s="21">
        <v>2014</v>
      </c>
      <c r="H879" s="21">
        <v>0</v>
      </c>
      <c r="I879" s="21">
        <f t="shared" ca="1" si="72"/>
        <v>12</v>
      </c>
      <c r="J879" s="21">
        <v>3</v>
      </c>
      <c r="K879" s="25" t="str">
        <f t="shared" ca="1" si="69"/>
        <v>Activo</v>
      </c>
      <c r="L879" s="25" t="s">
        <v>49</v>
      </c>
      <c r="O879" s="25" t="s">
        <v>227</v>
      </c>
      <c r="Q879" s="34">
        <v>365</v>
      </c>
      <c r="R879" s="25" t="s">
        <v>64</v>
      </c>
      <c r="S879" s="28">
        <v>46198</v>
      </c>
      <c r="T879" s="28">
        <f t="shared" si="73"/>
        <v>46563</v>
      </c>
      <c r="U879" s="25">
        <f t="shared" ca="1" si="70"/>
        <v>302</v>
      </c>
      <c r="V879" s="25" t="str">
        <f t="shared" ca="1" si="71"/>
        <v>AL DÍA</v>
      </c>
      <c r="W879" s="25" t="s">
        <v>24</v>
      </c>
      <c r="X879" s="25" t="s">
        <v>262</v>
      </c>
      <c r="Y879" s="25">
        <v>2</v>
      </c>
    </row>
    <row r="880" spans="1:26" ht="14.25" hidden="1" customHeight="1" x14ac:dyDescent="0.15">
      <c r="A880" s="24" t="s">
        <v>114</v>
      </c>
      <c r="B880" s="24" t="s">
        <v>120</v>
      </c>
      <c r="C880" s="26" t="s">
        <v>402</v>
      </c>
      <c r="D880" s="24" t="s">
        <v>16</v>
      </c>
      <c r="F880" s="24" t="s">
        <v>219</v>
      </c>
      <c r="G880" s="96">
        <v>2022</v>
      </c>
      <c r="H880" s="21">
        <v>15</v>
      </c>
      <c r="I880" s="21">
        <f t="shared" ca="1" si="72"/>
        <v>4</v>
      </c>
      <c r="J880" s="21">
        <v>3</v>
      </c>
      <c r="K880" s="25" t="str">
        <f t="shared" ca="1" si="69"/>
        <v>Activo</v>
      </c>
      <c r="L880" s="72"/>
      <c r="M880" s="72"/>
      <c r="O880" s="25" t="s">
        <v>221</v>
      </c>
      <c r="P880" s="25" t="s">
        <v>49</v>
      </c>
      <c r="Q880" s="34">
        <v>365</v>
      </c>
      <c r="R880" s="25" t="s">
        <v>64</v>
      </c>
      <c r="S880" s="28">
        <v>46198</v>
      </c>
      <c r="T880" s="28">
        <f t="shared" si="73"/>
        <v>46563</v>
      </c>
      <c r="U880" s="25">
        <f t="shared" ca="1" si="70"/>
        <v>302</v>
      </c>
      <c r="V880" s="25" t="str">
        <f t="shared" ca="1" si="71"/>
        <v>AL DÍA</v>
      </c>
      <c r="W880" s="25" t="s">
        <v>24</v>
      </c>
      <c r="X880" s="25" t="s">
        <v>271</v>
      </c>
      <c r="Y880" s="25">
        <v>2</v>
      </c>
      <c r="Z880" s="1" t="s">
        <v>303</v>
      </c>
    </row>
    <row r="881" spans="1:26" ht="14.25" hidden="1" customHeight="1" x14ac:dyDescent="0.15">
      <c r="A881" s="24" t="s">
        <v>114</v>
      </c>
      <c r="B881" s="24" t="s">
        <v>120</v>
      </c>
      <c r="C881" s="26" t="s">
        <v>402</v>
      </c>
      <c r="D881" s="24" t="s">
        <v>16</v>
      </c>
      <c r="F881" s="24" t="s">
        <v>224</v>
      </c>
      <c r="G881" s="21">
        <v>2014</v>
      </c>
      <c r="H881" s="21">
        <v>0</v>
      </c>
      <c r="I881" s="21">
        <f t="shared" ca="1" si="72"/>
        <v>12</v>
      </c>
      <c r="J881" s="21">
        <v>3</v>
      </c>
      <c r="K881" s="25" t="str">
        <f t="shared" ca="1" si="69"/>
        <v>Activo</v>
      </c>
      <c r="Q881" s="34">
        <v>365</v>
      </c>
      <c r="R881" s="25" t="s">
        <v>64</v>
      </c>
      <c r="S881" s="28">
        <v>46198</v>
      </c>
      <c r="T881" s="28">
        <f t="shared" si="73"/>
        <v>46563</v>
      </c>
      <c r="U881" s="25">
        <f t="shared" ca="1" si="70"/>
        <v>302</v>
      </c>
      <c r="V881" s="25" t="str">
        <f t="shared" ca="1" si="71"/>
        <v>AL DÍA</v>
      </c>
      <c r="W881" s="25" t="s">
        <v>24</v>
      </c>
      <c r="X881" s="25" t="s">
        <v>271</v>
      </c>
      <c r="Y881" s="25">
        <v>2</v>
      </c>
    </row>
    <row r="882" spans="1:26" ht="14.25" hidden="1" customHeight="1" x14ac:dyDescent="0.15">
      <c r="A882" s="24" t="s">
        <v>114</v>
      </c>
      <c r="B882" s="24" t="s">
        <v>120</v>
      </c>
      <c r="C882" s="26" t="s">
        <v>402</v>
      </c>
      <c r="D882" s="24" t="s">
        <v>65</v>
      </c>
      <c r="F882" s="24" t="s">
        <v>220</v>
      </c>
      <c r="G882" s="21">
        <v>2014</v>
      </c>
      <c r="H882" s="21">
        <v>0</v>
      </c>
      <c r="I882" s="21">
        <f t="shared" ca="1" si="72"/>
        <v>12</v>
      </c>
      <c r="J882" s="21">
        <v>3</v>
      </c>
      <c r="K882" s="25" t="str">
        <f t="shared" ca="1" si="69"/>
        <v>Activo</v>
      </c>
      <c r="L882" s="25" t="s">
        <v>49</v>
      </c>
      <c r="O882" s="25" t="s">
        <v>222</v>
      </c>
      <c r="Q882" s="34">
        <v>365</v>
      </c>
      <c r="R882" s="25" t="s">
        <v>64</v>
      </c>
      <c r="S882" s="28">
        <v>46198</v>
      </c>
      <c r="T882" s="28">
        <f t="shared" si="73"/>
        <v>46563</v>
      </c>
      <c r="U882" s="25">
        <f t="shared" ca="1" si="70"/>
        <v>302</v>
      </c>
      <c r="V882" s="25" t="str">
        <f t="shared" ca="1" si="71"/>
        <v>AL DÍA</v>
      </c>
      <c r="W882" s="25" t="s">
        <v>24</v>
      </c>
      <c r="X882" s="25" t="s">
        <v>262</v>
      </c>
      <c r="Y882" s="25">
        <v>2</v>
      </c>
    </row>
    <row r="883" spans="1:26" ht="14.25" hidden="1" customHeight="1" x14ac:dyDescent="0.15">
      <c r="A883" s="24" t="s">
        <v>114</v>
      </c>
      <c r="B883" s="24" t="s">
        <v>120</v>
      </c>
      <c r="C883" s="26" t="s">
        <v>403</v>
      </c>
      <c r="D883" s="24" t="s">
        <v>65</v>
      </c>
      <c r="F883" s="24" t="s">
        <v>215</v>
      </c>
      <c r="G883" s="21">
        <v>2014</v>
      </c>
      <c r="H883" s="21">
        <v>0</v>
      </c>
      <c r="I883" s="21">
        <f t="shared" ca="1" si="72"/>
        <v>12</v>
      </c>
      <c r="J883" s="21">
        <v>3</v>
      </c>
      <c r="K883" s="25" t="str">
        <f t="shared" ca="1" si="69"/>
        <v>Activo</v>
      </c>
      <c r="L883" s="25" t="s">
        <v>49</v>
      </c>
      <c r="M883" s="25" t="s">
        <v>49</v>
      </c>
      <c r="N883" s="25" t="s">
        <v>49</v>
      </c>
      <c r="P883" s="25" t="s">
        <v>22</v>
      </c>
      <c r="Q883" s="34">
        <v>365</v>
      </c>
      <c r="R883" s="25" t="s">
        <v>64</v>
      </c>
      <c r="S883" s="28">
        <v>46198</v>
      </c>
      <c r="T883" s="28">
        <f t="shared" si="73"/>
        <v>46563</v>
      </c>
      <c r="U883" s="25">
        <f t="shared" ca="1" si="70"/>
        <v>302</v>
      </c>
      <c r="V883" s="25" t="str">
        <f t="shared" ca="1" si="71"/>
        <v>AL DÍA</v>
      </c>
      <c r="W883" s="25" t="s">
        <v>24</v>
      </c>
      <c r="X883" s="25" t="s">
        <v>277</v>
      </c>
      <c r="Y883" s="25">
        <v>2</v>
      </c>
      <c r="Z883" s="1" t="s">
        <v>284</v>
      </c>
    </row>
    <row r="884" spans="1:26" ht="14.25" hidden="1" customHeight="1" x14ac:dyDescent="0.15">
      <c r="A884" s="24" t="s">
        <v>114</v>
      </c>
      <c r="B884" s="24" t="s">
        <v>120</v>
      </c>
      <c r="C884" s="26" t="s">
        <v>403</v>
      </c>
      <c r="D884" s="24" t="s">
        <v>65</v>
      </c>
      <c r="F884" s="24" t="s">
        <v>217</v>
      </c>
      <c r="G884" s="21">
        <v>2014</v>
      </c>
      <c r="H884" s="21">
        <v>0</v>
      </c>
      <c r="I884" s="21">
        <f t="shared" ca="1" si="72"/>
        <v>12</v>
      </c>
      <c r="J884" s="21">
        <v>3</v>
      </c>
      <c r="K884" s="25" t="str">
        <f t="shared" ca="1" si="69"/>
        <v>Activo</v>
      </c>
      <c r="L884" s="25" t="s">
        <v>49</v>
      </c>
      <c r="O884" s="25">
        <v>62.64</v>
      </c>
      <c r="Q884" s="34">
        <v>365</v>
      </c>
      <c r="R884" s="25" t="s">
        <v>64</v>
      </c>
      <c r="S884" s="28">
        <v>46198</v>
      </c>
      <c r="T884" s="28">
        <f t="shared" si="73"/>
        <v>46563</v>
      </c>
      <c r="U884" s="25">
        <f t="shared" ca="1" si="70"/>
        <v>302</v>
      </c>
      <c r="V884" s="25" t="str">
        <f t="shared" ca="1" si="71"/>
        <v>AL DÍA</v>
      </c>
      <c r="W884" s="25" t="s">
        <v>24</v>
      </c>
      <c r="X884" s="25" t="s">
        <v>262</v>
      </c>
      <c r="Y884" s="25">
        <v>2</v>
      </c>
    </row>
    <row r="885" spans="1:26" ht="14.25" hidden="1" customHeight="1" x14ac:dyDescent="0.15">
      <c r="A885" s="24" t="s">
        <v>114</v>
      </c>
      <c r="B885" s="24" t="s">
        <v>120</v>
      </c>
      <c r="C885" s="25" t="s">
        <v>403</v>
      </c>
      <c r="D885" s="24" t="s">
        <v>65</v>
      </c>
      <c r="F885" s="24" t="s">
        <v>218</v>
      </c>
      <c r="G885" s="21">
        <v>2014</v>
      </c>
      <c r="H885" s="21">
        <v>0</v>
      </c>
      <c r="I885" s="21">
        <f t="shared" ca="1" si="72"/>
        <v>12</v>
      </c>
      <c r="J885" s="21">
        <v>3</v>
      </c>
      <c r="K885" s="25" t="str">
        <f t="shared" ca="1" si="69"/>
        <v>Activo</v>
      </c>
      <c r="L885" s="25" t="s">
        <v>49</v>
      </c>
      <c r="N885" s="26"/>
      <c r="O885" s="25" t="s">
        <v>227</v>
      </c>
      <c r="P885" s="26"/>
      <c r="Q885" s="34">
        <v>365</v>
      </c>
      <c r="R885" s="25" t="s">
        <v>64</v>
      </c>
      <c r="S885" s="28">
        <v>46198</v>
      </c>
      <c r="T885" s="28">
        <f t="shared" si="73"/>
        <v>46563</v>
      </c>
      <c r="U885" s="25">
        <f t="shared" ca="1" si="70"/>
        <v>302</v>
      </c>
      <c r="V885" s="25" t="str">
        <f t="shared" ca="1" si="71"/>
        <v>AL DÍA</v>
      </c>
      <c r="W885" s="25" t="s">
        <v>24</v>
      </c>
      <c r="X885" s="25" t="s">
        <v>262</v>
      </c>
      <c r="Y885" s="25">
        <v>2</v>
      </c>
    </row>
    <row r="886" spans="1:26" ht="14.25" hidden="1" customHeight="1" x14ac:dyDescent="0.15">
      <c r="A886" s="24" t="s">
        <v>114</v>
      </c>
      <c r="B886" s="24" t="s">
        <v>120</v>
      </c>
      <c r="C886" s="25" t="s">
        <v>403</v>
      </c>
      <c r="D886" s="24" t="s">
        <v>16</v>
      </c>
      <c r="F886" s="24" t="s">
        <v>219</v>
      </c>
      <c r="G886" s="96">
        <v>2022</v>
      </c>
      <c r="H886" s="21">
        <v>15</v>
      </c>
      <c r="I886" s="21">
        <f t="shared" ca="1" si="72"/>
        <v>4</v>
      </c>
      <c r="J886" s="21">
        <v>3</v>
      </c>
      <c r="K886" s="25" t="str">
        <f t="shared" ca="1" si="69"/>
        <v>Activo</v>
      </c>
      <c r="L886" s="72"/>
      <c r="M886" s="72"/>
      <c r="O886" s="25" t="s">
        <v>221</v>
      </c>
      <c r="P886" s="26" t="s">
        <v>49</v>
      </c>
      <c r="Q886" s="34">
        <v>365</v>
      </c>
      <c r="R886" s="25" t="s">
        <v>64</v>
      </c>
      <c r="S886" s="28">
        <v>46198</v>
      </c>
      <c r="T886" s="28">
        <f t="shared" si="73"/>
        <v>46563</v>
      </c>
      <c r="U886" s="25">
        <f t="shared" ca="1" si="70"/>
        <v>302</v>
      </c>
      <c r="V886" s="25" t="str">
        <f t="shared" ca="1" si="71"/>
        <v>AL DÍA</v>
      </c>
      <c r="W886" s="25" t="s">
        <v>24</v>
      </c>
      <c r="X886" s="25" t="s">
        <v>271</v>
      </c>
      <c r="Y886" s="25">
        <v>2</v>
      </c>
      <c r="Z886" s="1" t="s">
        <v>303</v>
      </c>
    </row>
    <row r="887" spans="1:26" ht="14.25" hidden="1" customHeight="1" x14ac:dyDescent="0.15">
      <c r="A887" s="24" t="s">
        <v>114</v>
      </c>
      <c r="B887" s="24" t="s">
        <v>120</v>
      </c>
      <c r="C887" s="25" t="s">
        <v>403</v>
      </c>
      <c r="D887" s="24" t="s">
        <v>16</v>
      </c>
      <c r="F887" s="24" t="s">
        <v>224</v>
      </c>
      <c r="G887" s="21">
        <v>2014</v>
      </c>
      <c r="H887" s="21">
        <v>0</v>
      </c>
      <c r="I887" s="21">
        <f t="shared" ca="1" si="72"/>
        <v>12</v>
      </c>
      <c r="J887" s="21">
        <v>3</v>
      </c>
      <c r="K887" s="25" t="str">
        <f t="shared" ca="1" si="69"/>
        <v>Activo</v>
      </c>
      <c r="P887" s="26"/>
      <c r="Q887" s="34">
        <v>365</v>
      </c>
      <c r="R887" s="25" t="s">
        <v>64</v>
      </c>
      <c r="S887" s="28">
        <v>46198</v>
      </c>
      <c r="T887" s="28">
        <f t="shared" si="73"/>
        <v>46563</v>
      </c>
      <c r="U887" s="25">
        <f t="shared" ca="1" si="70"/>
        <v>302</v>
      </c>
      <c r="V887" s="25" t="str">
        <f t="shared" ca="1" si="71"/>
        <v>AL DÍA</v>
      </c>
      <c r="W887" s="25" t="s">
        <v>24</v>
      </c>
      <c r="X887" s="25" t="s">
        <v>271</v>
      </c>
      <c r="Y887" s="25">
        <v>2</v>
      </c>
    </row>
    <row r="888" spans="1:26" ht="14.25" hidden="1" customHeight="1" x14ac:dyDescent="0.15">
      <c r="A888" s="24" t="s">
        <v>114</v>
      </c>
      <c r="B888" s="24" t="s">
        <v>120</v>
      </c>
      <c r="C888" s="25" t="s">
        <v>403</v>
      </c>
      <c r="D888" s="24" t="s">
        <v>65</v>
      </c>
      <c r="F888" s="24" t="s">
        <v>220</v>
      </c>
      <c r="G888" s="21">
        <v>2014</v>
      </c>
      <c r="H888" s="21">
        <v>0</v>
      </c>
      <c r="I888" s="21">
        <f t="shared" ca="1" si="72"/>
        <v>12</v>
      </c>
      <c r="J888" s="21">
        <v>3</v>
      </c>
      <c r="K888" s="25" t="str">
        <f t="shared" ca="1" si="69"/>
        <v>Activo</v>
      </c>
      <c r="L888" s="25" t="s">
        <v>49</v>
      </c>
      <c r="O888" s="25" t="s">
        <v>222</v>
      </c>
      <c r="P888" s="26"/>
      <c r="Q888" s="34">
        <v>365</v>
      </c>
      <c r="R888" s="25" t="s">
        <v>64</v>
      </c>
      <c r="S888" s="28">
        <v>46198</v>
      </c>
      <c r="T888" s="28">
        <f t="shared" si="73"/>
        <v>46563</v>
      </c>
      <c r="U888" s="25">
        <f t="shared" ca="1" si="70"/>
        <v>302</v>
      </c>
      <c r="V888" s="25" t="str">
        <f t="shared" ca="1" si="71"/>
        <v>AL DÍA</v>
      </c>
      <c r="W888" s="25" t="s">
        <v>24</v>
      </c>
      <c r="X888" s="25" t="s">
        <v>262</v>
      </c>
      <c r="Y888" s="25">
        <v>2</v>
      </c>
    </row>
    <row r="889" spans="1:26" ht="14.25" hidden="1" customHeight="1" x14ac:dyDescent="0.15">
      <c r="A889" s="24" t="s">
        <v>114</v>
      </c>
      <c r="B889" s="24" t="s">
        <v>120</v>
      </c>
      <c r="C889" s="26" t="s">
        <v>404</v>
      </c>
      <c r="D889" s="24" t="s">
        <v>65</v>
      </c>
      <c r="F889" s="24" t="s">
        <v>215</v>
      </c>
      <c r="G889" s="21">
        <v>2014</v>
      </c>
      <c r="H889" s="21">
        <v>0</v>
      </c>
      <c r="I889" s="21">
        <f t="shared" ca="1" si="72"/>
        <v>12</v>
      </c>
      <c r="J889" s="21">
        <v>3</v>
      </c>
      <c r="K889" s="25" t="str">
        <f t="shared" ca="1" si="69"/>
        <v>Activo</v>
      </c>
      <c r="L889" s="25" t="s">
        <v>49</v>
      </c>
      <c r="M889" s="25" t="s">
        <v>49</v>
      </c>
      <c r="N889" s="25" t="s">
        <v>49</v>
      </c>
      <c r="P889" s="25" t="s">
        <v>22</v>
      </c>
      <c r="Q889" s="34">
        <v>365</v>
      </c>
      <c r="R889" s="25" t="s">
        <v>64</v>
      </c>
      <c r="S889" s="28">
        <v>46198</v>
      </c>
      <c r="T889" s="28">
        <f t="shared" si="73"/>
        <v>46563</v>
      </c>
      <c r="U889" s="25">
        <f t="shared" ca="1" si="70"/>
        <v>302</v>
      </c>
      <c r="V889" s="25" t="str">
        <f t="shared" ca="1" si="71"/>
        <v>AL DÍA</v>
      </c>
      <c r="W889" s="25" t="s">
        <v>24</v>
      </c>
      <c r="X889" s="25" t="s">
        <v>277</v>
      </c>
      <c r="Y889" s="25">
        <v>2</v>
      </c>
      <c r="Z889" s="1" t="s">
        <v>284</v>
      </c>
    </row>
    <row r="890" spans="1:26" ht="14.25" hidden="1" customHeight="1" x14ac:dyDescent="0.15">
      <c r="A890" s="24" t="s">
        <v>114</v>
      </c>
      <c r="B890" s="24" t="s">
        <v>120</v>
      </c>
      <c r="C890" s="25" t="s">
        <v>404</v>
      </c>
      <c r="D890" s="24" t="s">
        <v>65</v>
      </c>
      <c r="F890" s="24" t="s">
        <v>217</v>
      </c>
      <c r="G890" s="21">
        <v>2014</v>
      </c>
      <c r="H890" s="21">
        <v>0</v>
      </c>
      <c r="I890" s="21">
        <f t="shared" ca="1" si="72"/>
        <v>12</v>
      </c>
      <c r="J890" s="21">
        <v>3</v>
      </c>
      <c r="K890" s="25" t="str">
        <f t="shared" ca="1" si="69"/>
        <v>Activo</v>
      </c>
      <c r="L890" s="25" t="s">
        <v>49</v>
      </c>
      <c r="O890" s="25">
        <v>62.64</v>
      </c>
      <c r="P890" s="26"/>
      <c r="Q890" s="34">
        <v>365</v>
      </c>
      <c r="R890" s="25" t="s">
        <v>64</v>
      </c>
      <c r="S890" s="28">
        <v>46198</v>
      </c>
      <c r="T890" s="28">
        <f t="shared" si="73"/>
        <v>46563</v>
      </c>
      <c r="U890" s="25">
        <f t="shared" ca="1" si="70"/>
        <v>302</v>
      </c>
      <c r="V890" s="25" t="str">
        <f t="shared" ca="1" si="71"/>
        <v>AL DÍA</v>
      </c>
      <c r="W890" s="25" t="s">
        <v>24</v>
      </c>
      <c r="X890" s="25" t="s">
        <v>262</v>
      </c>
      <c r="Y890" s="25">
        <v>2</v>
      </c>
    </row>
    <row r="891" spans="1:26" ht="14.25" hidden="1" customHeight="1" x14ac:dyDescent="0.15">
      <c r="A891" s="24" t="s">
        <v>114</v>
      </c>
      <c r="B891" s="24" t="s">
        <v>120</v>
      </c>
      <c r="C891" s="25" t="s">
        <v>404</v>
      </c>
      <c r="D891" s="24" t="s">
        <v>65</v>
      </c>
      <c r="F891" s="24" t="s">
        <v>218</v>
      </c>
      <c r="G891" s="21">
        <v>2014</v>
      </c>
      <c r="H891" s="21">
        <v>0</v>
      </c>
      <c r="I891" s="21">
        <f t="shared" ca="1" si="72"/>
        <v>12</v>
      </c>
      <c r="J891" s="21">
        <v>3</v>
      </c>
      <c r="K891" s="25" t="str">
        <f t="shared" ca="1" si="69"/>
        <v>Activo</v>
      </c>
      <c r="L891" s="25" t="s">
        <v>49</v>
      </c>
      <c r="O891" s="25" t="s">
        <v>227</v>
      </c>
      <c r="P891" s="26"/>
      <c r="Q891" s="34">
        <v>365</v>
      </c>
      <c r="R891" s="25" t="s">
        <v>64</v>
      </c>
      <c r="S891" s="28">
        <v>46198</v>
      </c>
      <c r="T891" s="28">
        <f t="shared" si="73"/>
        <v>46563</v>
      </c>
      <c r="U891" s="25">
        <f t="shared" ca="1" si="70"/>
        <v>302</v>
      </c>
      <c r="V891" s="25" t="str">
        <f t="shared" ca="1" si="71"/>
        <v>AL DÍA</v>
      </c>
      <c r="W891" s="25" t="s">
        <v>24</v>
      </c>
      <c r="X891" s="25" t="s">
        <v>262</v>
      </c>
      <c r="Y891" s="25">
        <v>2</v>
      </c>
    </row>
    <row r="892" spans="1:26" ht="14.25" hidden="1" customHeight="1" x14ac:dyDescent="0.15">
      <c r="A892" s="24" t="s">
        <v>114</v>
      </c>
      <c r="B892" s="24" t="s">
        <v>120</v>
      </c>
      <c r="C892" s="25" t="s">
        <v>404</v>
      </c>
      <c r="D892" s="24" t="s">
        <v>16</v>
      </c>
      <c r="F892" s="24" t="s">
        <v>219</v>
      </c>
      <c r="G892" s="96">
        <v>2022</v>
      </c>
      <c r="H892" s="21">
        <v>15</v>
      </c>
      <c r="I892" s="21">
        <f t="shared" ca="1" si="72"/>
        <v>4</v>
      </c>
      <c r="J892" s="21">
        <v>3</v>
      </c>
      <c r="K892" s="25" t="str">
        <f t="shared" ca="1" si="69"/>
        <v>Activo</v>
      </c>
      <c r="L892" s="72"/>
      <c r="M892" s="73"/>
      <c r="N892" s="26"/>
      <c r="O892" s="25" t="s">
        <v>221</v>
      </c>
      <c r="P892" s="26" t="s">
        <v>49</v>
      </c>
      <c r="Q892" s="34">
        <v>365</v>
      </c>
      <c r="R892" s="25" t="s">
        <v>64</v>
      </c>
      <c r="S892" s="28">
        <v>46198</v>
      </c>
      <c r="T892" s="28">
        <f t="shared" si="73"/>
        <v>46563</v>
      </c>
      <c r="U892" s="25">
        <f t="shared" ca="1" si="70"/>
        <v>302</v>
      </c>
      <c r="V892" s="25" t="str">
        <f t="shared" ca="1" si="71"/>
        <v>AL DÍA</v>
      </c>
      <c r="W892" s="25" t="s">
        <v>24</v>
      </c>
      <c r="X892" s="25" t="s">
        <v>271</v>
      </c>
      <c r="Y892" s="25">
        <v>2</v>
      </c>
      <c r="Z892" s="1" t="s">
        <v>303</v>
      </c>
    </row>
    <row r="893" spans="1:26" ht="14.25" hidden="1" customHeight="1" x14ac:dyDescent="0.15">
      <c r="A893" s="24" t="s">
        <v>114</v>
      </c>
      <c r="B893" s="24" t="s">
        <v>120</v>
      </c>
      <c r="C893" s="25" t="s">
        <v>404</v>
      </c>
      <c r="D893" s="24" t="s">
        <v>16</v>
      </c>
      <c r="F893" s="24" t="s">
        <v>224</v>
      </c>
      <c r="G893" s="21">
        <v>2014</v>
      </c>
      <c r="H893" s="21">
        <v>0</v>
      </c>
      <c r="I893" s="21">
        <f t="shared" ca="1" si="72"/>
        <v>12</v>
      </c>
      <c r="J893" s="21">
        <v>3</v>
      </c>
      <c r="K893" s="25" t="str">
        <f t="shared" ca="1" si="69"/>
        <v>Activo</v>
      </c>
      <c r="P893" s="26"/>
      <c r="Q893" s="34">
        <v>365</v>
      </c>
      <c r="R893" s="25" t="s">
        <v>64</v>
      </c>
      <c r="S893" s="28">
        <v>46198</v>
      </c>
      <c r="T893" s="28">
        <f t="shared" si="73"/>
        <v>46563</v>
      </c>
      <c r="U893" s="25">
        <f t="shared" ca="1" si="70"/>
        <v>302</v>
      </c>
      <c r="V893" s="25" t="str">
        <f t="shared" ca="1" si="71"/>
        <v>AL DÍA</v>
      </c>
      <c r="W893" s="25" t="s">
        <v>24</v>
      </c>
      <c r="X893" s="25" t="s">
        <v>271</v>
      </c>
      <c r="Y893" s="25">
        <v>2</v>
      </c>
    </row>
    <row r="894" spans="1:26" ht="14.25" hidden="1" customHeight="1" x14ac:dyDescent="0.15">
      <c r="A894" s="24" t="s">
        <v>114</v>
      </c>
      <c r="B894" s="24" t="s">
        <v>120</v>
      </c>
      <c r="C894" s="25" t="s">
        <v>404</v>
      </c>
      <c r="D894" s="24" t="s">
        <v>65</v>
      </c>
      <c r="F894" s="24" t="s">
        <v>220</v>
      </c>
      <c r="G894" s="21">
        <v>2014</v>
      </c>
      <c r="H894" s="21">
        <v>0</v>
      </c>
      <c r="I894" s="21">
        <f t="shared" ca="1" si="72"/>
        <v>12</v>
      </c>
      <c r="J894" s="21">
        <v>3</v>
      </c>
      <c r="K894" s="25" t="str">
        <f t="shared" ca="1" si="69"/>
        <v>Activo</v>
      </c>
      <c r="L894" s="25" t="s">
        <v>49</v>
      </c>
      <c r="O894" s="25" t="s">
        <v>222</v>
      </c>
      <c r="P894" s="26"/>
      <c r="Q894" s="34">
        <v>365</v>
      </c>
      <c r="R894" s="25" t="s">
        <v>64</v>
      </c>
      <c r="S894" s="28">
        <v>46198</v>
      </c>
      <c r="T894" s="28">
        <f t="shared" si="73"/>
        <v>46563</v>
      </c>
      <c r="U894" s="25">
        <f t="shared" ca="1" si="70"/>
        <v>302</v>
      </c>
      <c r="V894" s="25" t="str">
        <f t="shared" ca="1" si="71"/>
        <v>AL DÍA</v>
      </c>
      <c r="W894" s="25" t="s">
        <v>24</v>
      </c>
      <c r="X894" s="25" t="s">
        <v>262</v>
      </c>
      <c r="Y894" s="25">
        <v>2</v>
      </c>
    </row>
    <row r="895" spans="1:26" ht="14.25" hidden="1" customHeight="1" x14ac:dyDescent="0.15">
      <c r="A895" s="24" t="s">
        <v>114</v>
      </c>
      <c r="B895" s="24" t="s">
        <v>120</v>
      </c>
      <c r="C895" s="25" t="s">
        <v>405</v>
      </c>
      <c r="D895" s="24" t="s">
        <v>65</v>
      </c>
      <c r="F895" s="24" t="s">
        <v>215</v>
      </c>
      <c r="G895" s="21">
        <v>2014</v>
      </c>
      <c r="H895" s="21">
        <v>0</v>
      </c>
      <c r="I895" s="21">
        <f t="shared" ca="1" si="72"/>
        <v>12</v>
      </c>
      <c r="J895" s="21">
        <v>3</v>
      </c>
      <c r="K895" s="25" t="str">
        <f t="shared" ca="1" si="69"/>
        <v>Activo</v>
      </c>
      <c r="L895" s="25" t="s">
        <v>49</v>
      </c>
      <c r="M895" s="25" t="s">
        <v>49</v>
      </c>
      <c r="N895" s="25" t="s">
        <v>49</v>
      </c>
      <c r="P895" s="26" t="s">
        <v>22</v>
      </c>
      <c r="Q895" s="34">
        <v>365</v>
      </c>
      <c r="R895" s="25" t="s">
        <v>64</v>
      </c>
      <c r="S895" s="28">
        <v>46198</v>
      </c>
      <c r="T895" s="28">
        <f t="shared" si="73"/>
        <v>46563</v>
      </c>
      <c r="U895" s="25">
        <f t="shared" ca="1" si="70"/>
        <v>302</v>
      </c>
      <c r="V895" s="25" t="str">
        <f t="shared" ca="1" si="71"/>
        <v>AL DÍA</v>
      </c>
      <c r="W895" s="25" t="s">
        <v>24</v>
      </c>
      <c r="X895" s="25" t="s">
        <v>277</v>
      </c>
      <c r="Y895" s="25">
        <v>2</v>
      </c>
      <c r="Z895" s="1" t="s">
        <v>284</v>
      </c>
    </row>
    <row r="896" spans="1:26" ht="14.25" hidden="1" customHeight="1" x14ac:dyDescent="0.15">
      <c r="A896" s="24" t="s">
        <v>114</v>
      </c>
      <c r="B896" s="24" t="s">
        <v>120</v>
      </c>
      <c r="C896" s="25" t="s">
        <v>405</v>
      </c>
      <c r="D896" s="24" t="s">
        <v>65</v>
      </c>
      <c r="F896" s="24" t="s">
        <v>217</v>
      </c>
      <c r="G896" s="21">
        <v>2014</v>
      </c>
      <c r="H896" s="21">
        <v>0</v>
      </c>
      <c r="I896" s="21">
        <f t="shared" ca="1" si="72"/>
        <v>12</v>
      </c>
      <c r="J896" s="21">
        <v>3</v>
      </c>
      <c r="K896" s="25" t="str">
        <f t="shared" ca="1" si="69"/>
        <v>Activo</v>
      </c>
      <c r="L896" s="25" t="s">
        <v>49</v>
      </c>
      <c r="O896" s="25">
        <v>62.64</v>
      </c>
      <c r="P896" s="26"/>
      <c r="Q896" s="34">
        <v>365</v>
      </c>
      <c r="R896" s="25" t="s">
        <v>64</v>
      </c>
      <c r="S896" s="28">
        <v>46198</v>
      </c>
      <c r="T896" s="28">
        <f t="shared" si="73"/>
        <v>46563</v>
      </c>
      <c r="U896" s="25">
        <f t="shared" ca="1" si="70"/>
        <v>302</v>
      </c>
      <c r="V896" s="25" t="str">
        <f t="shared" ca="1" si="71"/>
        <v>AL DÍA</v>
      </c>
      <c r="W896" s="25" t="s">
        <v>24</v>
      </c>
      <c r="X896" s="25" t="s">
        <v>262</v>
      </c>
      <c r="Y896" s="25">
        <v>2</v>
      </c>
    </row>
    <row r="897" spans="1:26" ht="14.25" hidden="1" customHeight="1" x14ac:dyDescent="0.15">
      <c r="A897" s="24" t="s">
        <v>114</v>
      </c>
      <c r="B897" s="24" t="s">
        <v>120</v>
      </c>
      <c r="C897" s="25" t="s">
        <v>405</v>
      </c>
      <c r="D897" s="24" t="s">
        <v>65</v>
      </c>
      <c r="F897" s="24" t="s">
        <v>218</v>
      </c>
      <c r="G897" s="21">
        <v>2014</v>
      </c>
      <c r="H897" s="21">
        <v>0</v>
      </c>
      <c r="I897" s="21">
        <f t="shared" ca="1" si="72"/>
        <v>12</v>
      </c>
      <c r="J897" s="21">
        <v>3</v>
      </c>
      <c r="K897" s="25" t="str">
        <f t="shared" ca="1" si="69"/>
        <v>Activo</v>
      </c>
      <c r="L897" s="25" t="s">
        <v>49</v>
      </c>
      <c r="O897" s="25" t="s">
        <v>227</v>
      </c>
      <c r="P897" s="26"/>
      <c r="Q897" s="34">
        <v>365</v>
      </c>
      <c r="R897" s="25" t="s">
        <v>64</v>
      </c>
      <c r="S897" s="28">
        <v>46198</v>
      </c>
      <c r="T897" s="28">
        <f t="shared" si="73"/>
        <v>46563</v>
      </c>
      <c r="U897" s="25">
        <f t="shared" ca="1" si="70"/>
        <v>302</v>
      </c>
      <c r="V897" s="25" t="str">
        <f t="shared" ca="1" si="71"/>
        <v>AL DÍA</v>
      </c>
      <c r="W897" s="25" t="s">
        <v>24</v>
      </c>
      <c r="X897" s="25" t="s">
        <v>262</v>
      </c>
      <c r="Y897" s="25">
        <v>2</v>
      </c>
    </row>
    <row r="898" spans="1:26" ht="14.25" hidden="1" customHeight="1" x14ac:dyDescent="0.15">
      <c r="A898" s="24" t="s">
        <v>114</v>
      </c>
      <c r="B898" s="24" t="s">
        <v>120</v>
      </c>
      <c r="C898" s="25" t="s">
        <v>405</v>
      </c>
      <c r="D898" s="24" t="s">
        <v>16</v>
      </c>
      <c r="F898" s="24" t="s">
        <v>219</v>
      </c>
      <c r="G898" s="96">
        <v>2022</v>
      </c>
      <c r="H898" s="21">
        <v>15</v>
      </c>
      <c r="I898" s="21">
        <f t="shared" ca="1" si="72"/>
        <v>4</v>
      </c>
      <c r="J898" s="21">
        <v>3</v>
      </c>
      <c r="K898" s="25" t="str">
        <f t="shared" ref="K898:K961" ca="1" si="74">IF(J898=1,"Cambiar",IF(J898=2,"Presupuestar",IF(H898=0,"Activo",IF(G898+H898&lt;YEAR(TODAY()),"Cambiar o Inspección externa",IF(G898+H898-1&lt;YEAR(TODAY()),"Presupuestar","Activo")))))</f>
        <v>Activo</v>
      </c>
      <c r="L898" s="72"/>
      <c r="M898" s="72"/>
      <c r="O898" s="25" t="s">
        <v>221</v>
      </c>
      <c r="P898" s="26" t="s">
        <v>49</v>
      </c>
      <c r="Q898" s="34">
        <v>365</v>
      </c>
      <c r="R898" s="25" t="s">
        <v>64</v>
      </c>
      <c r="S898" s="28">
        <v>46198</v>
      </c>
      <c r="T898" s="28">
        <f t="shared" si="73"/>
        <v>46563</v>
      </c>
      <c r="U898" s="25">
        <f t="shared" ref="U898:U961" ca="1" si="75">T898-TODAY()</f>
        <v>302</v>
      </c>
      <c r="V898" s="25" t="str">
        <f t="shared" ref="V898:V961" ca="1" si="76">IF(U898&lt;0, "VENCIDO", "AL DÍA")</f>
        <v>AL DÍA</v>
      </c>
      <c r="W898" s="25" t="s">
        <v>24</v>
      </c>
      <c r="X898" s="25" t="s">
        <v>271</v>
      </c>
      <c r="Y898" s="25">
        <v>2</v>
      </c>
      <c r="Z898" s="1" t="s">
        <v>303</v>
      </c>
    </row>
    <row r="899" spans="1:26" ht="14.25" hidden="1" customHeight="1" x14ac:dyDescent="0.15">
      <c r="A899" s="24" t="s">
        <v>114</v>
      </c>
      <c r="B899" s="24" t="s">
        <v>120</v>
      </c>
      <c r="C899" s="25" t="s">
        <v>405</v>
      </c>
      <c r="D899" s="24" t="s">
        <v>16</v>
      </c>
      <c r="F899" s="24" t="s">
        <v>224</v>
      </c>
      <c r="G899" s="21">
        <v>2014</v>
      </c>
      <c r="H899" s="21">
        <v>0</v>
      </c>
      <c r="I899" s="21">
        <f t="shared" ca="1" si="72"/>
        <v>12</v>
      </c>
      <c r="J899" s="21">
        <v>3</v>
      </c>
      <c r="K899" s="25" t="str">
        <f t="shared" ca="1" si="74"/>
        <v>Activo</v>
      </c>
      <c r="P899" s="26"/>
      <c r="Q899" s="34">
        <v>365</v>
      </c>
      <c r="R899" s="25" t="s">
        <v>64</v>
      </c>
      <c r="S899" s="28">
        <v>46198</v>
      </c>
      <c r="T899" s="28">
        <f t="shared" si="73"/>
        <v>46563</v>
      </c>
      <c r="U899" s="25">
        <f t="shared" ca="1" si="75"/>
        <v>302</v>
      </c>
      <c r="V899" s="25" t="str">
        <f t="shared" ca="1" si="76"/>
        <v>AL DÍA</v>
      </c>
      <c r="W899" s="25" t="s">
        <v>24</v>
      </c>
      <c r="X899" s="25" t="s">
        <v>271</v>
      </c>
      <c r="Y899" s="25">
        <v>2</v>
      </c>
    </row>
    <row r="900" spans="1:26" ht="14.25" hidden="1" customHeight="1" x14ac:dyDescent="0.15">
      <c r="A900" s="24" t="s">
        <v>114</v>
      </c>
      <c r="B900" s="24" t="s">
        <v>120</v>
      </c>
      <c r="C900" s="25" t="s">
        <v>405</v>
      </c>
      <c r="D900" s="24" t="s">
        <v>65</v>
      </c>
      <c r="F900" s="24" t="s">
        <v>220</v>
      </c>
      <c r="G900" s="21">
        <v>2014</v>
      </c>
      <c r="H900" s="21">
        <v>0</v>
      </c>
      <c r="I900" s="21">
        <f t="shared" ca="1" si="72"/>
        <v>12</v>
      </c>
      <c r="J900" s="21">
        <v>3</v>
      </c>
      <c r="K900" s="25" t="str">
        <f t="shared" ca="1" si="74"/>
        <v>Activo</v>
      </c>
      <c r="L900" s="26" t="s">
        <v>49</v>
      </c>
      <c r="M900" s="26"/>
      <c r="N900" s="26"/>
      <c r="O900" s="25" t="s">
        <v>222</v>
      </c>
      <c r="P900" s="26"/>
      <c r="Q900" s="34">
        <v>365</v>
      </c>
      <c r="R900" s="25" t="s">
        <v>64</v>
      </c>
      <c r="S900" s="28">
        <v>46198</v>
      </c>
      <c r="T900" s="28">
        <f t="shared" si="73"/>
        <v>46563</v>
      </c>
      <c r="U900" s="25">
        <f t="shared" ca="1" si="75"/>
        <v>302</v>
      </c>
      <c r="V900" s="25" t="str">
        <f t="shared" ca="1" si="76"/>
        <v>AL DÍA</v>
      </c>
      <c r="W900" s="25" t="s">
        <v>24</v>
      </c>
      <c r="X900" s="25" t="s">
        <v>262</v>
      </c>
      <c r="Y900" s="25">
        <v>2</v>
      </c>
    </row>
    <row r="901" spans="1:26" ht="14.25" hidden="1" customHeight="1" x14ac:dyDescent="0.15">
      <c r="A901" s="24" t="s">
        <v>114</v>
      </c>
      <c r="B901" s="24" t="s">
        <v>120</v>
      </c>
      <c r="C901" s="25" t="s">
        <v>406</v>
      </c>
      <c r="D901" s="24" t="s">
        <v>65</v>
      </c>
      <c r="F901" s="24" t="s">
        <v>215</v>
      </c>
      <c r="G901" s="21">
        <v>2014</v>
      </c>
      <c r="H901" s="21">
        <v>0</v>
      </c>
      <c r="I901" s="21">
        <f t="shared" ca="1" si="72"/>
        <v>12</v>
      </c>
      <c r="J901" s="21">
        <v>3</v>
      </c>
      <c r="K901" s="25" t="str">
        <f t="shared" ca="1" si="74"/>
        <v>Activo</v>
      </c>
      <c r="L901" s="25" t="s">
        <v>49</v>
      </c>
      <c r="M901" s="25" t="s">
        <v>49</v>
      </c>
      <c r="N901" s="25" t="s">
        <v>49</v>
      </c>
      <c r="P901" s="26" t="s">
        <v>22</v>
      </c>
      <c r="Q901" s="34">
        <v>365</v>
      </c>
      <c r="R901" s="25" t="s">
        <v>64</v>
      </c>
      <c r="S901" s="28">
        <v>46198</v>
      </c>
      <c r="T901" s="28">
        <f t="shared" si="73"/>
        <v>46563</v>
      </c>
      <c r="U901" s="25">
        <f t="shared" ca="1" si="75"/>
        <v>302</v>
      </c>
      <c r="V901" s="25" t="str">
        <f t="shared" ca="1" si="76"/>
        <v>AL DÍA</v>
      </c>
      <c r="W901" s="25" t="s">
        <v>24</v>
      </c>
      <c r="X901" s="25" t="s">
        <v>277</v>
      </c>
      <c r="Y901" s="25">
        <v>2</v>
      </c>
      <c r="Z901" s="1" t="s">
        <v>284</v>
      </c>
    </row>
    <row r="902" spans="1:26" ht="14.25" hidden="1" customHeight="1" x14ac:dyDescent="0.15">
      <c r="A902" s="24" t="s">
        <v>114</v>
      </c>
      <c r="B902" s="24" t="s">
        <v>120</v>
      </c>
      <c r="C902" s="25" t="s">
        <v>406</v>
      </c>
      <c r="D902" s="24" t="s">
        <v>65</v>
      </c>
      <c r="F902" s="24" t="s">
        <v>217</v>
      </c>
      <c r="G902" s="21">
        <v>2014</v>
      </c>
      <c r="H902" s="21">
        <v>0</v>
      </c>
      <c r="I902" s="21">
        <f t="shared" ca="1" si="72"/>
        <v>12</v>
      </c>
      <c r="J902" s="21">
        <v>3</v>
      </c>
      <c r="K902" s="25" t="str">
        <f t="shared" ca="1" si="74"/>
        <v>Activo</v>
      </c>
      <c r="L902" s="25" t="s">
        <v>49</v>
      </c>
      <c r="O902" s="25">
        <v>62.64</v>
      </c>
      <c r="P902" s="26"/>
      <c r="Q902" s="34">
        <v>365</v>
      </c>
      <c r="R902" s="25" t="s">
        <v>64</v>
      </c>
      <c r="S902" s="28">
        <v>46198</v>
      </c>
      <c r="T902" s="28">
        <f t="shared" si="73"/>
        <v>46563</v>
      </c>
      <c r="U902" s="25">
        <f t="shared" ca="1" si="75"/>
        <v>302</v>
      </c>
      <c r="V902" s="25" t="str">
        <f t="shared" ca="1" si="76"/>
        <v>AL DÍA</v>
      </c>
      <c r="W902" s="25" t="s">
        <v>24</v>
      </c>
      <c r="X902" s="25" t="s">
        <v>262</v>
      </c>
      <c r="Y902" s="25">
        <v>2</v>
      </c>
    </row>
    <row r="903" spans="1:26" ht="14.25" hidden="1" customHeight="1" x14ac:dyDescent="0.15">
      <c r="A903" s="24" t="s">
        <v>114</v>
      </c>
      <c r="B903" s="24" t="s">
        <v>120</v>
      </c>
      <c r="C903" s="26" t="s">
        <v>406</v>
      </c>
      <c r="D903" s="24" t="s">
        <v>65</v>
      </c>
      <c r="F903" s="24" t="s">
        <v>218</v>
      </c>
      <c r="G903" s="21">
        <v>2014</v>
      </c>
      <c r="H903" s="21">
        <v>0</v>
      </c>
      <c r="I903" s="21">
        <f t="shared" ca="1" si="72"/>
        <v>12</v>
      </c>
      <c r="J903" s="21">
        <v>3</v>
      </c>
      <c r="K903" s="25" t="str">
        <f t="shared" ca="1" si="74"/>
        <v>Activo</v>
      </c>
      <c r="L903" s="25" t="s">
        <v>49</v>
      </c>
      <c r="O903" s="25" t="s">
        <v>227</v>
      </c>
      <c r="Q903" s="34">
        <v>365</v>
      </c>
      <c r="R903" s="25" t="s">
        <v>64</v>
      </c>
      <c r="S903" s="28">
        <v>46198</v>
      </c>
      <c r="T903" s="28">
        <f t="shared" si="73"/>
        <v>46563</v>
      </c>
      <c r="U903" s="25">
        <f t="shared" ca="1" si="75"/>
        <v>302</v>
      </c>
      <c r="V903" s="25" t="str">
        <f t="shared" ca="1" si="76"/>
        <v>AL DÍA</v>
      </c>
      <c r="W903" s="25" t="s">
        <v>24</v>
      </c>
      <c r="X903" s="25" t="s">
        <v>262</v>
      </c>
      <c r="Y903" s="25">
        <v>2</v>
      </c>
    </row>
    <row r="904" spans="1:26" ht="14.25" hidden="1" customHeight="1" x14ac:dyDescent="0.15">
      <c r="A904" s="24" t="s">
        <v>114</v>
      </c>
      <c r="B904" s="24" t="s">
        <v>120</v>
      </c>
      <c r="C904" s="26" t="s">
        <v>406</v>
      </c>
      <c r="D904" s="24" t="s">
        <v>16</v>
      </c>
      <c r="F904" s="24" t="s">
        <v>219</v>
      </c>
      <c r="G904" s="96">
        <v>2022</v>
      </c>
      <c r="H904" s="21">
        <v>15</v>
      </c>
      <c r="I904" s="21">
        <f t="shared" ca="1" si="72"/>
        <v>4</v>
      </c>
      <c r="J904" s="21">
        <v>3</v>
      </c>
      <c r="K904" s="25" t="str">
        <f t="shared" ca="1" si="74"/>
        <v>Activo</v>
      </c>
      <c r="L904" s="72"/>
      <c r="M904" s="72"/>
      <c r="O904" s="25" t="s">
        <v>221</v>
      </c>
      <c r="P904" s="25" t="s">
        <v>49</v>
      </c>
      <c r="Q904" s="34">
        <v>365</v>
      </c>
      <c r="R904" s="25" t="s">
        <v>64</v>
      </c>
      <c r="S904" s="28">
        <v>46198</v>
      </c>
      <c r="T904" s="28">
        <f t="shared" si="73"/>
        <v>46563</v>
      </c>
      <c r="U904" s="25">
        <f t="shared" ca="1" si="75"/>
        <v>302</v>
      </c>
      <c r="V904" s="25" t="str">
        <f t="shared" ca="1" si="76"/>
        <v>AL DÍA</v>
      </c>
      <c r="W904" s="25" t="s">
        <v>24</v>
      </c>
      <c r="X904" s="25" t="s">
        <v>271</v>
      </c>
      <c r="Y904" s="25">
        <v>2</v>
      </c>
      <c r="Z904" s="1" t="s">
        <v>303</v>
      </c>
    </row>
    <row r="905" spans="1:26" ht="14.25" hidden="1" customHeight="1" x14ac:dyDescent="0.15">
      <c r="A905" s="24" t="s">
        <v>114</v>
      </c>
      <c r="B905" s="24" t="s">
        <v>120</v>
      </c>
      <c r="C905" s="26" t="s">
        <v>406</v>
      </c>
      <c r="D905" s="24" t="s">
        <v>16</v>
      </c>
      <c r="F905" s="24" t="s">
        <v>224</v>
      </c>
      <c r="G905" s="21">
        <v>2014</v>
      </c>
      <c r="H905" s="21">
        <v>0</v>
      </c>
      <c r="I905" s="21">
        <f t="shared" ca="1" si="72"/>
        <v>12</v>
      </c>
      <c r="J905" s="21">
        <v>3</v>
      </c>
      <c r="K905" s="25" t="str">
        <f t="shared" ca="1" si="74"/>
        <v>Activo</v>
      </c>
      <c r="Q905" s="34">
        <v>365</v>
      </c>
      <c r="R905" s="25" t="s">
        <v>64</v>
      </c>
      <c r="S905" s="28">
        <v>46198</v>
      </c>
      <c r="T905" s="28">
        <f t="shared" si="73"/>
        <v>46563</v>
      </c>
      <c r="U905" s="25">
        <f t="shared" ca="1" si="75"/>
        <v>302</v>
      </c>
      <c r="V905" s="25" t="str">
        <f t="shared" ca="1" si="76"/>
        <v>AL DÍA</v>
      </c>
      <c r="W905" s="25" t="s">
        <v>24</v>
      </c>
      <c r="X905" s="25" t="s">
        <v>271</v>
      </c>
      <c r="Y905" s="25">
        <v>2</v>
      </c>
    </row>
    <row r="906" spans="1:26" ht="14.25" hidden="1" customHeight="1" x14ac:dyDescent="0.15">
      <c r="A906" s="24" t="s">
        <v>114</v>
      </c>
      <c r="B906" s="24" t="s">
        <v>120</v>
      </c>
      <c r="C906" s="26" t="s">
        <v>406</v>
      </c>
      <c r="D906" s="24" t="s">
        <v>65</v>
      </c>
      <c r="F906" s="24" t="s">
        <v>220</v>
      </c>
      <c r="G906" s="21">
        <v>2014</v>
      </c>
      <c r="H906" s="21">
        <v>0</v>
      </c>
      <c r="I906" s="21">
        <f t="shared" ca="1" si="72"/>
        <v>12</v>
      </c>
      <c r="J906" s="21">
        <v>3</v>
      </c>
      <c r="K906" s="25" t="str">
        <f t="shared" ca="1" si="74"/>
        <v>Activo</v>
      </c>
      <c r="L906" s="25" t="s">
        <v>49</v>
      </c>
      <c r="O906" s="25" t="s">
        <v>222</v>
      </c>
      <c r="Q906" s="34">
        <v>365</v>
      </c>
      <c r="R906" s="25" t="s">
        <v>64</v>
      </c>
      <c r="S906" s="28">
        <v>46198</v>
      </c>
      <c r="T906" s="28">
        <f t="shared" si="73"/>
        <v>46563</v>
      </c>
      <c r="U906" s="25">
        <f t="shared" ca="1" si="75"/>
        <v>302</v>
      </c>
      <c r="V906" s="25" t="str">
        <f t="shared" ca="1" si="76"/>
        <v>AL DÍA</v>
      </c>
      <c r="W906" s="25" t="s">
        <v>24</v>
      </c>
      <c r="X906" s="25" t="s">
        <v>262</v>
      </c>
      <c r="Y906" s="25">
        <v>2</v>
      </c>
    </row>
    <row r="907" spans="1:26" ht="14.25" hidden="1" customHeight="1" x14ac:dyDescent="0.15">
      <c r="A907" s="24" t="s">
        <v>114</v>
      </c>
      <c r="B907" s="24" t="s">
        <v>120</v>
      </c>
      <c r="C907" s="26" t="s">
        <v>407</v>
      </c>
      <c r="D907" s="24" t="s">
        <v>65</v>
      </c>
      <c r="F907" s="24" t="s">
        <v>215</v>
      </c>
      <c r="G907" s="21">
        <v>2014</v>
      </c>
      <c r="H907" s="21">
        <v>0</v>
      </c>
      <c r="I907" s="21">
        <f t="shared" ca="1" si="72"/>
        <v>12</v>
      </c>
      <c r="J907" s="21">
        <v>3</v>
      </c>
      <c r="K907" s="25" t="str">
        <f t="shared" ca="1" si="74"/>
        <v>Activo</v>
      </c>
      <c r="L907" s="25" t="s">
        <v>49</v>
      </c>
      <c r="M907" s="25" t="s">
        <v>49</v>
      </c>
      <c r="N907" s="25" t="s">
        <v>49</v>
      </c>
      <c r="P907" s="25" t="s">
        <v>22</v>
      </c>
      <c r="Q907" s="34">
        <v>365</v>
      </c>
      <c r="R907" s="25" t="s">
        <v>64</v>
      </c>
      <c r="S907" s="28">
        <v>46198</v>
      </c>
      <c r="T907" s="28">
        <f t="shared" si="73"/>
        <v>46563</v>
      </c>
      <c r="U907" s="25">
        <f t="shared" ca="1" si="75"/>
        <v>302</v>
      </c>
      <c r="V907" s="25" t="str">
        <f t="shared" ca="1" si="76"/>
        <v>AL DÍA</v>
      </c>
      <c r="W907" s="25" t="s">
        <v>24</v>
      </c>
      <c r="X907" s="25" t="s">
        <v>277</v>
      </c>
      <c r="Y907" s="25">
        <v>2</v>
      </c>
      <c r="Z907" s="1" t="s">
        <v>284</v>
      </c>
    </row>
    <row r="908" spans="1:26" ht="14.25" hidden="1" customHeight="1" x14ac:dyDescent="0.15">
      <c r="A908" s="24" t="s">
        <v>114</v>
      </c>
      <c r="B908" s="24" t="s">
        <v>120</v>
      </c>
      <c r="C908" s="26" t="s">
        <v>407</v>
      </c>
      <c r="D908" s="24" t="s">
        <v>65</v>
      </c>
      <c r="F908" s="24" t="s">
        <v>217</v>
      </c>
      <c r="G908" s="21">
        <v>2014</v>
      </c>
      <c r="H908" s="21">
        <v>0</v>
      </c>
      <c r="I908" s="21">
        <f t="shared" ca="1" si="72"/>
        <v>12</v>
      </c>
      <c r="J908" s="21">
        <v>3</v>
      </c>
      <c r="K908" s="25" t="str">
        <f t="shared" ca="1" si="74"/>
        <v>Activo</v>
      </c>
      <c r="L908" s="25" t="s">
        <v>49</v>
      </c>
      <c r="O908" s="25">
        <v>62.64</v>
      </c>
      <c r="Q908" s="34">
        <v>365</v>
      </c>
      <c r="R908" s="25" t="s">
        <v>64</v>
      </c>
      <c r="S908" s="28">
        <v>46198</v>
      </c>
      <c r="T908" s="28">
        <f t="shared" si="73"/>
        <v>46563</v>
      </c>
      <c r="U908" s="25">
        <f t="shared" ca="1" si="75"/>
        <v>302</v>
      </c>
      <c r="V908" s="25" t="str">
        <f t="shared" ca="1" si="76"/>
        <v>AL DÍA</v>
      </c>
      <c r="W908" s="25" t="s">
        <v>24</v>
      </c>
      <c r="X908" s="25" t="s">
        <v>262</v>
      </c>
      <c r="Y908" s="25">
        <v>2</v>
      </c>
    </row>
    <row r="909" spans="1:26" ht="14.25" hidden="1" customHeight="1" x14ac:dyDescent="0.15">
      <c r="A909" s="24" t="s">
        <v>114</v>
      </c>
      <c r="B909" s="24" t="s">
        <v>120</v>
      </c>
      <c r="C909" s="26" t="s">
        <v>407</v>
      </c>
      <c r="D909" s="24" t="s">
        <v>65</v>
      </c>
      <c r="F909" s="24" t="s">
        <v>218</v>
      </c>
      <c r="G909" s="21">
        <v>2014</v>
      </c>
      <c r="H909" s="21">
        <v>0</v>
      </c>
      <c r="I909" s="21">
        <f t="shared" ca="1" si="72"/>
        <v>12</v>
      </c>
      <c r="J909" s="21">
        <v>3</v>
      </c>
      <c r="K909" s="25" t="str">
        <f t="shared" ca="1" si="74"/>
        <v>Activo</v>
      </c>
      <c r="L909" s="25" t="s">
        <v>49</v>
      </c>
      <c r="O909" s="25" t="s">
        <v>227</v>
      </c>
      <c r="Q909" s="34">
        <v>365</v>
      </c>
      <c r="R909" s="25" t="s">
        <v>64</v>
      </c>
      <c r="S909" s="28">
        <v>46198</v>
      </c>
      <c r="T909" s="28">
        <f t="shared" si="73"/>
        <v>46563</v>
      </c>
      <c r="U909" s="25">
        <f t="shared" ca="1" si="75"/>
        <v>302</v>
      </c>
      <c r="V909" s="25" t="str">
        <f t="shared" ca="1" si="76"/>
        <v>AL DÍA</v>
      </c>
      <c r="W909" s="25" t="s">
        <v>24</v>
      </c>
      <c r="X909" s="25" t="s">
        <v>262</v>
      </c>
      <c r="Y909" s="25">
        <v>2</v>
      </c>
    </row>
    <row r="910" spans="1:26" ht="14.25" hidden="1" customHeight="1" x14ac:dyDescent="0.15">
      <c r="A910" s="24" t="s">
        <v>114</v>
      </c>
      <c r="B910" s="24" t="s">
        <v>120</v>
      </c>
      <c r="C910" s="26" t="s">
        <v>407</v>
      </c>
      <c r="D910" s="24" t="s">
        <v>16</v>
      </c>
      <c r="F910" s="24" t="s">
        <v>219</v>
      </c>
      <c r="G910" s="96">
        <v>2022</v>
      </c>
      <c r="H910" s="21">
        <v>15</v>
      </c>
      <c r="I910" s="21">
        <f t="shared" ca="1" si="72"/>
        <v>4</v>
      </c>
      <c r="J910" s="21">
        <v>3</v>
      </c>
      <c r="K910" s="25" t="str">
        <f t="shared" ca="1" si="74"/>
        <v>Activo</v>
      </c>
      <c r="L910" s="72"/>
      <c r="M910" s="72"/>
      <c r="O910" s="25" t="s">
        <v>221</v>
      </c>
      <c r="P910" s="26" t="s">
        <v>49</v>
      </c>
      <c r="Q910" s="34">
        <v>365</v>
      </c>
      <c r="R910" s="25" t="s">
        <v>64</v>
      </c>
      <c r="S910" s="28">
        <v>46198</v>
      </c>
      <c r="T910" s="28">
        <f t="shared" si="73"/>
        <v>46563</v>
      </c>
      <c r="U910" s="25">
        <f t="shared" ca="1" si="75"/>
        <v>302</v>
      </c>
      <c r="V910" s="25" t="str">
        <f t="shared" ca="1" si="76"/>
        <v>AL DÍA</v>
      </c>
      <c r="W910" s="25" t="s">
        <v>24</v>
      </c>
      <c r="X910" s="25" t="s">
        <v>271</v>
      </c>
      <c r="Y910" s="25">
        <v>2</v>
      </c>
      <c r="Z910" s="1" t="s">
        <v>303</v>
      </c>
    </row>
    <row r="911" spans="1:26" ht="14.25" hidden="1" customHeight="1" x14ac:dyDescent="0.15">
      <c r="A911" s="24" t="s">
        <v>114</v>
      </c>
      <c r="B911" s="24" t="s">
        <v>120</v>
      </c>
      <c r="C911" s="26" t="s">
        <v>407</v>
      </c>
      <c r="D911" s="24" t="s">
        <v>16</v>
      </c>
      <c r="F911" s="24" t="s">
        <v>224</v>
      </c>
      <c r="G911" s="21">
        <v>2014</v>
      </c>
      <c r="H911" s="21">
        <v>0</v>
      </c>
      <c r="I911" s="21">
        <f t="shared" ca="1" si="72"/>
        <v>12</v>
      </c>
      <c r="J911" s="21">
        <v>3</v>
      </c>
      <c r="K911" s="25" t="str">
        <f t="shared" ca="1" si="74"/>
        <v>Activo</v>
      </c>
      <c r="P911" s="26"/>
      <c r="Q911" s="34">
        <v>365</v>
      </c>
      <c r="R911" s="25" t="s">
        <v>64</v>
      </c>
      <c r="S911" s="28">
        <v>46198</v>
      </c>
      <c r="T911" s="28">
        <f t="shared" si="73"/>
        <v>46563</v>
      </c>
      <c r="U911" s="25">
        <f t="shared" ca="1" si="75"/>
        <v>302</v>
      </c>
      <c r="V911" s="25" t="str">
        <f t="shared" ca="1" si="76"/>
        <v>AL DÍA</v>
      </c>
      <c r="W911" s="25" t="s">
        <v>24</v>
      </c>
      <c r="X911" s="25" t="s">
        <v>271</v>
      </c>
      <c r="Y911" s="25">
        <v>2</v>
      </c>
    </row>
    <row r="912" spans="1:26" ht="14.25" hidden="1" customHeight="1" x14ac:dyDescent="0.15">
      <c r="A912" s="24" t="s">
        <v>114</v>
      </c>
      <c r="B912" s="24" t="s">
        <v>120</v>
      </c>
      <c r="C912" s="26" t="s">
        <v>407</v>
      </c>
      <c r="D912" s="24" t="s">
        <v>65</v>
      </c>
      <c r="F912" s="24" t="s">
        <v>220</v>
      </c>
      <c r="G912" s="21">
        <v>2014</v>
      </c>
      <c r="H912" s="21">
        <v>0</v>
      </c>
      <c r="I912" s="21">
        <f t="shared" ca="1" si="72"/>
        <v>12</v>
      </c>
      <c r="J912" s="21">
        <v>3</v>
      </c>
      <c r="K912" s="25" t="str">
        <f t="shared" ca="1" si="74"/>
        <v>Activo</v>
      </c>
      <c r="L912" s="25" t="s">
        <v>49</v>
      </c>
      <c r="O912" s="25" t="s">
        <v>222</v>
      </c>
      <c r="P912" s="26"/>
      <c r="Q912" s="34">
        <v>365</v>
      </c>
      <c r="R912" s="25" t="s">
        <v>64</v>
      </c>
      <c r="S912" s="28">
        <v>46198</v>
      </c>
      <c r="T912" s="28">
        <f t="shared" si="73"/>
        <v>46563</v>
      </c>
      <c r="U912" s="25">
        <f t="shared" ca="1" si="75"/>
        <v>302</v>
      </c>
      <c r="V912" s="25" t="str">
        <f t="shared" ca="1" si="76"/>
        <v>AL DÍA</v>
      </c>
      <c r="W912" s="25" t="s">
        <v>24</v>
      </c>
      <c r="X912" s="25" t="s">
        <v>262</v>
      </c>
      <c r="Y912" s="25">
        <v>2</v>
      </c>
    </row>
    <row r="913" spans="1:25" ht="14.25" hidden="1" customHeight="1" x14ac:dyDescent="0.15">
      <c r="A913" s="24" t="s">
        <v>114</v>
      </c>
      <c r="B913" s="24" t="s">
        <v>88</v>
      </c>
      <c r="C913" s="26" t="s">
        <v>394</v>
      </c>
      <c r="D913" s="24" t="s">
        <v>16</v>
      </c>
      <c r="E913" s="24" t="s">
        <v>435</v>
      </c>
      <c r="F913" s="24" t="s">
        <v>420</v>
      </c>
      <c r="G913" s="71"/>
      <c r="H913" s="21">
        <v>0</v>
      </c>
      <c r="I913" s="21">
        <f t="shared" ca="1" si="72"/>
        <v>2026</v>
      </c>
      <c r="J913" s="21">
        <v>3</v>
      </c>
      <c r="K913" s="25" t="str">
        <f t="shared" ca="1" si="74"/>
        <v>Activo</v>
      </c>
      <c r="O913" s="25">
        <v>27</v>
      </c>
      <c r="P913" s="26" t="s">
        <v>439</v>
      </c>
      <c r="Q913" s="34">
        <v>180</v>
      </c>
      <c r="S913" s="29">
        <v>46198</v>
      </c>
      <c r="T913" s="28">
        <f t="shared" si="73"/>
        <v>46378</v>
      </c>
      <c r="U913" s="25">
        <f t="shared" ca="1" si="75"/>
        <v>117</v>
      </c>
      <c r="V913" s="25" t="str">
        <f t="shared" ca="1" si="76"/>
        <v>AL DÍA</v>
      </c>
      <c r="W913" s="25" t="s">
        <v>24</v>
      </c>
      <c r="X913" s="25" t="s">
        <v>271</v>
      </c>
      <c r="Y913" s="25">
        <v>2</v>
      </c>
    </row>
    <row r="914" spans="1:25" ht="14.25" hidden="1" customHeight="1" x14ac:dyDescent="0.15">
      <c r="A914" s="24" t="s">
        <v>114</v>
      </c>
      <c r="B914" s="24" t="s">
        <v>88</v>
      </c>
      <c r="C914" s="26" t="s">
        <v>395</v>
      </c>
      <c r="D914" s="24" t="s">
        <v>16</v>
      </c>
      <c r="E914" s="24" t="s">
        <v>435</v>
      </c>
      <c r="F914" s="24" t="s">
        <v>420</v>
      </c>
      <c r="G914" s="71"/>
      <c r="H914" s="21">
        <v>0</v>
      </c>
      <c r="I914" s="21">
        <f t="shared" ca="1" si="72"/>
        <v>2026</v>
      </c>
      <c r="J914" s="21">
        <v>3</v>
      </c>
      <c r="K914" s="25" t="str">
        <f t="shared" ca="1" si="74"/>
        <v>Activo</v>
      </c>
      <c r="O914" s="25">
        <v>27</v>
      </c>
      <c r="P914" s="26" t="s">
        <v>439</v>
      </c>
      <c r="Q914" s="34">
        <v>180</v>
      </c>
      <c r="S914" s="29">
        <v>46198</v>
      </c>
      <c r="T914" s="28">
        <f t="shared" si="73"/>
        <v>46378</v>
      </c>
      <c r="U914" s="25">
        <f t="shared" ca="1" si="75"/>
        <v>117</v>
      </c>
      <c r="V914" s="25" t="str">
        <f t="shared" ca="1" si="76"/>
        <v>AL DÍA</v>
      </c>
      <c r="W914" s="25" t="s">
        <v>24</v>
      </c>
      <c r="X914" s="25" t="s">
        <v>271</v>
      </c>
      <c r="Y914" s="25">
        <v>2</v>
      </c>
    </row>
    <row r="915" spans="1:25" ht="14.25" hidden="1" customHeight="1" x14ac:dyDescent="0.15">
      <c r="A915" s="24" t="s">
        <v>114</v>
      </c>
      <c r="B915" s="24" t="s">
        <v>88</v>
      </c>
      <c r="C915" s="26" t="s">
        <v>396</v>
      </c>
      <c r="D915" s="24" t="s">
        <v>16</v>
      </c>
      <c r="E915" s="24" t="s">
        <v>435</v>
      </c>
      <c r="F915" s="24" t="s">
        <v>420</v>
      </c>
      <c r="G915" s="71"/>
      <c r="H915" s="21">
        <v>0</v>
      </c>
      <c r="I915" s="21">
        <f t="shared" ca="1" si="72"/>
        <v>2026</v>
      </c>
      <c r="J915" s="21">
        <v>3</v>
      </c>
      <c r="K915" s="25" t="str">
        <f t="shared" ca="1" si="74"/>
        <v>Activo</v>
      </c>
      <c r="O915" s="25">
        <v>27</v>
      </c>
      <c r="P915" s="26" t="s">
        <v>439</v>
      </c>
      <c r="Q915" s="34">
        <v>180</v>
      </c>
      <c r="S915" s="29">
        <v>46198</v>
      </c>
      <c r="T915" s="28">
        <f t="shared" si="73"/>
        <v>46378</v>
      </c>
      <c r="U915" s="25">
        <f t="shared" ca="1" si="75"/>
        <v>117</v>
      </c>
      <c r="V915" s="25" t="str">
        <f t="shared" ca="1" si="76"/>
        <v>AL DÍA</v>
      </c>
      <c r="W915" s="25" t="s">
        <v>24</v>
      </c>
      <c r="X915" s="25" t="s">
        <v>271</v>
      </c>
      <c r="Y915" s="25">
        <v>2</v>
      </c>
    </row>
    <row r="916" spans="1:25" ht="14.25" hidden="1" customHeight="1" x14ac:dyDescent="0.15">
      <c r="A916" s="24" t="s">
        <v>114</v>
      </c>
      <c r="B916" s="24" t="s">
        <v>88</v>
      </c>
      <c r="C916" s="26" t="s">
        <v>397</v>
      </c>
      <c r="D916" s="24" t="s">
        <v>16</v>
      </c>
      <c r="E916" s="24" t="s">
        <v>435</v>
      </c>
      <c r="F916" s="24" t="s">
        <v>420</v>
      </c>
      <c r="G916" s="71"/>
      <c r="H916" s="21">
        <v>0</v>
      </c>
      <c r="I916" s="21">
        <f t="shared" ca="1" si="72"/>
        <v>2026</v>
      </c>
      <c r="J916" s="21">
        <v>3</v>
      </c>
      <c r="K916" s="25" t="str">
        <f t="shared" ca="1" si="74"/>
        <v>Activo</v>
      </c>
      <c r="O916" s="25">
        <v>27</v>
      </c>
      <c r="P916" s="26" t="s">
        <v>439</v>
      </c>
      <c r="Q916" s="34">
        <v>180</v>
      </c>
      <c r="S916" s="29">
        <v>46198</v>
      </c>
      <c r="T916" s="28">
        <f t="shared" si="73"/>
        <v>46378</v>
      </c>
      <c r="U916" s="25">
        <f t="shared" ca="1" si="75"/>
        <v>117</v>
      </c>
      <c r="V916" s="25" t="str">
        <f t="shared" ca="1" si="76"/>
        <v>AL DÍA</v>
      </c>
      <c r="W916" s="25" t="s">
        <v>24</v>
      </c>
      <c r="X916" s="25" t="s">
        <v>271</v>
      </c>
      <c r="Y916" s="25">
        <v>2</v>
      </c>
    </row>
    <row r="917" spans="1:25" ht="14.25" hidden="1" customHeight="1" x14ac:dyDescent="0.15">
      <c r="A917" s="24" t="s">
        <v>114</v>
      </c>
      <c r="B917" s="24" t="s">
        <v>88</v>
      </c>
      <c r="C917" s="25" t="s">
        <v>398</v>
      </c>
      <c r="D917" s="24" t="s">
        <v>16</v>
      </c>
      <c r="E917" s="24" t="s">
        <v>435</v>
      </c>
      <c r="F917" s="24" t="s">
        <v>420</v>
      </c>
      <c r="G917" s="71"/>
      <c r="H917" s="21">
        <v>0</v>
      </c>
      <c r="I917" s="21">
        <f t="shared" ca="1" si="72"/>
        <v>2026</v>
      </c>
      <c r="J917" s="21">
        <v>3</v>
      </c>
      <c r="K917" s="25" t="str">
        <f t="shared" ca="1" si="74"/>
        <v>Activo</v>
      </c>
      <c r="O917" s="25">
        <v>27</v>
      </c>
      <c r="P917" s="26" t="s">
        <v>439</v>
      </c>
      <c r="Q917" s="34">
        <v>180</v>
      </c>
      <c r="S917" s="29">
        <v>46198</v>
      </c>
      <c r="T917" s="28">
        <f t="shared" si="73"/>
        <v>46378</v>
      </c>
      <c r="U917" s="25">
        <f t="shared" ca="1" si="75"/>
        <v>117</v>
      </c>
      <c r="V917" s="25" t="str">
        <f t="shared" ca="1" si="76"/>
        <v>AL DÍA</v>
      </c>
      <c r="W917" s="25" t="s">
        <v>24</v>
      </c>
      <c r="X917" s="25" t="s">
        <v>271</v>
      </c>
      <c r="Y917" s="25">
        <v>2</v>
      </c>
    </row>
    <row r="918" spans="1:25" ht="14.25" hidden="1" customHeight="1" x14ac:dyDescent="0.15">
      <c r="A918" s="24" t="s">
        <v>114</v>
      </c>
      <c r="B918" s="24" t="s">
        <v>88</v>
      </c>
      <c r="C918" s="26" t="s">
        <v>399</v>
      </c>
      <c r="D918" s="24" t="s">
        <v>16</v>
      </c>
      <c r="E918" s="24" t="s">
        <v>435</v>
      </c>
      <c r="F918" s="24" t="s">
        <v>420</v>
      </c>
      <c r="G918" s="71"/>
      <c r="H918" s="21">
        <v>0</v>
      </c>
      <c r="I918" s="21">
        <f t="shared" ca="1" si="72"/>
        <v>2026</v>
      </c>
      <c r="J918" s="21">
        <v>3</v>
      </c>
      <c r="K918" s="25" t="str">
        <f t="shared" ca="1" si="74"/>
        <v>Activo</v>
      </c>
      <c r="O918" s="25">
        <v>27</v>
      </c>
      <c r="P918" s="26" t="s">
        <v>439</v>
      </c>
      <c r="Q918" s="34">
        <v>180</v>
      </c>
      <c r="S918" s="29">
        <v>46198</v>
      </c>
      <c r="T918" s="28">
        <f t="shared" si="73"/>
        <v>46378</v>
      </c>
      <c r="U918" s="25">
        <f t="shared" ca="1" si="75"/>
        <v>117</v>
      </c>
      <c r="V918" s="25" t="str">
        <f t="shared" ca="1" si="76"/>
        <v>AL DÍA</v>
      </c>
      <c r="W918" s="25" t="s">
        <v>24</v>
      </c>
      <c r="X918" s="25" t="s">
        <v>271</v>
      </c>
      <c r="Y918" s="25">
        <v>2</v>
      </c>
    </row>
    <row r="919" spans="1:25" ht="14.25" hidden="1" customHeight="1" x14ac:dyDescent="0.15">
      <c r="A919" s="24" t="s">
        <v>114</v>
      </c>
      <c r="B919" s="24" t="s">
        <v>120</v>
      </c>
      <c r="C919" s="26" t="s">
        <v>400</v>
      </c>
      <c r="D919" s="24" t="s">
        <v>16</v>
      </c>
      <c r="E919" s="24" t="s">
        <v>435</v>
      </c>
      <c r="F919" s="24" t="s">
        <v>420</v>
      </c>
      <c r="G919" s="71"/>
      <c r="H919" s="21">
        <v>0</v>
      </c>
      <c r="I919" s="21">
        <f t="shared" ref="I919:I982" ca="1" si="77">YEAR(TODAY())-G919</f>
        <v>2026</v>
      </c>
      <c r="J919" s="21">
        <v>3</v>
      </c>
      <c r="K919" s="25" t="str">
        <f t="shared" ca="1" si="74"/>
        <v>Activo</v>
      </c>
      <c r="O919" s="25">
        <v>27</v>
      </c>
      <c r="P919" s="26" t="s">
        <v>439</v>
      </c>
      <c r="Q919" s="34">
        <v>180</v>
      </c>
      <c r="S919" s="29">
        <v>46198</v>
      </c>
      <c r="T919" s="28">
        <f t="shared" si="73"/>
        <v>46378</v>
      </c>
      <c r="U919" s="25">
        <f t="shared" ca="1" si="75"/>
        <v>117</v>
      </c>
      <c r="V919" s="25" t="str">
        <f t="shared" ca="1" si="76"/>
        <v>AL DÍA</v>
      </c>
      <c r="W919" s="25" t="s">
        <v>24</v>
      </c>
      <c r="X919" s="25" t="s">
        <v>271</v>
      </c>
      <c r="Y919" s="25">
        <v>2</v>
      </c>
    </row>
    <row r="920" spans="1:25" ht="14.25" hidden="1" customHeight="1" x14ac:dyDescent="0.15">
      <c r="A920" s="24" t="s">
        <v>114</v>
      </c>
      <c r="B920" s="24" t="s">
        <v>120</v>
      </c>
      <c r="C920" s="26" t="s">
        <v>401</v>
      </c>
      <c r="D920" s="24" t="s">
        <v>16</v>
      </c>
      <c r="E920" s="24" t="s">
        <v>435</v>
      </c>
      <c r="F920" s="24" t="s">
        <v>420</v>
      </c>
      <c r="G920" s="71"/>
      <c r="H920" s="21">
        <v>0</v>
      </c>
      <c r="I920" s="21">
        <f t="shared" ca="1" si="77"/>
        <v>2026</v>
      </c>
      <c r="J920" s="21">
        <v>3</v>
      </c>
      <c r="K920" s="25" t="str">
        <f t="shared" ca="1" si="74"/>
        <v>Activo</v>
      </c>
      <c r="O920" s="25">
        <v>27</v>
      </c>
      <c r="P920" s="26" t="s">
        <v>439</v>
      </c>
      <c r="Q920" s="34">
        <v>180</v>
      </c>
      <c r="S920" s="29">
        <v>46198</v>
      </c>
      <c r="T920" s="28">
        <f t="shared" si="73"/>
        <v>46378</v>
      </c>
      <c r="U920" s="25">
        <f t="shared" ca="1" si="75"/>
        <v>117</v>
      </c>
      <c r="V920" s="25" t="str">
        <f t="shared" ca="1" si="76"/>
        <v>AL DÍA</v>
      </c>
      <c r="W920" s="25" t="s">
        <v>24</v>
      </c>
      <c r="X920" s="25" t="s">
        <v>271</v>
      </c>
      <c r="Y920" s="25">
        <v>2</v>
      </c>
    </row>
    <row r="921" spans="1:25" ht="14.25" hidden="1" customHeight="1" x14ac:dyDescent="0.15">
      <c r="A921" s="24" t="s">
        <v>114</v>
      </c>
      <c r="B921" s="24" t="s">
        <v>120</v>
      </c>
      <c r="C921" s="26" t="s">
        <v>402</v>
      </c>
      <c r="D921" s="24" t="s">
        <v>16</v>
      </c>
      <c r="E921" s="24" t="s">
        <v>435</v>
      </c>
      <c r="F921" s="24" t="s">
        <v>420</v>
      </c>
      <c r="G921" s="71"/>
      <c r="H921" s="21">
        <v>0</v>
      </c>
      <c r="I921" s="21">
        <f t="shared" ca="1" si="77"/>
        <v>2026</v>
      </c>
      <c r="J921" s="21">
        <v>3</v>
      </c>
      <c r="K921" s="25" t="str">
        <f t="shared" ca="1" si="74"/>
        <v>Activo</v>
      </c>
      <c r="O921" s="25">
        <v>27</v>
      </c>
      <c r="P921" s="26" t="s">
        <v>439</v>
      </c>
      <c r="Q921" s="34">
        <v>180</v>
      </c>
      <c r="S921" s="29">
        <v>46198</v>
      </c>
      <c r="T921" s="28">
        <f t="shared" si="73"/>
        <v>46378</v>
      </c>
      <c r="U921" s="25">
        <f t="shared" ca="1" si="75"/>
        <v>117</v>
      </c>
      <c r="V921" s="25" t="str">
        <f t="shared" ca="1" si="76"/>
        <v>AL DÍA</v>
      </c>
      <c r="W921" s="25" t="s">
        <v>24</v>
      </c>
      <c r="X921" s="25" t="s">
        <v>271</v>
      </c>
      <c r="Y921" s="25">
        <v>2</v>
      </c>
    </row>
    <row r="922" spans="1:25" ht="14.25" hidden="1" customHeight="1" x14ac:dyDescent="0.15">
      <c r="A922" s="24" t="s">
        <v>114</v>
      </c>
      <c r="B922" s="24" t="s">
        <v>120</v>
      </c>
      <c r="C922" s="26" t="s">
        <v>403</v>
      </c>
      <c r="D922" s="24" t="s">
        <v>16</v>
      </c>
      <c r="E922" s="24" t="s">
        <v>435</v>
      </c>
      <c r="F922" s="24" t="s">
        <v>420</v>
      </c>
      <c r="G922" s="71"/>
      <c r="H922" s="21">
        <v>0</v>
      </c>
      <c r="I922" s="21">
        <f t="shared" ca="1" si="77"/>
        <v>2026</v>
      </c>
      <c r="J922" s="21">
        <v>3</v>
      </c>
      <c r="K922" s="25" t="str">
        <f t="shared" ca="1" si="74"/>
        <v>Activo</v>
      </c>
      <c r="O922" s="25">
        <v>27</v>
      </c>
      <c r="P922" s="26" t="s">
        <v>439</v>
      </c>
      <c r="Q922" s="34">
        <v>180</v>
      </c>
      <c r="S922" s="29">
        <v>46198</v>
      </c>
      <c r="T922" s="28">
        <f t="shared" si="73"/>
        <v>46378</v>
      </c>
      <c r="U922" s="25">
        <f t="shared" ca="1" si="75"/>
        <v>117</v>
      </c>
      <c r="V922" s="25" t="str">
        <f t="shared" ca="1" si="76"/>
        <v>AL DÍA</v>
      </c>
      <c r="W922" s="25" t="s">
        <v>24</v>
      </c>
      <c r="X922" s="25" t="s">
        <v>271</v>
      </c>
      <c r="Y922" s="25">
        <v>2</v>
      </c>
    </row>
    <row r="923" spans="1:25" ht="14.25" hidden="1" customHeight="1" x14ac:dyDescent="0.15">
      <c r="A923" s="24" t="s">
        <v>114</v>
      </c>
      <c r="B923" s="24" t="s">
        <v>120</v>
      </c>
      <c r="C923" s="26" t="s">
        <v>404</v>
      </c>
      <c r="D923" s="24" t="s">
        <v>16</v>
      </c>
      <c r="E923" s="24" t="s">
        <v>435</v>
      </c>
      <c r="F923" s="24" t="s">
        <v>420</v>
      </c>
      <c r="G923" s="71"/>
      <c r="H923" s="21">
        <v>0</v>
      </c>
      <c r="I923" s="21">
        <f t="shared" ca="1" si="77"/>
        <v>2026</v>
      </c>
      <c r="J923" s="21">
        <v>3</v>
      </c>
      <c r="K923" s="25" t="str">
        <f t="shared" ca="1" si="74"/>
        <v>Activo</v>
      </c>
      <c r="O923" s="25">
        <v>27</v>
      </c>
      <c r="P923" s="26" t="s">
        <v>439</v>
      </c>
      <c r="Q923" s="34">
        <v>180</v>
      </c>
      <c r="S923" s="29">
        <v>46198</v>
      </c>
      <c r="T923" s="28">
        <f t="shared" si="73"/>
        <v>46378</v>
      </c>
      <c r="U923" s="25">
        <f t="shared" ca="1" si="75"/>
        <v>117</v>
      </c>
      <c r="V923" s="25" t="str">
        <f t="shared" ca="1" si="76"/>
        <v>AL DÍA</v>
      </c>
      <c r="W923" s="25" t="s">
        <v>24</v>
      </c>
      <c r="X923" s="25" t="s">
        <v>271</v>
      </c>
      <c r="Y923" s="25">
        <v>2</v>
      </c>
    </row>
    <row r="924" spans="1:25" ht="14.25" hidden="1" customHeight="1" x14ac:dyDescent="0.15">
      <c r="A924" s="24" t="s">
        <v>114</v>
      </c>
      <c r="B924" s="24" t="s">
        <v>120</v>
      </c>
      <c r="C924" s="26" t="s">
        <v>405</v>
      </c>
      <c r="D924" s="24" t="s">
        <v>16</v>
      </c>
      <c r="E924" s="24" t="s">
        <v>435</v>
      </c>
      <c r="F924" s="24" t="s">
        <v>420</v>
      </c>
      <c r="G924" s="71"/>
      <c r="H924" s="21">
        <v>0</v>
      </c>
      <c r="I924" s="21">
        <f t="shared" ca="1" si="77"/>
        <v>2026</v>
      </c>
      <c r="J924" s="21">
        <v>3</v>
      </c>
      <c r="K924" s="25" t="str">
        <f t="shared" ca="1" si="74"/>
        <v>Activo</v>
      </c>
      <c r="O924" s="25">
        <v>27</v>
      </c>
      <c r="P924" s="26" t="s">
        <v>439</v>
      </c>
      <c r="Q924" s="34">
        <v>180</v>
      </c>
      <c r="S924" s="29">
        <v>46198</v>
      </c>
      <c r="T924" s="28">
        <f t="shared" si="73"/>
        <v>46378</v>
      </c>
      <c r="U924" s="25">
        <f t="shared" ca="1" si="75"/>
        <v>117</v>
      </c>
      <c r="V924" s="25" t="str">
        <f t="shared" ca="1" si="76"/>
        <v>AL DÍA</v>
      </c>
      <c r="W924" s="25" t="s">
        <v>24</v>
      </c>
      <c r="X924" s="25" t="s">
        <v>271</v>
      </c>
      <c r="Y924" s="25">
        <v>2</v>
      </c>
    </row>
    <row r="925" spans="1:25" ht="14.25" hidden="1" customHeight="1" x14ac:dyDescent="0.15">
      <c r="A925" s="24" t="s">
        <v>114</v>
      </c>
      <c r="B925" s="24" t="s">
        <v>120</v>
      </c>
      <c r="C925" s="26" t="s">
        <v>406</v>
      </c>
      <c r="D925" s="24" t="s">
        <v>16</v>
      </c>
      <c r="E925" s="24" t="s">
        <v>435</v>
      </c>
      <c r="F925" s="24" t="s">
        <v>420</v>
      </c>
      <c r="G925" s="71"/>
      <c r="H925" s="21">
        <v>0</v>
      </c>
      <c r="I925" s="21">
        <f t="shared" ca="1" si="77"/>
        <v>2026</v>
      </c>
      <c r="J925" s="21">
        <v>3</v>
      </c>
      <c r="K925" s="25" t="str">
        <f t="shared" ca="1" si="74"/>
        <v>Activo</v>
      </c>
      <c r="O925" s="25">
        <v>27</v>
      </c>
      <c r="P925" s="26" t="s">
        <v>439</v>
      </c>
      <c r="Q925" s="34">
        <v>180</v>
      </c>
      <c r="S925" s="29">
        <v>46198</v>
      </c>
      <c r="T925" s="28">
        <f t="shared" si="73"/>
        <v>46378</v>
      </c>
      <c r="U925" s="25">
        <f t="shared" ca="1" si="75"/>
        <v>117</v>
      </c>
      <c r="V925" s="25" t="str">
        <f t="shared" ca="1" si="76"/>
        <v>AL DÍA</v>
      </c>
      <c r="W925" s="25" t="s">
        <v>24</v>
      </c>
      <c r="X925" s="25" t="s">
        <v>271</v>
      </c>
      <c r="Y925" s="25">
        <v>2</v>
      </c>
    </row>
    <row r="926" spans="1:25" ht="14.25" hidden="1" customHeight="1" x14ac:dyDescent="0.15">
      <c r="A926" s="24" t="s">
        <v>114</v>
      </c>
      <c r="B926" s="24" t="s">
        <v>120</v>
      </c>
      <c r="C926" s="26" t="s">
        <v>407</v>
      </c>
      <c r="D926" s="24" t="s">
        <v>16</v>
      </c>
      <c r="E926" s="24" t="s">
        <v>435</v>
      </c>
      <c r="F926" s="24" t="s">
        <v>420</v>
      </c>
      <c r="G926" s="71"/>
      <c r="H926" s="21">
        <v>0</v>
      </c>
      <c r="I926" s="21">
        <f t="shared" ca="1" si="77"/>
        <v>2026</v>
      </c>
      <c r="J926" s="21">
        <v>3</v>
      </c>
      <c r="K926" s="25" t="str">
        <f t="shared" ca="1" si="74"/>
        <v>Activo</v>
      </c>
      <c r="O926" s="25">
        <v>27</v>
      </c>
      <c r="P926" s="26" t="s">
        <v>439</v>
      </c>
      <c r="Q926" s="34">
        <v>180</v>
      </c>
      <c r="S926" s="29">
        <v>46198</v>
      </c>
      <c r="T926" s="28">
        <f t="shared" si="73"/>
        <v>46378</v>
      </c>
      <c r="U926" s="25">
        <f t="shared" ca="1" si="75"/>
        <v>117</v>
      </c>
      <c r="V926" s="25" t="str">
        <f t="shared" ca="1" si="76"/>
        <v>AL DÍA</v>
      </c>
      <c r="W926" s="25" t="s">
        <v>24</v>
      </c>
      <c r="X926" s="25" t="s">
        <v>271</v>
      </c>
      <c r="Y926" s="25">
        <v>2</v>
      </c>
    </row>
    <row r="927" spans="1:25" ht="14.25" hidden="1" customHeight="1" x14ac:dyDescent="0.15">
      <c r="A927" s="24" t="s">
        <v>114</v>
      </c>
      <c r="B927" s="24" t="s">
        <v>88</v>
      </c>
      <c r="C927" s="26" t="s">
        <v>394</v>
      </c>
      <c r="D927" s="24" t="s">
        <v>16</v>
      </c>
      <c r="E927" s="24" t="s">
        <v>450</v>
      </c>
      <c r="F927" s="24" t="s">
        <v>421</v>
      </c>
      <c r="G927" s="71"/>
      <c r="H927" s="21">
        <v>0</v>
      </c>
      <c r="I927" s="21">
        <f t="shared" ca="1" si="77"/>
        <v>2026</v>
      </c>
      <c r="J927" s="21">
        <v>3</v>
      </c>
      <c r="K927" s="25" t="str">
        <f t="shared" ca="1" si="74"/>
        <v>Activo</v>
      </c>
      <c r="O927" s="72"/>
      <c r="P927" s="26" t="s">
        <v>439</v>
      </c>
      <c r="Q927" s="34">
        <v>180</v>
      </c>
      <c r="S927" s="29">
        <v>46198</v>
      </c>
      <c r="T927" s="28">
        <f t="shared" si="73"/>
        <v>46378</v>
      </c>
      <c r="U927" s="25">
        <f t="shared" ca="1" si="75"/>
        <v>117</v>
      </c>
      <c r="V927" s="25" t="str">
        <f t="shared" ca="1" si="76"/>
        <v>AL DÍA</v>
      </c>
      <c r="W927" s="25" t="s">
        <v>24</v>
      </c>
      <c r="X927" s="25" t="s">
        <v>271</v>
      </c>
      <c r="Y927" s="25">
        <v>2</v>
      </c>
    </row>
    <row r="928" spans="1:25" ht="14.25" hidden="1" customHeight="1" x14ac:dyDescent="0.15">
      <c r="A928" s="24" t="s">
        <v>114</v>
      </c>
      <c r="B928" s="24" t="s">
        <v>88</v>
      </c>
      <c r="C928" s="26" t="s">
        <v>395</v>
      </c>
      <c r="D928" s="24" t="s">
        <v>16</v>
      </c>
      <c r="E928" s="24" t="s">
        <v>450</v>
      </c>
      <c r="F928" s="24" t="s">
        <v>421</v>
      </c>
      <c r="G928" s="71"/>
      <c r="H928" s="21">
        <v>0</v>
      </c>
      <c r="I928" s="21">
        <f t="shared" ca="1" si="77"/>
        <v>2026</v>
      </c>
      <c r="J928" s="21">
        <v>3</v>
      </c>
      <c r="K928" s="25" t="str">
        <f t="shared" ca="1" si="74"/>
        <v>Activo</v>
      </c>
      <c r="O928" s="72"/>
      <c r="P928" s="26" t="s">
        <v>439</v>
      </c>
      <c r="Q928" s="34">
        <v>180</v>
      </c>
      <c r="S928" s="29">
        <v>46198</v>
      </c>
      <c r="T928" s="28">
        <f t="shared" si="73"/>
        <v>46378</v>
      </c>
      <c r="U928" s="25">
        <f t="shared" ca="1" si="75"/>
        <v>117</v>
      </c>
      <c r="V928" s="25" t="str">
        <f t="shared" ca="1" si="76"/>
        <v>AL DÍA</v>
      </c>
      <c r="W928" s="25" t="s">
        <v>24</v>
      </c>
      <c r="X928" s="25" t="s">
        <v>271</v>
      </c>
      <c r="Y928" s="25">
        <v>2</v>
      </c>
    </row>
    <row r="929" spans="1:25" ht="14.25" hidden="1" customHeight="1" x14ac:dyDescent="0.15">
      <c r="A929" s="24" t="s">
        <v>114</v>
      </c>
      <c r="B929" s="24" t="s">
        <v>88</v>
      </c>
      <c r="C929" s="26" t="s">
        <v>396</v>
      </c>
      <c r="D929" s="24" t="s">
        <v>16</v>
      </c>
      <c r="E929" s="24" t="s">
        <v>450</v>
      </c>
      <c r="F929" s="24" t="s">
        <v>421</v>
      </c>
      <c r="G929" s="71"/>
      <c r="H929" s="21">
        <v>0</v>
      </c>
      <c r="I929" s="21">
        <f t="shared" ca="1" si="77"/>
        <v>2026</v>
      </c>
      <c r="J929" s="21">
        <v>3</v>
      </c>
      <c r="K929" s="25" t="str">
        <f t="shared" ca="1" si="74"/>
        <v>Activo</v>
      </c>
      <c r="O929" s="72"/>
      <c r="P929" s="26" t="s">
        <v>439</v>
      </c>
      <c r="Q929" s="34">
        <v>180</v>
      </c>
      <c r="S929" s="29">
        <v>46198</v>
      </c>
      <c r="T929" s="28">
        <f t="shared" si="73"/>
        <v>46378</v>
      </c>
      <c r="U929" s="25">
        <f t="shared" ca="1" si="75"/>
        <v>117</v>
      </c>
      <c r="V929" s="25" t="str">
        <f t="shared" ca="1" si="76"/>
        <v>AL DÍA</v>
      </c>
      <c r="W929" s="25" t="s">
        <v>24</v>
      </c>
      <c r="X929" s="25" t="s">
        <v>271</v>
      </c>
      <c r="Y929" s="25">
        <v>2</v>
      </c>
    </row>
    <row r="930" spans="1:25" ht="14.25" hidden="1" customHeight="1" x14ac:dyDescent="0.15">
      <c r="A930" s="24" t="s">
        <v>114</v>
      </c>
      <c r="B930" s="24" t="s">
        <v>88</v>
      </c>
      <c r="C930" s="26" t="s">
        <v>397</v>
      </c>
      <c r="D930" s="24" t="s">
        <v>16</v>
      </c>
      <c r="E930" s="24" t="s">
        <v>450</v>
      </c>
      <c r="F930" s="24" t="s">
        <v>421</v>
      </c>
      <c r="G930" s="71"/>
      <c r="H930" s="21">
        <v>0</v>
      </c>
      <c r="I930" s="21">
        <f t="shared" ca="1" si="77"/>
        <v>2026</v>
      </c>
      <c r="J930" s="21">
        <v>3</v>
      </c>
      <c r="K930" s="25" t="str">
        <f t="shared" ca="1" si="74"/>
        <v>Activo</v>
      </c>
      <c r="O930" s="72"/>
      <c r="P930" s="26" t="s">
        <v>439</v>
      </c>
      <c r="Q930" s="34">
        <v>180</v>
      </c>
      <c r="S930" s="29">
        <v>46198</v>
      </c>
      <c r="T930" s="28">
        <f t="shared" si="73"/>
        <v>46378</v>
      </c>
      <c r="U930" s="25">
        <f t="shared" ca="1" si="75"/>
        <v>117</v>
      </c>
      <c r="V930" s="25" t="str">
        <f t="shared" ca="1" si="76"/>
        <v>AL DÍA</v>
      </c>
      <c r="W930" s="25" t="s">
        <v>24</v>
      </c>
      <c r="X930" s="25" t="s">
        <v>271</v>
      </c>
      <c r="Y930" s="25">
        <v>2</v>
      </c>
    </row>
    <row r="931" spans="1:25" ht="14.25" hidden="1" customHeight="1" x14ac:dyDescent="0.15">
      <c r="A931" s="24" t="s">
        <v>114</v>
      </c>
      <c r="B931" s="24" t="s">
        <v>88</v>
      </c>
      <c r="C931" s="26" t="s">
        <v>398</v>
      </c>
      <c r="D931" s="24" t="s">
        <v>16</v>
      </c>
      <c r="E931" s="24" t="s">
        <v>450</v>
      </c>
      <c r="F931" s="24" t="s">
        <v>421</v>
      </c>
      <c r="G931" s="71"/>
      <c r="H931" s="21">
        <v>0</v>
      </c>
      <c r="I931" s="21">
        <f t="shared" ca="1" si="77"/>
        <v>2026</v>
      </c>
      <c r="J931" s="21">
        <v>3</v>
      </c>
      <c r="K931" s="25" t="str">
        <f t="shared" ca="1" si="74"/>
        <v>Activo</v>
      </c>
      <c r="O931" s="72"/>
      <c r="P931" s="26" t="s">
        <v>439</v>
      </c>
      <c r="Q931" s="34">
        <v>180</v>
      </c>
      <c r="S931" s="29">
        <v>46198</v>
      </c>
      <c r="T931" s="28">
        <f t="shared" si="73"/>
        <v>46378</v>
      </c>
      <c r="U931" s="25">
        <f t="shared" ca="1" si="75"/>
        <v>117</v>
      </c>
      <c r="V931" s="25" t="str">
        <f t="shared" ca="1" si="76"/>
        <v>AL DÍA</v>
      </c>
      <c r="W931" s="25" t="s">
        <v>24</v>
      </c>
      <c r="X931" s="25" t="s">
        <v>271</v>
      </c>
      <c r="Y931" s="25">
        <v>2</v>
      </c>
    </row>
    <row r="932" spans="1:25" ht="14.25" hidden="1" customHeight="1" x14ac:dyDescent="0.15">
      <c r="A932" s="24" t="s">
        <v>114</v>
      </c>
      <c r="B932" s="24" t="s">
        <v>88</v>
      </c>
      <c r="C932" s="25" t="s">
        <v>399</v>
      </c>
      <c r="D932" s="24" t="s">
        <v>16</v>
      </c>
      <c r="E932" s="24" t="s">
        <v>450</v>
      </c>
      <c r="F932" s="24" t="s">
        <v>421</v>
      </c>
      <c r="G932" s="71"/>
      <c r="H932" s="21">
        <v>0</v>
      </c>
      <c r="I932" s="21">
        <f t="shared" ca="1" si="77"/>
        <v>2026</v>
      </c>
      <c r="J932" s="21">
        <v>3</v>
      </c>
      <c r="K932" s="25" t="str">
        <f t="shared" ca="1" si="74"/>
        <v>Activo</v>
      </c>
      <c r="O932" s="72"/>
      <c r="P932" s="26" t="s">
        <v>439</v>
      </c>
      <c r="Q932" s="34">
        <v>180</v>
      </c>
      <c r="S932" s="29">
        <v>46198</v>
      </c>
      <c r="T932" s="28">
        <f t="shared" ref="T932:T995" si="78">+S932+Q932</f>
        <v>46378</v>
      </c>
      <c r="U932" s="25">
        <f t="shared" ca="1" si="75"/>
        <v>117</v>
      </c>
      <c r="V932" s="25" t="str">
        <f t="shared" ca="1" si="76"/>
        <v>AL DÍA</v>
      </c>
      <c r="W932" s="25" t="s">
        <v>24</v>
      </c>
      <c r="X932" s="25" t="s">
        <v>271</v>
      </c>
      <c r="Y932" s="25">
        <v>2</v>
      </c>
    </row>
    <row r="933" spans="1:25" ht="14.25" hidden="1" customHeight="1" x14ac:dyDescent="0.15">
      <c r="A933" s="24" t="s">
        <v>114</v>
      </c>
      <c r="B933" s="24" t="s">
        <v>120</v>
      </c>
      <c r="C933" s="25" t="s">
        <v>400</v>
      </c>
      <c r="D933" s="24" t="s">
        <v>16</v>
      </c>
      <c r="E933" s="24" t="s">
        <v>450</v>
      </c>
      <c r="F933" s="24" t="s">
        <v>421</v>
      </c>
      <c r="G933" s="71"/>
      <c r="H933" s="21">
        <v>0</v>
      </c>
      <c r="I933" s="21">
        <f t="shared" ca="1" si="77"/>
        <v>2026</v>
      </c>
      <c r="J933" s="21">
        <v>3</v>
      </c>
      <c r="K933" s="25" t="str">
        <f t="shared" ca="1" si="74"/>
        <v>Activo</v>
      </c>
      <c r="O933" s="72"/>
      <c r="P933" s="26" t="s">
        <v>439</v>
      </c>
      <c r="Q933" s="34">
        <v>180</v>
      </c>
      <c r="S933" s="29">
        <v>46198</v>
      </c>
      <c r="T933" s="28">
        <f t="shared" si="78"/>
        <v>46378</v>
      </c>
      <c r="U933" s="25">
        <f t="shared" ca="1" si="75"/>
        <v>117</v>
      </c>
      <c r="V933" s="25" t="str">
        <f t="shared" ca="1" si="76"/>
        <v>AL DÍA</v>
      </c>
      <c r="W933" s="25" t="s">
        <v>24</v>
      </c>
      <c r="X933" s="25" t="s">
        <v>271</v>
      </c>
      <c r="Y933" s="25">
        <v>2</v>
      </c>
    </row>
    <row r="934" spans="1:25" ht="14.25" hidden="1" customHeight="1" x14ac:dyDescent="0.15">
      <c r="A934" s="24" t="s">
        <v>114</v>
      </c>
      <c r="B934" s="24" t="s">
        <v>120</v>
      </c>
      <c r="C934" s="25" t="s">
        <v>401</v>
      </c>
      <c r="D934" s="24" t="s">
        <v>16</v>
      </c>
      <c r="E934" s="24" t="s">
        <v>450</v>
      </c>
      <c r="F934" s="24" t="s">
        <v>421</v>
      </c>
      <c r="G934" s="71"/>
      <c r="H934" s="21">
        <v>0</v>
      </c>
      <c r="I934" s="21">
        <f t="shared" ca="1" si="77"/>
        <v>2026</v>
      </c>
      <c r="J934" s="21">
        <v>3</v>
      </c>
      <c r="K934" s="25" t="str">
        <f t="shared" ca="1" si="74"/>
        <v>Activo</v>
      </c>
      <c r="O934" s="72"/>
      <c r="P934" s="26" t="s">
        <v>439</v>
      </c>
      <c r="Q934" s="34">
        <v>180</v>
      </c>
      <c r="S934" s="29">
        <v>46198</v>
      </c>
      <c r="T934" s="28">
        <f t="shared" si="78"/>
        <v>46378</v>
      </c>
      <c r="U934" s="25">
        <f t="shared" ca="1" si="75"/>
        <v>117</v>
      </c>
      <c r="V934" s="25" t="str">
        <f t="shared" ca="1" si="76"/>
        <v>AL DÍA</v>
      </c>
      <c r="W934" s="25" t="s">
        <v>24</v>
      </c>
      <c r="X934" s="25" t="s">
        <v>271</v>
      </c>
      <c r="Y934" s="25">
        <v>2</v>
      </c>
    </row>
    <row r="935" spans="1:25" ht="14.25" hidden="1" customHeight="1" x14ac:dyDescent="0.15">
      <c r="A935" s="24" t="s">
        <v>114</v>
      </c>
      <c r="B935" s="24" t="s">
        <v>120</v>
      </c>
      <c r="C935" s="26" t="s">
        <v>402</v>
      </c>
      <c r="D935" s="24" t="s">
        <v>16</v>
      </c>
      <c r="E935" s="24" t="s">
        <v>450</v>
      </c>
      <c r="F935" s="24" t="s">
        <v>421</v>
      </c>
      <c r="G935" s="71"/>
      <c r="H935" s="21">
        <v>0</v>
      </c>
      <c r="I935" s="21">
        <f t="shared" ca="1" si="77"/>
        <v>2026</v>
      </c>
      <c r="J935" s="21">
        <v>3</v>
      </c>
      <c r="K935" s="25" t="str">
        <f t="shared" ca="1" si="74"/>
        <v>Activo</v>
      </c>
      <c r="O935" s="72"/>
      <c r="P935" s="26" t="s">
        <v>439</v>
      </c>
      <c r="Q935" s="34">
        <v>180</v>
      </c>
      <c r="S935" s="29">
        <v>46198</v>
      </c>
      <c r="T935" s="28">
        <f t="shared" si="78"/>
        <v>46378</v>
      </c>
      <c r="U935" s="25">
        <f t="shared" ca="1" si="75"/>
        <v>117</v>
      </c>
      <c r="V935" s="25" t="str">
        <f t="shared" ca="1" si="76"/>
        <v>AL DÍA</v>
      </c>
      <c r="W935" s="25" t="s">
        <v>24</v>
      </c>
      <c r="X935" s="25" t="s">
        <v>271</v>
      </c>
      <c r="Y935" s="25">
        <v>2</v>
      </c>
    </row>
    <row r="936" spans="1:25" ht="14.25" hidden="1" customHeight="1" x14ac:dyDescent="0.15">
      <c r="A936" s="24" t="s">
        <v>114</v>
      </c>
      <c r="B936" s="24" t="s">
        <v>120</v>
      </c>
      <c r="C936" s="25" t="s">
        <v>403</v>
      </c>
      <c r="D936" s="24" t="s">
        <v>16</v>
      </c>
      <c r="E936" s="24" t="s">
        <v>450</v>
      </c>
      <c r="F936" s="24" t="s">
        <v>421</v>
      </c>
      <c r="G936" s="71"/>
      <c r="H936" s="21">
        <v>0</v>
      </c>
      <c r="I936" s="21">
        <f t="shared" ca="1" si="77"/>
        <v>2026</v>
      </c>
      <c r="J936" s="21">
        <v>3</v>
      </c>
      <c r="K936" s="25" t="str">
        <f t="shared" ca="1" si="74"/>
        <v>Activo</v>
      </c>
      <c r="O936" s="72"/>
      <c r="P936" s="26" t="s">
        <v>439</v>
      </c>
      <c r="Q936" s="34">
        <v>180</v>
      </c>
      <c r="S936" s="29">
        <v>46198</v>
      </c>
      <c r="T936" s="28">
        <f t="shared" si="78"/>
        <v>46378</v>
      </c>
      <c r="U936" s="25">
        <f t="shared" ca="1" si="75"/>
        <v>117</v>
      </c>
      <c r="V936" s="25" t="str">
        <f t="shared" ca="1" si="76"/>
        <v>AL DÍA</v>
      </c>
      <c r="W936" s="25" t="s">
        <v>24</v>
      </c>
      <c r="X936" s="25" t="s">
        <v>271</v>
      </c>
      <c r="Y936" s="25">
        <v>2</v>
      </c>
    </row>
    <row r="937" spans="1:25" ht="14.25" hidden="1" customHeight="1" x14ac:dyDescent="0.15">
      <c r="A937" s="24" t="s">
        <v>114</v>
      </c>
      <c r="B937" s="24" t="s">
        <v>120</v>
      </c>
      <c r="C937" s="25" t="s">
        <v>404</v>
      </c>
      <c r="D937" s="24" t="s">
        <v>16</v>
      </c>
      <c r="E937" s="24" t="s">
        <v>450</v>
      </c>
      <c r="F937" s="24" t="s">
        <v>421</v>
      </c>
      <c r="G937" s="71"/>
      <c r="H937" s="21">
        <v>0</v>
      </c>
      <c r="I937" s="21">
        <f t="shared" ca="1" si="77"/>
        <v>2026</v>
      </c>
      <c r="J937" s="21">
        <v>3</v>
      </c>
      <c r="K937" s="25" t="str">
        <f t="shared" ca="1" si="74"/>
        <v>Activo</v>
      </c>
      <c r="O937" s="72"/>
      <c r="P937" s="26" t="s">
        <v>439</v>
      </c>
      <c r="Q937" s="34">
        <v>180</v>
      </c>
      <c r="S937" s="29">
        <v>46198</v>
      </c>
      <c r="T937" s="28">
        <f t="shared" si="78"/>
        <v>46378</v>
      </c>
      <c r="U937" s="25">
        <f t="shared" ca="1" si="75"/>
        <v>117</v>
      </c>
      <c r="V937" s="25" t="str">
        <f t="shared" ca="1" si="76"/>
        <v>AL DÍA</v>
      </c>
      <c r="W937" s="25" t="s">
        <v>24</v>
      </c>
      <c r="X937" s="25" t="s">
        <v>271</v>
      </c>
      <c r="Y937" s="25">
        <v>2</v>
      </c>
    </row>
    <row r="938" spans="1:25" ht="14.25" hidden="1" customHeight="1" x14ac:dyDescent="0.15">
      <c r="A938" s="24" t="s">
        <v>114</v>
      </c>
      <c r="B938" s="24" t="s">
        <v>120</v>
      </c>
      <c r="C938" s="25" t="s">
        <v>405</v>
      </c>
      <c r="D938" s="24" t="s">
        <v>16</v>
      </c>
      <c r="E938" s="24" t="s">
        <v>450</v>
      </c>
      <c r="F938" s="24" t="s">
        <v>421</v>
      </c>
      <c r="G938" s="71"/>
      <c r="H938" s="21">
        <v>0</v>
      </c>
      <c r="I938" s="21">
        <f t="shared" ca="1" si="77"/>
        <v>2026</v>
      </c>
      <c r="J938" s="21">
        <v>3</v>
      </c>
      <c r="K938" s="25" t="str">
        <f t="shared" ca="1" si="74"/>
        <v>Activo</v>
      </c>
      <c r="O938" s="72"/>
      <c r="P938" s="26" t="s">
        <v>439</v>
      </c>
      <c r="Q938" s="34">
        <v>180</v>
      </c>
      <c r="S938" s="29">
        <v>46198</v>
      </c>
      <c r="T938" s="28">
        <f t="shared" si="78"/>
        <v>46378</v>
      </c>
      <c r="U938" s="25">
        <f t="shared" ca="1" si="75"/>
        <v>117</v>
      </c>
      <c r="V938" s="25" t="str">
        <f t="shared" ca="1" si="76"/>
        <v>AL DÍA</v>
      </c>
      <c r="W938" s="25" t="s">
        <v>24</v>
      </c>
      <c r="X938" s="25" t="s">
        <v>271</v>
      </c>
      <c r="Y938" s="25">
        <v>2</v>
      </c>
    </row>
    <row r="939" spans="1:25" ht="14.25" hidden="1" customHeight="1" x14ac:dyDescent="0.15">
      <c r="A939" s="24" t="s">
        <v>114</v>
      </c>
      <c r="B939" s="24" t="s">
        <v>120</v>
      </c>
      <c r="C939" s="26" t="s">
        <v>406</v>
      </c>
      <c r="D939" s="24" t="s">
        <v>16</v>
      </c>
      <c r="E939" s="24" t="s">
        <v>450</v>
      </c>
      <c r="F939" s="24" t="s">
        <v>421</v>
      </c>
      <c r="G939" s="71"/>
      <c r="H939" s="21">
        <v>0</v>
      </c>
      <c r="I939" s="21">
        <f t="shared" ca="1" si="77"/>
        <v>2026</v>
      </c>
      <c r="J939" s="21">
        <v>3</v>
      </c>
      <c r="K939" s="25" t="str">
        <f t="shared" ca="1" si="74"/>
        <v>Activo</v>
      </c>
      <c r="O939" s="72"/>
      <c r="P939" s="26" t="s">
        <v>439</v>
      </c>
      <c r="Q939" s="34">
        <v>180</v>
      </c>
      <c r="S939" s="29">
        <v>46198</v>
      </c>
      <c r="T939" s="28">
        <f t="shared" si="78"/>
        <v>46378</v>
      </c>
      <c r="U939" s="25">
        <f t="shared" ca="1" si="75"/>
        <v>117</v>
      </c>
      <c r="V939" s="25" t="str">
        <f t="shared" ca="1" si="76"/>
        <v>AL DÍA</v>
      </c>
      <c r="W939" s="25" t="s">
        <v>24</v>
      </c>
      <c r="X939" s="25" t="s">
        <v>271</v>
      </c>
      <c r="Y939" s="25">
        <v>2</v>
      </c>
    </row>
    <row r="940" spans="1:25" ht="14.25" hidden="1" customHeight="1" x14ac:dyDescent="0.15">
      <c r="A940" s="24" t="s">
        <v>114</v>
      </c>
      <c r="B940" s="24" t="s">
        <v>120</v>
      </c>
      <c r="C940" s="26" t="s">
        <v>407</v>
      </c>
      <c r="D940" s="24" t="s">
        <v>16</v>
      </c>
      <c r="E940" s="24" t="s">
        <v>450</v>
      </c>
      <c r="F940" s="24" t="s">
        <v>421</v>
      </c>
      <c r="G940" s="71"/>
      <c r="H940" s="21">
        <v>0</v>
      </c>
      <c r="I940" s="21">
        <f t="shared" ca="1" si="77"/>
        <v>2026</v>
      </c>
      <c r="J940" s="21">
        <v>3</v>
      </c>
      <c r="K940" s="25" t="str">
        <f t="shared" ca="1" si="74"/>
        <v>Activo</v>
      </c>
      <c r="O940" s="72"/>
      <c r="P940" s="26" t="s">
        <v>439</v>
      </c>
      <c r="Q940" s="34">
        <v>180</v>
      </c>
      <c r="S940" s="29">
        <v>46198</v>
      </c>
      <c r="T940" s="28">
        <f t="shared" si="78"/>
        <v>46378</v>
      </c>
      <c r="U940" s="25">
        <f t="shared" ca="1" si="75"/>
        <v>117</v>
      </c>
      <c r="V940" s="25" t="str">
        <f t="shared" ca="1" si="76"/>
        <v>AL DÍA</v>
      </c>
      <c r="W940" s="25" t="s">
        <v>24</v>
      </c>
      <c r="X940" s="25" t="s">
        <v>271</v>
      </c>
      <c r="Y940" s="25">
        <v>2</v>
      </c>
    </row>
    <row r="941" spans="1:25" ht="14.25" hidden="1" customHeight="1" x14ac:dyDescent="0.15">
      <c r="A941" s="24" t="s">
        <v>114</v>
      </c>
      <c r="B941" s="24" t="s">
        <v>88</v>
      </c>
      <c r="C941" s="26" t="s">
        <v>394</v>
      </c>
      <c r="D941" s="24" t="s">
        <v>16</v>
      </c>
      <c r="E941" s="24" t="s">
        <v>450</v>
      </c>
      <c r="F941" s="24" t="s">
        <v>422</v>
      </c>
      <c r="G941" s="71"/>
      <c r="H941" s="21">
        <v>0</v>
      </c>
      <c r="I941" s="21">
        <f t="shared" ca="1" si="77"/>
        <v>2026</v>
      </c>
      <c r="J941" s="21">
        <v>3</v>
      </c>
      <c r="K941" s="25" t="str">
        <f t="shared" ca="1" si="74"/>
        <v>Activo</v>
      </c>
      <c r="O941" s="72">
        <v>1</v>
      </c>
      <c r="P941" s="26" t="s">
        <v>439</v>
      </c>
      <c r="Q941" s="34">
        <v>180</v>
      </c>
      <c r="S941" s="29">
        <v>46198</v>
      </c>
      <c r="T941" s="28">
        <f t="shared" si="78"/>
        <v>46378</v>
      </c>
      <c r="U941" s="25">
        <f t="shared" ca="1" si="75"/>
        <v>117</v>
      </c>
      <c r="V941" s="25" t="str">
        <f t="shared" ca="1" si="76"/>
        <v>AL DÍA</v>
      </c>
      <c r="W941" s="25" t="s">
        <v>24</v>
      </c>
      <c r="X941" s="25" t="s">
        <v>271</v>
      </c>
      <c r="Y941" s="25">
        <v>2</v>
      </c>
    </row>
    <row r="942" spans="1:25" ht="14.25" hidden="1" customHeight="1" x14ac:dyDescent="0.15">
      <c r="A942" s="24" t="s">
        <v>114</v>
      </c>
      <c r="B942" s="24" t="s">
        <v>88</v>
      </c>
      <c r="C942" s="26" t="s">
        <v>395</v>
      </c>
      <c r="D942" s="24" t="s">
        <v>16</v>
      </c>
      <c r="E942" s="24" t="s">
        <v>450</v>
      </c>
      <c r="F942" s="24" t="s">
        <v>422</v>
      </c>
      <c r="G942" s="71"/>
      <c r="H942" s="21">
        <v>0</v>
      </c>
      <c r="I942" s="21">
        <f t="shared" ca="1" si="77"/>
        <v>2026</v>
      </c>
      <c r="J942" s="21">
        <v>3</v>
      </c>
      <c r="K942" s="25" t="str">
        <f t="shared" ca="1" si="74"/>
        <v>Activo</v>
      </c>
      <c r="O942" s="72">
        <v>1</v>
      </c>
      <c r="P942" s="26" t="s">
        <v>439</v>
      </c>
      <c r="Q942" s="34">
        <v>180</v>
      </c>
      <c r="S942" s="29">
        <v>46198</v>
      </c>
      <c r="T942" s="28">
        <f t="shared" si="78"/>
        <v>46378</v>
      </c>
      <c r="U942" s="25">
        <f t="shared" ca="1" si="75"/>
        <v>117</v>
      </c>
      <c r="V942" s="25" t="str">
        <f t="shared" ca="1" si="76"/>
        <v>AL DÍA</v>
      </c>
      <c r="W942" s="25" t="s">
        <v>24</v>
      </c>
      <c r="X942" s="25" t="s">
        <v>271</v>
      </c>
      <c r="Y942" s="25">
        <v>2</v>
      </c>
    </row>
    <row r="943" spans="1:25" ht="14.25" hidden="1" customHeight="1" x14ac:dyDescent="0.15">
      <c r="A943" s="24" t="s">
        <v>114</v>
      </c>
      <c r="B943" s="24" t="s">
        <v>88</v>
      </c>
      <c r="C943" s="26" t="s">
        <v>396</v>
      </c>
      <c r="D943" s="24" t="s">
        <v>16</v>
      </c>
      <c r="E943" s="24" t="s">
        <v>450</v>
      </c>
      <c r="F943" s="24" t="s">
        <v>422</v>
      </c>
      <c r="G943" s="71"/>
      <c r="H943" s="21">
        <v>0</v>
      </c>
      <c r="I943" s="21">
        <f t="shared" ca="1" si="77"/>
        <v>2026</v>
      </c>
      <c r="J943" s="21">
        <v>3</v>
      </c>
      <c r="K943" s="25" t="str">
        <f t="shared" ca="1" si="74"/>
        <v>Activo</v>
      </c>
      <c r="O943" s="72">
        <v>1</v>
      </c>
      <c r="P943" s="26" t="s">
        <v>439</v>
      </c>
      <c r="Q943" s="34">
        <v>180</v>
      </c>
      <c r="S943" s="29">
        <v>46198</v>
      </c>
      <c r="T943" s="28">
        <f t="shared" si="78"/>
        <v>46378</v>
      </c>
      <c r="U943" s="25">
        <f t="shared" ca="1" si="75"/>
        <v>117</v>
      </c>
      <c r="V943" s="25" t="str">
        <f t="shared" ca="1" si="76"/>
        <v>AL DÍA</v>
      </c>
      <c r="W943" s="25" t="s">
        <v>24</v>
      </c>
      <c r="X943" s="25" t="s">
        <v>271</v>
      </c>
      <c r="Y943" s="25">
        <v>2</v>
      </c>
    </row>
    <row r="944" spans="1:25" ht="14.25" hidden="1" customHeight="1" x14ac:dyDescent="0.15">
      <c r="A944" s="24" t="s">
        <v>114</v>
      </c>
      <c r="B944" s="24" t="s">
        <v>88</v>
      </c>
      <c r="C944" s="26" t="s">
        <v>397</v>
      </c>
      <c r="D944" s="24" t="s">
        <v>16</v>
      </c>
      <c r="E944" s="24" t="s">
        <v>450</v>
      </c>
      <c r="F944" s="24" t="s">
        <v>422</v>
      </c>
      <c r="G944" s="71"/>
      <c r="H944" s="21">
        <v>0</v>
      </c>
      <c r="I944" s="21">
        <f t="shared" ca="1" si="77"/>
        <v>2026</v>
      </c>
      <c r="J944" s="21">
        <v>3</v>
      </c>
      <c r="K944" s="25" t="str">
        <f t="shared" ca="1" si="74"/>
        <v>Activo</v>
      </c>
      <c r="O944" s="72">
        <v>1</v>
      </c>
      <c r="P944" s="26" t="s">
        <v>439</v>
      </c>
      <c r="Q944" s="34">
        <v>180</v>
      </c>
      <c r="S944" s="29">
        <v>46198</v>
      </c>
      <c r="T944" s="28">
        <f t="shared" si="78"/>
        <v>46378</v>
      </c>
      <c r="U944" s="25">
        <f t="shared" ca="1" si="75"/>
        <v>117</v>
      </c>
      <c r="V944" s="25" t="str">
        <f t="shared" ca="1" si="76"/>
        <v>AL DÍA</v>
      </c>
      <c r="W944" s="25" t="s">
        <v>24</v>
      </c>
      <c r="X944" s="25" t="s">
        <v>271</v>
      </c>
      <c r="Y944" s="25">
        <v>2</v>
      </c>
    </row>
    <row r="945" spans="1:25" ht="14.25" hidden="1" customHeight="1" x14ac:dyDescent="0.15">
      <c r="A945" s="24" t="s">
        <v>114</v>
      </c>
      <c r="B945" s="24" t="s">
        <v>88</v>
      </c>
      <c r="C945" s="26" t="s">
        <v>398</v>
      </c>
      <c r="D945" s="24" t="s">
        <v>16</v>
      </c>
      <c r="E945" s="24" t="s">
        <v>450</v>
      </c>
      <c r="F945" s="24" t="s">
        <v>422</v>
      </c>
      <c r="G945" s="71"/>
      <c r="H945" s="21">
        <v>0</v>
      </c>
      <c r="I945" s="21">
        <f t="shared" ca="1" si="77"/>
        <v>2026</v>
      </c>
      <c r="J945" s="21">
        <v>3</v>
      </c>
      <c r="K945" s="25" t="str">
        <f t="shared" ca="1" si="74"/>
        <v>Activo</v>
      </c>
      <c r="O945" s="72">
        <v>1</v>
      </c>
      <c r="P945" s="26" t="s">
        <v>439</v>
      </c>
      <c r="Q945" s="34">
        <v>180</v>
      </c>
      <c r="S945" s="29">
        <v>46198</v>
      </c>
      <c r="T945" s="28">
        <f t="shared" si="78"/>
        <v>46378</v>
      </c>
      <c r="U945" s="25">
        <f t="shared" ca="1" si="75"/>
        <v>117</v>
      </c>
      <c r="V945" s="25" t="str">
        <f t="shared" ca="1" si="76"/>
        <v>AL DÍA</v>
      </c>
      <c r="W945" s="25" t="s">
        <v>24</v>
      </c>
      <c r="X945" s="25" t="s">
        <v>271</v>
      </c>
      <c r="Y945" s="25">
        <v>2</v>
      </c>
    </row>
    <row r="946" spans="1:25" ht="14.25" hidden="1" customHeight="1" x14ac:dyDescent="0.15">
      <c r="A946" s="24" t="s">
        <v>114</v>
      </c>
      <c r="B946" s="24" t="s">
        <v>88</v>
      </c>
      <c r="C946" s="26" t="s">
        <v>399</v>
      </c>
      <c r="D946" s="24" t="s">
        <v>16</v>
      </c>
      <c r="E946" s="24" t="s">
        <v>450</v>
      </c>
      <c r="F946" s="24" t="s">
        <v>422</v>
      </c>
      <c r="G946" s="71"/>
      <c r="H946" s="21">
        <v>0</v>
      </c>
      <c r="I946" s="21">
        <f t="shared" ca="1" si="77"/>
        <v>2026</v>
      </c>
      <c r="J946" s="21">
        <v>3</v>
      </c>
      <c r="K946" s="25" t="str">
        <f t="shared" ca="1" si="74"/>
        <v>Activo</v>
      </c>
      <c r="O946" s="72">
        <v>1</v>
      </c>
      <c r="P946" s="26" t="s">
        <v>439</v>
      </c>
      <c r="Q946" s="34">
        <v>180</v>
      </c>
      <c r="S946" s="29">
        <v>46198</v>
      </c>
      <c r="T946" s="28">
        <f t="shared" si="78"/>
        <v>46378</v>
      </c>
      <c r="U946" s="25">
        <f t="shared" ca="1" si="75"/>
        <v>117</v>
      </c>
      <c r="V946" s="25" t="str">
        <f t="shared" ca="1" si="76"/>
        <v>AL DÍA</v>
      </c>
      <c r="W946" s="25" t="s">
        <v>24</v>
      </c>
      <c r="X946" s="25" t="s">
        <v>271</v>
      </c>
      <c r="Y946" s="25">
        <v>2</v>
      </c>
    </row>
    <row r="947" spans="1:25" ht="14.25" hidden="1" customHeight="1" x14ac:dyDescent="0.15">
      <c r="A947" s="24" t="s">
        <v>114</v>
      </c>
      <c r="B947" s="24" t="s">
        <v>120</v>
      </c>
      <c r="C947" s="26" t="s">
        <v>400</v>
      </c>
      <c r="D947" s="24" t="s">
        <v>16</v>
      </c>
      <c r="E947" s="24" t="s">
        <v>450</v>
      </c>
      <c r="F947" s="24" t="s">
        <v>422</v>
      </c>
      <c r="G947" s="71"/>
      <c r="H947" s="21">
        <v>0</v>
      </c>
      <c r="I947" s="21">
        <f t="shared" ca="1" si="77"/>
        <v>2026</v>
      </c>
      <c r="J947" s="21">
        <v>3</v>
      </c>
      <c r="K947" s="25" t="str">
        <f t="shared" ca="1" si="74"/>
        <v>Activo</v>
      </c>
      <c r="O947" s="72">
        <v>1</v>
      </c>
      <c r="P947" s="26" t="s">
        <v>439</v>
      </c>
      <c r="Q947" s="34">
        <v>180</v>
      </c>
      <c r="S947" s="29">
        <v>46198</v>
      </c>
      <c r="T947" s="28">
        <f t="shared" si="78"/>
        <v>46378</v>
      </c>
      <c r="U947" s="25">
        <f t="shared" ca="1" si="75"/>
        <v>117</v>
      </c>
      <c r="V947" s="25" t="str">
        <f t="shared" ca="1" si="76"/>
        <v>AL DÍA</v>
      </c>
      <c r="W947" s="25" t="s">
        <v>24</v>
      </c>
      <c r="X947" s="25" t="s">
        <v>271</v>
      </c>
      <c r="Y947" s="25">
        <v>2</v>
      </c>
    </row>
    <row r="948" spans="1:25" ht="14.25" hidden="1" customHeight="1" x14ac:dyDescent="0.15">
      <c r="A948" s="24" t="s">
        <v>114</v>
      </c>
      <c r="B948" s="24" t="s">
        <v>120</v>
      </c>
      <c r="C948" s="26" t="s">
        <v>401</v>
      </c>
      <c r="D948" s="24" t="s">
        <v>16</v>
      </c>
      <c r="E948" s="24" t="s">
        <v>450</v>
      </c>
      <c r="F948" s="24" t="s">
        <v>422</v>
      </c>
      <c r="G948" s="71"/>
      <c r="H948" s="21">
        <v>0</v>
      </c>
      <c r="I948" s="21">
        <f t="shared" ca="1" si="77"/>
        <v>2026</v>
      </c>
      <c r="J948" s="21">
        <v>3</v>
      </c>
      <c r="K948" s="25" t="str">
        <f t="shared" ca="1" si="74"/>
        <v>Activo</v>
      </c>
      <c r="O948" s="72">
        <v>1</v>
      </c>
      <c r="P948" s="26" t="s">
        <v>439</v>
      </c>
      <c r="Q948" s="34">
        <v>180</v>
      </c>
      <c r="S948" s="29">
        <v>46198</v>
      </c>
      <c r="T948" s="28">
        <f t="shared" si="78"/>
        <v>46378</v>
      </c>
      <c r="U948" s="25">
        <f t="shared" ca="1" si="75"/>
        <v>117</v>
      </c>
      <c r="V948" s="25" t="str">
        <f t="shared" ca="1" si="76"/>
        <v>AL DÍA</v>
      </c>
      <c r="W948" s="25" t="s">
        <v>24</v>
      </c>
      <c r="X948" s="25" t="s">
        <v>271</v>
      </c>
      <c r="Y948" s="25">
        <v>2</v>
      </c>
    </row>
    <row r="949" spans="1:25" ht="14.25" hidden="1" customHeight="1" x14ac:dyDescent="0.15">
      <c r="A949" s="24" t="s">
        <v>114</v>
      </c>
      <c r="B949" s="24" t="s">
        <v>120</v>
      </c>
      <c r="C949" s="26" t="s">
        <v>402</v>
      </c>
      <c r="D949" s="24" t="s">
        <v>16</v>
      </c>
      <c r="E949" s="24" t="s">
        <v>450</v>
      </c>
      <c r="F949" s="24" t="s">
        <v>422</v>
      </c>
      <c r="G949" s="71"/>
      <c r="H949" s="21">
        <v>0</v>
      </c>
      <c r="I949" s="21">
        <f t="shared" ca="1" si="77"/>
        <v>2026</v>
      </c>
      <c r="J949" s="21">
        <v>3</v>
      </c>
      <c r="K949" s="25" t="str">
        <f t="shared" ca="1" si="74"/>
        <v>Activo</v>
      </c>
      <c r="O949" s="72">
        <v>1</v>
      </c>
      <c r="P949" s="26" t="s">
        <v>439</v>
      </c>
      <c r="Q949" s="34">
        <v>180</v>
      </c>
      <c r="S949" s="29">
        <v>46198</v>
      </c>
      <c r="T949" s="28">
        <f t="shared" si="78"/>
        <v>46378</v>
      </c>
      <c r="U949" s="25">
        <f t="shared" ca="1" si="75"/>
        <v>117</v>
      </c>
      <c r="V949" s="25" t="str">
        <f t="shared" ca="1" si="76"/>
        <v>AL DÍA</v>
      </c>
      <c r="W949" s="25" t="s">
        <v>24</v>
      </c>
      <c r="X949" s="25" t="s">
        <v>271</v>
      </c>
      <c r="Y949" s="25">
        <v>2</v>
      </c>
    </row>
    <row r="950" spans="1:25" ht="14.25" hidden="1" customHeight="1" x14ac:dyDescent="0.15">
      <c r="A950" s="24" t="s">
        <v>114</v>
      </c>
      <c r="B950" s="24" t="s">
        <v>120</v>
      </c>
      <c r="C950" s="26" t="s">
        <v>403</v>
      </c>
      <c r="D950" s="24" t="s">
        <v>16</v>
      </c>
      <c r="E950" s="24" t="s">
        <v>450</v>
      </c>
      <c r="F950" s="24" t="s">
        <v>422</v>
      </c>
      <c r="G950" s="71"/>
      <c r="H950" s="21">
        <v>0</v>
      </c>
      <c r="I950" s="21">
        <f t="shared" ca="1" si="77"/>
        <v>2026</v>
      </c>
      <c r="J950" s="21">
        <v>3</v>
      </c>
      <c r="K950" s="25" t="str">
        <f t="shared" ca="1" si="74"/>
        <v>Activo</v>
      </c>
      <c r="O950" s="72">
        <v>1</v>
      </c>
      <c r="P950" s="26" t="s">
        <v>439</v>
      </c>
      <c r="Q950" s="34">
        <v>180</v>
      </c>
      <c r="S950" s="29">
        <v>46198</v>
      </c>
      <c r="T950" s="28">
        <f t="shared" si="78"/>
        <v>46378</v>
      </c>
      <c r="U950" s="25">
        <f t="shared" ca="1" si="75"/>
        <v>117</v>
      </c>
      <c r="V950" s="25" t="str">
        <f t="shared" ca="1" si="76"/>
        <v>AL DÍA</v>
      </c>
      <c r="W950" s="25" t="s">
        <v>24</v>
      </c>
      <c r="X950" s="25" t="s">
        <v>271</v>
      </c>
      <c r="Y950" s="25">
        <v>2</v>
      </c>
    </row>
    <row r="951" spans="1:25" ht="14.25" hidden="1" customHeight="1" x14ac:dyDescent="0.15">
      <c r="A951" s="24" t="s">
        <v>114</v>
      </c>
      <c r="B951" s="24" t="s">
        <v>120</v>
      </c>
      <c r="C951" s="26" t="s">
        <v>404</v>
      </c>
      <c r="D951" s="24" t="s">
        <v>16</v>
      </c>
      <c r="E951" s="24" t="s">
        <v>450</v>
      </c>
      <c r="F951" s="24" t="s">
        <v>422</v>
      </c>
      <c r="G951" s="71"/>
      <c r="H951" s="21">
        <v>0</v>
      </c>
      <c r="I951" s="21">
        <f t="shared" ca="1" si="77"/>
        <v>2026</v>
      </c>
      <c r="J951" s="21">
        <v>3</v>
      </c>
      <c r="K951" s="25" t="str">
        <f t="shared" ca="1" si="74"/>
        <v>Activo</v>
      </c>
      <c r="O951" s="72">
        <v>1</v>
      </c>
      <c r="P951" s="26" t="s">
        <v>439</v>
      </c>
      <c r="Q951" s="34">
        <v>180</v>
      </c>
      <c r="S951" s="29">
        <v>46198</v>
      </c>
      <c r="T951" s="28">
        <f t="shared" si="78"/>
        <v>46378</v>
      </c>
      <c r="U951" s="25">
        <f t="shared" ca="1" si="75"/>
        <v>117</v>
      </c>
      <c r="V951" s="25" t="str">
        <f t="shared" ca="1" si="76"/>
        <v>AL DÍA</v>
      </c>
      <c r="W951" s="25" t="s">
        <v>24</v>
      </c>
      <c r="X951" s="25" t="s">
        <v>271</v>
      </c>
      <c r="Y951" s="25">
        <v>2</v>
      </c>
    </row>
    <row r="952" spans="1:25" ht="14.25" hidden="1" customHeight="1" x14ac:dyDescent="0.15">
      <c r="A952" s="24" t="s">
        <v>114</v>
      </c>
      <c r="B952" s="24" t="s">
        <v>120</v>
      </c>
      <c r="C952" s="25" t="s">
        <v>405</v>
      </c>
      <c r="D952" s="24" t="s">
        <v>16</v>
      </c>
      <c r="E952" s="24" t="s">
        <v>450</v>
      </c>
      <c r="F952" s="24" t="s">
        <v>422</v>
      </c>
      <c r="G952" s="71"/>
      <c r="H952" s="21">
        <v>0</v>
      </c>
      <c r="I952" s="21">
        <f t="shared" ca="1" si="77"/>
        <v>2026</v>
      </c>
      <c r="J952" s="21">
        <v>3</v>
      </c>
      <c r="K952" s="25" t="str">
        <f t="shared" ca="1" si="74"/>
        <v>Activo</v>
      </c>
      <c r="N952" s="26"/>
      <c r="O952" s="72">
        <v>1</v>
      </c>
      <c r="P952" s="26" t="s">
        <v>439</v>
      </c>
      <c r="Q952" s="34">
        <v>180</v>
      </c>
      <c r="S952" s="29">
        <v>46198</v>
      </c>
      <c r="T952" s="28">
        <f t="shared" si="78"/>
        <v>46378</v>
      </c>
      <c r="U952" s="25">
        <f t="shared" ca="1" si="75"/>
        <v>117</v>
      </c>
      <c r="V952" s="25" t="str">
        <f t="shared" ca="1" si="76"/>
        <v>AL DÍA</v>
      </c>
      <c r="W952" s="25" t="s">
        <v>24</v>
      </c>
      <c r="X952" s="25" t="s">
        <v>271</v>
      </c>
      <c r="Y952" s="25">
        <v>2</v>
      </c>
    </row>
    <row r="953" spans="1:25" ht="14.25" hidden="1" customHeight="1" x14ac:dyDescent="0.15">
      <c r="A953" s="24" t="s">
        <v>114</v>
      </c>
      <c r="B953" s="24" t="s">
        <v>120</v>
      </c>
      <c r="C953" s="25" t="s">
        <v>406</v>
      </c>
      <c r="D953" s="24" t="s">
        <v>16</v>
      </c>
      <c r="E953" s="24" t="s">
        <v>450</v>
      </c>
      <c r="F953" s="24" t="s">
        <v>422</v>
      </c>
      <c r="G953" s="71"/>
      <c r="H953" s="21">
        <v>0</v>
      </c>
      <c r="I953" s="21">
        <f t="shared" ca="1" si="77"/>
        <v>2026</v>
      </c>
      <c r="J953" s="21">
        <v>3</v>
      </c>
      <c r="K953" s="25" t="str">
        <f t="shared" ca="1" si="74"/>
        <v>Activo</v>
      </c>
      <c r="O953" s="72">
        <v>1</v>
      </c>
      <c r="P953" s="26" t="s">
        <v>439</v>
      </c>
      <c r="Q953" s="34">
        <v>180</v>
      </c>
      <c r="S953" s="29">
        <v>46198</v>
      </c>
      <c r="T953" s="28">
        <f t="shared" si="78"/>
        <v>46378</v>
      </c>
      <c r="U953" s="25">
        <f t="shared" ca="1" si="75"/>
        <v>117</v>
      </c>
      <c r="V953" s="25" t="str">
        <f t="shared" ca="1" si="76"/>
        <v>AL DÍA</v>
      </c>
      <c r="W953" s="25" t="s">
        <v>24</v>
      </c>
      <c r="X953" s="25" t="s">
        <v>271</v>
      </c>
      <c r="Y953" s="25">
        <v>2</v>
      </c>
    </row>
    <row r="954" spans="1:25" ht="14.25" hidden="1" customHeight="1" x14ac:dyDescent="0.15">
      <c r="A954" s="24" t="s">
        <v>114</v>
      </c>
      <c r="B954" s="24" t="s">
        <v>120</v>
      </c>
      <c r="C954" s="25" t="s">
        <v>407</v>
      </c>
      <c r="D954" s="24" t="s">
        <v>16</v>
      </c>
      <c r="E954" s="24" t="s">
        <v>450</v>
      </c>
      <c r="F954" s="24" t="s">
        <v>422</v>
      </c>
      <c r="G954" s="71"/>
      <c r="H954" s="21">
        <v>0</v>
      </c>
      <c r="I954" s="21">
        <f t="shared" ca="1" si="77"/>
        <v>2026</v>
      </c>
      <c r="J954" s="21">
        <v>3</v>
      </c>
      <c r="K954" s="25" t="str">
        <f t="shared" ca="1" si="74"/>
        <v>Activo</v>
      </c>
      <c r="O954" s="72">
        <v>1</v>
      </c>
      <c r="P954" s="26" t="s">
        <v>439</v>
      </c>
      <c r="Q954" s="34">
        <v>180</v>
      </c>
      <c r="S954" s="29">
        <v>46198</v>
      </c>
      <c r="T954" s="28">
        <f t="shared" si="78"/>
        <v>46378</v>
      </c>
      <c r="U954" s="25">
        <f t="shared" ca="1" si="75"/>
        <v>117</v>
      </c>
      <c r="V954" s="25" t="str">
        <f t="shared" ca="1" si="76"/>
        <v>AL DÍA</v>
      </c>
      <c r="W954" s="25" t="s">
        <v>24</v>
      </c>
      <c r="X954" s="25" t="s">
        <v>271</v>
      </c>
      <c r="Y954" s="25">
        <v>2</v>
      </c>
    </row>
    <row r="955" spans="1:25" ht="14.25" hidden="1" customHeight="1" x14ac:dyDescent="0.15">
      <c r="A955" s="24" t="s">
        <v>114</v>
      </c>
      <c r="B955" s="24" t="s">
        <v>88</v>
      </c>
      <c r="C955" s="25" t="s">
        <v>394</v>
      </c>
      <c r="D955" s="24" t="s">
        <v>16</v>
      </c>
      <c r="E955" s="24" t="s">
        <v>435</v>
      </c>
      <c r="F955" s="24" t="s">
        <v>423</v>
      </c>
      <c r="G955" s="71"/>
      <c r="H955" s="21">
        <v>0</v>
      </c>
      <c r="I955" s="21">
        <f t="shared" ca="1" si="77"/>
        <v>2026</v>
      </c>
      <c r="J955" s="21">
        <v>3</v>
      </c>
      <c r="K955" s="25" t="str">
        <f t="shared" ca="1" si="74"/>
        <v>Activo</v>
      </c>
      <c r="O955" s="72">
        <v>1</v>
      </c>
      <c r="P955" s="26" t="s">
        <v>439</v>
      </c>
      <c r="Q955" s="34">
        <v>180</v>
      </c>
      <c r="S955" s="29">
        <v>46198</v>
      </c>
      <c r="T955" s="28">
        <f t="shared" si="78"/>
        <v>46378</v>
      </c>
      <c r="U955" s="25">
        <f t="shared" ca="1" si="75"/>
        <v>117</v>
      </c>
      <c r="V955" s="25" t="str">
        <f t="shared" ca="1" si="76"/>
        <v>AL DÍA</v>
      </c>
      <c r="W955" s="25" t="s">
        <v>24</v>
      </c>
      <c r="X955" s="25" t="s">
        <v>271</v>
      </c>
      <c r="Y955" s="25">
        <v>2</v>
      </c>
    </row>
    <row r="956" spans="1:25" ht="14.25" hidden="1" customHeight="1" x14ac:dyDescent="0.15">
      <c r="A956" s="24" t="s">
        <v>114</v>
      </c>
      <c r="B956" s="24" t="s">
        <v>88</v>
      </c>
      <c r="C956" s="26" t="s">
        <v>395</v>
      </c>
      <c r="D956" s="24" t="s">
        <v>16</v>
      </c>
      <c r="E956" s="24" t="s">
        <v>435</v>
      </c>
      <c r="F956" s="24" t="s">
        <v>423</v>
      </c>
      <c r="G956" s="71"/>
      <c r="H956" s="21">
        <v>0</v>
      </c>
      <c r="I956" s="21">
        <f t="shared" ca="1" si="77"/>
        <v>2026</v>
      </c>
      <c r="J956" s="21">
        <v>3</v>
      </c>
      <c r="K956" s="25" t="str">
        <f t="shared" ca="1" si="74"/>
        <v>Activo</v>
      </c>
      <c r="O956" s="72">
        <v>1</v>
      </c>
      <c r="P956" s="26" t="s">
        <v>439</v>
      </c>
      <c r="Q956" s="34">
        <v>180</v>
      </c>
      <c r="S956" s="29">
        <v>46198</v>
      </c>
      <c r="T956" s="28">
        <f t="shared" si="78"/>
        <v>46378</v>
      </c>
      <c r="U956" s="25">
        <f t="shared" ca="1" si="75"/>
        <v>117</v>
      </c>
      <c r="V956" s="25" t="str">
        <f t="shared" ca="1" si="76"/>
        <v>AL DÍA</v>
      </c>
      <c r="W956" s="25" t="s">
        <v>24</v>
      </c>
      <c r="X956" s="25" t="s">
        <v>271</v>
      </c>
      <c r="Y956" s="25">
        <v>2</v>
      </c>
    </row>
    <row r="957" spans="1:25" ht="14.25" hidden="1" customHeight="1" x14ac:dyDescent="0.15">
      <c r="A957" s="24" t="s">
        <v>114</v>
      </c>
      <c r="B957" s="24" t="s">
        <v>88</v>
      </c>
      <c r="C957" s="26" t="s">
        <v>396</v>
      </c>
      <c r="D957" s="24" t="s">
        <v>16</v>
      </c>
      <c r="E957" s="24" t="s">
        <v>435</v>
      </c>
      <c r="F957" s="24" t="s">
        <v>423</v>
      </c>
      <c r="G957" s="71"/>
      <c r="H957" s="21">
        <v>0</v>
      </c>
      <c r="I957" s="21">
        <f t="shared" ca="1" si="77"/>
        <v>2026</v>
      </c>
      <c r="J957" s="21">
        <v>3</v>
      </c>
      <c r="K957" s="25" t="str">
        <f t="shared" ca="1" si="74"/>
        <v>Activo</v>
      </c>
      <c r="O957" s="72">
        <v>1</v>
      </c>
      <c r="P957" s="26" t="s">
        <v>439</v>
      </c>
      <c r="Q957" s="34">
        <v>180</v>
      </c>
      <c r="S957" s="29">
        <v>46198</v>
      </c>
      <c r="T957" s="28">
        <f t="shared" si="78"/>
        <v>46378</v>
      </c>
      <c r="U957" s="25">
        <f t="shared" ca="1" si="75"/>
        <v>117</v>
      </c>
      <c r="V957" s="25" t="str">
        <f t="shared" ca="1" si="76"/>
        <v>AL DÍA</v>
      </c>
      <c r="W957" s="25" t="s">
        <v>24</v>
      </c>
      <c r="X957" s="25" t="s">
        <v>271</v>
      </c>
      <c r="Y957" s="25">
        <v>2</v>
      </c>
    </row>
    <row r="958" spans="1:25" ht="14.25" hidden="1" customHeight="1" x14ac:dyDescent="0.15">
      <c r="A958" s="24" t="s">
        <v>114</v>
      </c>
      <c r="B958" s="24" t="s">
        <v>88</v>
      </c>
      <c r="C958" s="26" t="s">
        <v>397</v>
      </c>
      <c r="D958" s="24" t="s">
        <v>16</v>
      </c>
      <c r="E958" s="24" t="s">
        <v>435</v>
      </c>
      <c r="F958" s="24" t="s">
        <v>423</v>
      </c>
      <c r="G958" s="71"/>
      <c r="H958" s="21">
        <v>0</v>
      </c>
      <c r="I958" s="21">
        <f t="shared" ca="1" si="77"/>
        <v>2026</v>
      </c>
      <c r="J958" s="21">
        <v>3</v>
      </c>
      <c r="K958" s="25" t="str">
        <f t="shared" ca="1" si="74"/>
        <v>Activo</v>
      </c>
      <c r="O958" s="72">
        <v>1</v>
      </c>
      <c r="P958" s="26" t="s">
        <v>439</v>
      </c>
      <c r="Q958" s="34">
        <v>180</v>
      </c>
      <c r="S958" s="29">
        <v>46198</v>
      </c>
      <c r="T958" s="28">
        <f t="shared" si="78"/>
        <v>46378</v>
      </c>
      <c r="U958" s="25">
        <f t="shared" ca="1" si="75"/>
        <v>117</v>
      </c>
      <c r="V958" s="25" t="str">
        <f t="shared" ca="1" si="76"/>
        <v>AL DÍA</v>
      </c>
      <c r="W958" s="25" t="s">
        <v>24</v>
      </c>
      <c r="X958" s="25" t="s">
        <v>271</v>
      </c>
      <c r="Y958" s="25">
        <v>2</v>
      </c>
    </row>
    <row r="959" spans="1:25" ht="14.25" hidden="1" customHeight="1" x14ac:dyDescent="0.15">
      <c r="A959" s="24" t="s">
        <v>114</v>
      </c>
      <c r="B959" s="24" t="s">
        <v>88</v>
      </c>
      <c r="C959" s="26" t="s">
        <v>398</v>
      </c>
      <c r="D959" s="24" t="s">
        <v>16</v>
      </c>
      <c r="E959" s="24" t="s">
        <v>435</v>
      </c>
      <c r="F959" s="24" t="s">
        <v>423</v>
      </c>
      <c r="G959" s="71"/>
      <c r="H959" s="21">
        <v>0</v>
      </c>
      <c r="I959" s="21">
        <f t="shared" ca="1" si="77"/>
        <v>2026</v>
      </c>
      <c r="J959" s="21">
        <v>3</v>
      </c>
      <c r="K959" s="25" t="str">
        <f t="shared" ca="1" si="74"/>
        <v>Activo</v>
      </c>
      <c r="O959" s="72">
        <v>1</v>
      </c>
      <c r="P959" s="26" t="s">
        <v>439</v>
      </c>
      <c r="Q959" s="34">
        <v>180</v>
      </c>
      <c r="S959" s="29">
        <v>46198</v>
      </c>
      <c r="T959" s="28">
        <f t="shared" si="78"/>
        <v>46378</v>
      </c>
      <c r="U959" s="25">
        <f t="shared" ca="1" si="75"/>
        <v>117</v>
      </c>
      <c r="V959" s="25" t="str">
        <f t="shared" ca="1" si="76"/>
        <v>AL DÍA</v>
      </c>
      <c r="W959" s="25" t="s">
        <v>24</v>
      </c>
      <c r="X959" s="25" t="s">
        <v>271</v>
      </c>
      <c r="Y959" s="25">
        <v>2</v>
      </c>
    </row>
    <row r="960" spans="1:25" ht="14.25" hidden="1" customHeight="1" x14ac:dyDescent="0.15">
      <c r="A960" s="24" t="s">
        <v>114</v>
      </c>
      <c r="B960" s="24" t="s">
        <v>88</v>
      </c>
      <c r="C960" s="26" t="s">
        <v>399</v>
      </c>
      <c r="D960" s="24" t="s">
        <v>16</v>
      </c>
      <c r="E960" s="24" t="s">
        <v>435</v>
      </c>
      <c r="F960" s="24" t="s">
        <v>423</v>
      </c>
      <c r="G960" s="71"/>
      <c r="H960" s="21">
        <v>0</v>
      </c>
      <c r="I960" s="21">
        <f t="shared" ca="1" si="77"/>
        <v>2026</v>
      </c>
      <c r="J960" s="21">
        <v>3</v>
      </c>
      <c r="K960" s="25" t="str">
        <f t="shared" ca="1" si="74"/>
        <v>Activo</v>
      </c>
      <c r="O960" s="73">
        <v>1</v>
      </c>
      <c r="P960" s="26" t="s">
        <v>439</v>
      </c>
      <c r="Q960" s="34">
        <v>180</v>
      </c>
      <c r="S960" s="29">
        <v>46198</v>
      </c>
      <c r="T960" s="28">
        <f t="shared" si="78"/>
        <v>46378</v>
      </c>
      <c r="U960" s="25">
        <f t="shared" ca="1" si="75"/>
        <v>117</v>
      </c>
      <c r="V960" s="25" t="str">
        <f t="shared" ca="1" si="76"/>
        <v>AL DÍA</v>
      </c>
      <c r="W960" s="25" t="s">
        <v>24</v>
      </c>
      <c r="X960" s="25" t="s">
        <v>271</v>
      </c>
      <c r="Y960" s="25">
        <v>2</v>
      </c>
    </row>
    <row r="961" spans="1:26" ht="14.25" hidden="1" customHeight="1" x14ac:dyDescent="0.15">
      <c r="A961" s="24" t="s">
        <v>114</v>
      </c>
      <c r="B961" s="24" t="s">
        <v>120</v>
      </c>
      <c r="C961" s="26" t="s">
        <v>400</v>
      </c>
      <c r="D961" s="24" t="s">
        <v>16</v>
      </c>
      <c r="E961" s="24" t="s">
        <v>435</v>
      </c>
      <c r="F961" s="24" t="s">
        <v>423</v>
      </c>
      <c r="G961" s="71"/>
      <c r="H961" s="21">
        <v>0</v>
      </c>
      <c r="I961" s="21">
        <f t="shared" ca="1" si="77"/>
        <v>2026</v>
      </c>
      <c r="J961" s="21">
        <v>3</v>
      </c>
      <c r="K961" s="25" t="str">
        <f t="shared" ca="1" si="74"/>
        <v>Activo</v>
      </c>
      <c r="O961" s="72">
        <v>1</v>
      </c>
      <c r="P961" s="26" t="s">
        <v>439</v>
      </c>
      <c r="Q961" s="34">
        <v>180</v>
      </c>
      <c r="S961" s="29">
        <v>46198</v>
      </c>
      <c r="T961" s="28">
        <f t="shared" si="78"/>
        <v>46378</v>
      </c>
      <c r="U961" s="25">
        <f t="shared" ca="1" si="75"/>
        <v>117</v>
      </c>
      <c r="V961" s="25" t="str">
        <f t="shared" ca="1" si="76"/>
        <v>AL DÍA</v>
      </c>
      <c r="W961" s="25" t="s">
        <v>24</v>
      </c>
      <c r="X961" s="25" t="s">
        <v>271</v>
      </c>
      <c r="Y961" s="25">
        <v>2</v>
      </c>
    </row>
    <row r="962" spans="1:26" ht="14.25" hidden="1" customHeight="1" x14ac:dyDescent="0.15">
      <c r="A962" s="24" t="s">
        <v>114</v>
      </c>
      <c r="B962" s="24" t="s">
        <v>120</v>
      </c>
      <c r="C962" s="26" t="s">
        <v>401</v>
      </c>
      <c r="D962" s="24" t="s">
        <v>16</v>
      </c>
      <c r="E962" s="24" t="s">
        <v>435</v>
      </c>
      <c r="F962" s="24" t="s">
        <v>423</v>
      </c>
      <c r="G962" s="71"/>
      <c r="H962" s="21">
        <v>0</v>
      </c>
      <c r="I962" s="21">
        <f t="shared" ca="1" si="77"/>
        <v>2026</v>
      </c>
      <c r="J962" s="21">
        <v>3</v>
      </c>
      <c r="K962" s="25" t="str">
        <f t="shared" ref="K962:K993" ca="1" si="79">IF(J962=1,"Cambiar",IF(J962=2,"Presupuestar",IF(H962=0,"Activo",IF(G962+H962&lt;YEAR(TODAY()),"Cambiar o Inspección externa",IF(G962+H962-1&lt;YEAR(TODAY()),"Presupuestar","Activo")))))</f>
        <v>Activo</v>
      </c>
      <c r="O962" s="72">
        <v>1</v>
      </c>
      <c r="P962" s="26" t="s">
        <v>439</v>
      </c>
      <c r="Q962" s="34">
        <v>180</v>
      </c>
      <c r="S962" s="29">
        <v>46198</v>
      </c>
      <c r="T962" s="28">
        <f t="shared" si="78"/>
        <v>46378</v>
      </c>
      <c r="U962" s="25">
        <f t="shared" ref="U962:U1025" ca="1" si="80">T962-TODAY()</f>
        <v>117</v>
      </c>
      <c r="V962" s="25" t="str">
        <f t="shared" ref="V962:V1025" ca="1" si="81">IF(U962&lt;0, "VENCIDO", "AL DÍA")</f>
        <v>AL DÍA</v>
      </c>
      <c r="W962" s="25" t="s">
        <v>24</v>
      </c>
      <c r="X962" s="25" t="s">
        <v>271</v>
      </c>
      <c r="Y962" s="25">
        <v>2</v>
      </c>
    </row>
    <row r="963" spans="1:26" ht="14.25" hidden="1" customHeight="1" x14ac:dyDescent="0.15">
      <c r="A963" s="24" t="s">
        <v>114</v>
      </c>
      <c r="B963" s="24" t="s">
        <v>120</v>
      </c>
      <c r="C963" s="26" t="s">
        <v>402</v>
      </c>
      <c r="D963" s="24" t="s">
        <v>16</v>
      </c>
      <c r="E963" s="24" t="s">
        <v>435</v>
      </c>
      <c r="F963" s="24" t="s">
        <v>423</v>
      </c>
      <c r="G963" s="71"/>
      <c r="H963" s="21">
        <v>0</v>
      </c>
      <c r="I963" s="21">
        <f t="shared" ca="1" si="77"/>
        <v>2026</v>
      </c>
      <c r="J963" s="21">
        <v>3</v>
      </c>
      <c r="K963" s="25" t="str">
        <f t="shared" ca="1" si="79"/>
        <v>Activo</v>
      </c>
      <c r="O963" s="72">
        <v>1</v>
      </c>
      <c r="P963" s="26" t="s">
        <v>439</v>
      </c>
      <c r="Q963" s="34">
        <v>180</v>
      </c>
      <c r="S963" s="29">
        <v>46198</v>
      </c>
      <c r="T963" s="28">
        <f t="shared" si="78"/>
        <v>46378</v>
      </c>
      <c r="U963" s="25">
        <f t="shared" ca="1" si="80"/>
        <v>117</v>
      </c>
      <c r="V963" s="25" t="str">
        <f t="shared" ca="1" si="81"/>
        <v>AL DÍA</v>
      </c>
      <c r="W963" s="25" t="s">
        <v>24</v>
      </c>
      <c r="X963" s="25" t="s">
        <v>271</v>
      </c>
      <c r="Y963" s="25">
        <v>2</v>
      </c>
    </row>
    <row r="964" spans="1:26" ht="14.25" hidden="1" customHeight="1" x14ac:dyDescent="0.15">
      <c r="A964" s="24" t="s">
        <v>114</v>
      </c>
      <c r="B964" s="24" t="s">
        <v>120</v>
      </c>
      <c r="C964" s="26" t="s">
        <v>403</v>
      </c>
      <c r="D964" s="24" t="s">
        <v>16</v>
      </c>
      <c r="E964" s="24" t="s">
        <v>435</v>
      </c>
      <c r="F964" s="24" t="s">
        <v>423</v>
      </c>
      <c r="G964" s="71"/>
      <c r="H964" s="21">
        <v>0</v>
      </c>
      <c r="I964" s="21">
        <f t="shared" ca="1" si="77"/>
        <v>2026</v>
      </c>
      <c r="J964" s="21">
        <v>3</v>
      </c>
      <c r="K964" s="25" t="str">
        <f t="shared" ca="1" si="79"/>
        <v>Activo</v>
      </c>
      <c r="O964" s="72">
        <v>1</v>
      </c>
      <c r="P964" s="26" t="s">
        <v>439</v>
      </c>
      <c r="Q964" s="34">
        <v>180</v>
      </c>
      <c r="S964" s="29">
        <v>46198</v>
      </c>
      <c r="T964" s="28">
        <f t="shared" si="78"/>
        <v>46378</v>
      </c>
      <c r="U964" s="25">
        <f t="shared" ca="1" si="80"/>
        <v>117</v>
      </c>
      <c r="V964" s="25" t="str">
        <f t="shared" ca="1" si="81"/>
        <v>AL DÍA</v>
      </c>
      <c r="W964" s="25" t="s">
        <v>24</v>
      </c>
      <c r="X964" s="25" t="s">
        <v>271</v>
      </c>
      <c r="Y964" s="25">
        <v>2</v>
      </c>
    </row>
    <row r="965" spans="1:26" ht="14.25" hidden="1" customHeight="1" x14ac:dyDescent="0.15">
      <c r="A965" s="24" t="s">
        <v>114</v>
      </c>
      <c r="B965" s="24" t="s">
        <v>120</v>
      </c>
      <c r="C965" s="26" t="s">
        <v>404</v>
      </c>
      <c r="D965" s="24" t="s">
        <v>16</v>
      </c>
      <c r="E965" s="24" t="s">
        <v>435</v>
      </c>
      <c r="F965" s="24" t="s">
        <v>423</v>
      </c>
      <c r="G965" s="71"/>
      <c r="H965" s="21">
        <v>0</v>
      </c>
      <c r="I965" s="21">
        <f t="shared" ca="1" si="77"/>
        <v>2026</v>
      </c>
      <c r="J965" s="21">
        <v>3</v>
      </c>
      <c r="K965" s="25" t="str">
        <f t="shared" ca="1" si="79"/>
        <v>Activo</v>
      </c>
      <c r="O965" s="72">
        <v>1</v>
      </c>
      <c r="P965" s="26" t="s">
        <v>439</v>
      </c>
      <c r="Q965" s="34">
        <v>180</v>
      </c>
      <c r="S965" s="29">
        <v>46198</v>
      </c>
      <c r="T965" s="28">
        <f t="shared" si="78"/>
        <v>46378</v>
      </c>
      <c r="U965" s="25">
        <f t="shared" ca="1" si="80"/>
        <v>117</v>
      </c>
      <c r="V965" s="25" t="str">
        <f t="shared" ca="1" si="81"/>
        <v>AL DÍA</v>
      </c>
      <c r="W965" s="25" t="s">
        <v>24</v>
      </c>
      <c r="X965" s="25" t="s">
        <v>271</v>
      </c>
      <c r="Y965" s="25">
        <v>2</v>
      </c>
    </row>
    <row r="966" spans="1:26" ht="14.25" hidden="1" customHeight="1" x14ac:dyDescent="0.15">
      <c r="A966" s="24" t="s">
        <v>114</v>
      </c>
      <c r="B966" s="24" t="s">
        <v>120</v>
      </c>
      <c r="C966" s="26" t="s">
        <v>405</v>
      </c>
      <c r="D966" s="24" t="s">
        <v>16</v>
      </c>
      <c r="E966" s="24" t="s">
        <v>435</v>
      </c>
      <c r="F966" s="24" t="s">
        <v>423</v>
      </c>
      <c r="G966" s="71"/>
      <c r="H966" s="21">
        <v>0</v>
      </c>
      <c r="I966" s="21">
        <f t="shared" ca="1" si="77"/>
        <v>2026</v>
      </c>
      <c r="J966" s="21">
        <v>3</v>
      </c>
      <c r="K966" s="25" t="str">
        <f t="shared" ca="1" si="79"/>
        <v>Activo</v>
      </c>
      <c r="O966" s="72">
        <v>1</v>
      </c>
      <c r="P966" s="25" t="s">
        <v>439</v>
      </c>
      <c r="Q966" s="32">
        <v>180</v>
      </c>
      <c r="S966" s="29">
        <v>46198</v>
      </c>
      <c r="T966" s="28">
        <f t="shared" si="78"/>
        <v>46378</v>
      </c>
      <c r="U966" s="25">
        <f t="shared" ca="1" si="80"/>
        <v>117</v>
      </c>
      <c r="V966" s="25" t="str">
        <f t="shared" ca="1" si="81"/>
        <v>AL DÍA</v>
      </c>
      <c r="W966" s="25" t="s">
        <v>24</v>
      </c>
      <c r="X966" s="25" t="s">
        <v>271</v>
      </c>
      <c r="Y966" s="25">
        <v>2</v>
      </c>
    </row>
    <row r="967" spans="1:26" ht="14.25" hidden="1" customHeight="1" x14ac:dyDescent="0.15">
      <c r="A967" s="24" t="s">
        <v>114</v>
      </c>
      <c r="B967" s="24" t="s">
        <v>120</v>
      </c>
      <c r="C967" s="26" t="s">
        <v>406</v>
      </c>
      <c r="D967" s="24" t="s">
        <v>16</v>
      </c>
      <c r="E967" s="24" t="s">
        <v>435</v>
      </c>
      <c r="F967" s="24" t="s">
        <v>423</v>
      </c>
      <c r="G967" s="71"/>
      <c r="H967" s="21">
        <v>0</v>
      </c>
      <c r="I967" s="21">
        <f t="shared" ca="1" si="77"/>
        <v>2026</v>
      </c>
      <c r="J967" s="21">
        <v>3</v>
      </c>
      <c r="K967" s="25" t="str">
        <f t="shared" ca="1" si="79"/>
        <v>Activo</v>
      </c>
      <c r="O967" s="72">
        <v>1</v>
      </c>
      <c r="P967" s="25" t="s">
        <v>439</v>
      </c>
      <c r="Q967" s="32">
        <v>180</v>
      </c>
      <c r="S967" s="29">
        <v>46198</v>
      </c>
      <c r="T967" s="28">
        <f t="shared" si="78"/>
        <v>46378</v>
      </c>
      <c r="U967" s="25">
        <f t="shared" ca="1" si="80"/>
        <v>117</v>
      </c>
      <c r="V967" s="25" t="str">
        <f t="shared" ca="1" si="81"/>
        <v>AL DÍA</v>
      </c>
      <c r="W967" s="25" t="s">
        <v>24</v>
      </c>
      <c r="X967" s="25" t="s">
        <v>271</v>
      </c>
      <c r="Y967" s="25">
        <v>2</v>
      </c>
    </row>
    <row r="968" spans="1:26" ht="14.25" hidden="1" customHeight="1" x14ac:dyDescent="0.15">
      <c r="A968" s="24" t="s">
        <v>114</v>
      </c>
      <c r="B968" s="24" t="s">
        <v>120</v>
      </c>
      <c r="C968" s="26" t="s">
        <v>407</v>
      </c>
      <c r="D968" s="24" t="s">
        <v>16</v>
      </c>
      <c r="E968" s="24" t="s">
        <v>435</v>
      </c>
      <c r="F968" s="24" t="s">
        <v>423</v>
      </c>
      <c r="G968" s="71"/>
      <c r="H968" s="21">
        <v>0</v>
      </c>
      <c r="I968" s="21">
        <f t="shared" ca="1" si="77"/>
        <v>2026</v>
      </c>
      <c r="J968" s="21">
        <v>3</v>
      </c>
      <c r="K968" s="25" t="str">
        <f t="shared" ca="1" si="79"/>
        <v>Activo</v>
      </c>
      <c r="O968" s="72">
        <v>1</v>
      </c>
      <c r="P968" s="25" t="s">
        <v>439</v>
      </c>
      <c r="Q968" s="32">
        <v>180</v>
      </c>
      <c r="S968" s="29">
        <v>46198</v>
      </c>
      <c r="T968" s="28">
        <f t="shared" si="78"/>
        <v>46378</v>
      </c>
      <c r="U968" s="25">
        <f t="shared" ca="1" si="80"/>
        <v>117</v>
      </c>
      <c r="V968" s="25" t="str">
        <f t="shared" ca="1" si="81"/>
        <v>AL DÍA</v>
      </c>
      <c r="W968" s="25" t="s">
        <v>24</v>
      </c>
      <c r="X968" s="25" t="s">
        <v>271</v>
      </c>
      <c r="Y968" s="25">
        <v>2</v>
      </c>
    </row>
    <row r="969" spans="1:26" ht="14.25" hidden="1" customHeight="1" x14ac:dyDescent="0.15">
      <c r="A969" s="24" t="s">
        <v>114</v>
      </c>
      <c r="B969" s="24" t="s">
        <v>88</v>
      </c>
      <c r="C969" s="26" t="s">
        <v>394</v>
      </c>
      <c r="D969" s="24" t="s">
        <v>16</v>
      </c>
      <c r="E969" s="24" t="s">
        <v>451</v>
      </c>
      <c r="F969" s="24" t="s">
        <v>93</v>
      </c>
      <c r="G969" s="21">
        <v>2014</v>
      </c>
      <c r="H969" s="21">
        <v>20</v>
      </c>
      <c r="I969" s="21">
        <f t="shared" ca="1" si="77"/>
        <v>12</v>
      </c>
      <c r="J969" s="21">
        <v>3</v>
      </c>
      <c r="K969" s="25" t="str">
        <f t="shared" ca="1" si="79"/>
        <v>Activo</v>
      </c>
      <c r="L969" s="25" t="s">
        <v>142</v>
      </c>
      <c r="P969" s="25" t="s">
        <v>22</v>
      </c>
      <c r="Q969" s="32">
        <v>365</v>
      </c>
      <c r="R969" s="25" t="s">
        <v>69</v>
      </c>
      <c r="S969" s="28">
        <v>46198</v>
      </c>
      <c r="T969" s="28">
        <f t="shared" si="78"/>
        <v>46563</v>
      </c>
      <c r="U969" s="25">
        <f t="shared" ca="1" si="80"/>
        <v>302</v>
      </c>
      <c r="V969" s="25" t="str">
        <f t="shared" ca="1" si="81"/>
        <v>AL DÍA</v>
      </c>
      <c r="W969" s="25" t="s">
        <v>24</v>
      </c>
      <c r="X969" s="25" t="s">
        <v>262</v>
      </c>
      <c r="Y969" s="25">
        <v>1</v>
      </c>
      <c r="Z969" s="1" t="s">
        <v>265</v>
      </c>
    </row>
    <row r="970" spans="1:26" ht="14.25" hidden="1" customHeight="1" x14ac:dyDescent="0.15">
      <c r="A970" s="24" t="s">
        <v>114</v>
      </c>
      <c r="B970" s="24" t="s">
        <v>88</v>
      </c>
      <c r="C970" s="26" t="s">
        <v>395</v>
      </c>
      <c r="D970" s="24" t="s">
        <v>16</v>
      </c>
      <c r="E970" s="24" t="s">
        <v>451</v>
      </c>
      <c r="F970" s="24" t="s">
        <v>93</v>
      </c>
      <c r="G970" s="21">
        <v>2014</v>
      </c>
      <c r="H970" s="21">
        <v>20</v>
      </c>
      <c r="I970" s="21">
        <f t="shared" ca="1" si="77"/>
        <v>12</v>
      </c>
      <c r="J970" s="21">
        <v>3</v>
      </c>
      <c r="K970" s="25" t="str">
        <f t="shared" ca="1" si="79"/>
        <v>Activo</v>
      </c>
      <c r="L970" s="25" t="s">
        <v>142</v>
      </c>
      <c r="O970" s="26"/>
      <c r="P970" s="26" t="s">
        <v>22</v>
      </c>
      <c r="Q970" s="34">
        <v>365</v>
      </c>
      <c r="R970" s="25" t="s">
        <v>69</v>
      </c>
      <c r="S970" s="28">
        <v>46198</v>
      </c>
      <c r="T970" s="28">
        <f t="shared" si="78"/>
        <v>46563</v>
      </c>
      <c r="U970" s="25">
        <f t="shared" ca="1" si="80"/>
        <v>302</v>
      </c>
      <c r="V970" s="25" t="str">
        <f t="shared" ca="1" si="81"/>
        <v>AL DÍA</v>
      </c>
      <c r="W970" s="25" t="s">
        <v>24</v>
      </c>
      <c r="X970" s="25" t="s">
        <v>262</v>
      </c>
      <c r="Y970" s="25">
        <v>1</v>
      </c>
      <c r="Z970" s="1" t="s">
        <v>265</v>
      </c>
    </row>
    <row r="971" spans="1:26" ht="14.25" hidden="1" customHeight="1" x14ac:dyDescent="0.15">
      <c r="A971" s="24" t="s">
        <v>114</v>
      </c>
      <c r="B971" s="24" t="s">
        <v>88</v>
      </c>
      <c r="C971" s="26" t="s">
        <v>396</v>
      </c>
      <c r="D971" s="24" t="s">
        <v>16</v>
      </c>
      <c r="E971" s="24" t="s">
        <v>451</v>
      </c>
      <c r="F971" s="24" t="s">
        <v>93</v>
      </c>
      <c r="G971" s="21">
        <v>2014</v>
      </c>
      <c r="H971" s="21">
        <v>20</v>
      </c>
      <c r="I971" s="21">
        <f t="shared" ca="1" si="77"/>
        <v>12</v>
      </c>
      <c r="J971" s="21">
        <v>3</v>
      </c>
      <c r="K971" s="25" t="str">
        <f t="shared" ca="1" si="79"/>
        <v>Activo</v>
      </c>
      <c r="L971" s="25" t="s">
        <v>142</v>
      </c>
      <c r="P971" s="25" t="s">
        <v>22</v>
      </c>
      <c r="Q971" s="32">
        <v>365</v>
      </c>
      <c r="R971" s="25" t="s">
        <v>69</v>
      </c>
      <c r="S971" s="28">
        <v>46198</v>
      </c>
      <c r="T971" s="28">
        <f t="shared" si="78"/>
        <v>46563</v>
      </c>
      <c r="U971" s="25">
        <f t="shared" ca="1" si="80"/>
        <v>302</v>
      </c>
      <c r="V971" s="25" t="str">
        <f t="shared" ca="1" si="81"/>
        <v>AL DÍA</v>
      </c>
      <c r="W971" s="25" t="s">
        <v>24</v>
      </c>
      <c r="X971" s="25" t="s">
        <v>262</v>
      </c>
      <c r="Y971" s="25">
        <v>1</v>
      </c>
      <c r="Z971" s="1" t="s">
        <v>265</v>
      </c>
    </row>
    <row r="972" spans="1:26" ht="14.25" hidden="1" customHeight="1" x14ac:dyDescent="0.15">
      <c r="A972" s="24" t="s">
        <v>114</v>
      </c>
      <c r="B972" s="24" t="s">
        <v>88</v>
      </c>
      <c r="C972" s="26" t="s">
        <v>397</v>
      </c>
      <c r="D972" s="24" t="s">
        <v>16</v>
      </c>
      <c r="E972" s="24" t="s">
        <v>451</v>
      </c>
      <c r="F972" s="24" t="s">
        <v>93</v>
      </c>
      <c r="G972" s="21">
        <v>2014</v>
      </c>
      <c r="H972" s="21">
        <v>20</v>
      </c>
      <c r="I972" s="21">
        <f t="shared" ca="1" si="77"/>
        <v>12</v>
      </c>
      <c r="J972" s="21">
        <v>3</v>
      </c>
      <c r="K972" s="25" t="str">
        <f t="shared" ca="1" si="79"/>
        <v>Activo</v>
      </c>
      <c r="L972" s="25" t="s">
        <v>142</v>
      </c>
      <c r="P972" s="25" t="s">
        <v>22</v>
      </c>
      <c r="Q972" s="32">
        <v>365</v>
      </c>
      <c r="R972" s="25" t="s">
        <v>69</v>
      </c>
      <c r="S972" s="28">
        <v>46198</v>
      </c>
      <c r="T972" s="28">
        <f t="shared" si="78"/>
        <v>46563</v>
      </c>
      <c r="U972" s="25">
        <f t="shared" ca="1" si="80"/>
        <v>302</v>
      </c>
      <c r="V972" s="25" t="str">
        <f t="shared" ca="1" si="81"/>
        <v>AL DÍA</v>
      </c>
      <c r="W972" s="25" t="s">
        <v>24</v>
      </c>
      <c r="X972" s="25" t="s">
        <v>262</v>
      </c>
      <c r="Y972" s="25">
        <v>1</v>
      </c>
      <c r="Z972" s="1" t="s">
        <v>265</v>
      </c>
    </row>
    <row r="973" spans="1:26" ht="14.25" hidden="1" customHeight="1" x14ac:dyDescent="0.15">
      <c r="A973" s="24" t="s">
        <v>114</v>
      </c>
      <c r="B973" s="24" t="s">
        <v>88</v>
      </c>
      <c r="C973" s="26" t="s">
        <v>398</v>
      </c>
      <c r="D973" s="24" t="s">
        <v>16</v>
      </c>
      <c r="E973" s="24" t="s">
        <v>451</v>
      </c>
      <c r="F973" s="24" t="s">
        <v>93</v>
      </c>
      <c r="G973" s="21">
        <v>2014</v>
      </c>
      <c r="H973" s="21">
        <v>20</v>
      </c>
      <c r="I973" s="21">
        <f t="shared" ca="1" si="77"/>
        <v>12</v>
      </c>
      <c r="J973" s="21">
        <v>3</v>
      </c>
      <c r="K973" s="25" t="str">
        <f t="shared" ca="1" si="79"/>
        <v>Activo</v>
      </c>
      <c r="L973" s="25" t="s">
        <v>142</v>
      </c>
      <c r="P973" s="25" t="s">
        <v>22</v>
      </c>
      <c r="Q973" s="32">
        <v>365</v>
      </c>
      <c r="R973" s="25" t="s">
        <v>69</v>
      </c>
      <c r="S973" s="28">
        <v>46198</v>
      </c>
      <c r="T973" s="28">
        <f t="shared" si="78"/>
        <v>46563</v>
      </c>
      <c r="U973" s="25">
        <f t="shared" ca="1" si="80"/>
        <v>302</v>
      </c>
      <c r="V973" s="25" t="str">
        <f t="shared" ca="1" si="81"/>
        <v>AL DÍA</v>
      </c>
      <c r="W973" s="25" t="s">
        <v>24</v>
      </c>
      <c r="X973" s="25" t="s">
        <v>262</v>
      </c>
      <c r="Y973" s="25">
        <v>1</v>
      </c>
      <c r="Z973" s="1" t="s">
        <v>265</v>
      </c>
    </row>
    <row r="974" spans="1:26" ht="14.25" hidden="1" customHeight="1" x14ac:dyDescent="0.15">
      <c r="A974" s="24" t="s">
        <v>114</v>
      </c>
      <c r="B974" s="24" t="s">
        <v>88</v>
      </c>
      <c r="C974" s="26" t="s">
        <v>399</v>
      </c>
      <c r="D974" s="24" t="s">
        <v>16</v>
      </c>
      <c r="E974" s="24" t="s">
        <v>451</v>
      </c>
      <c r="F974" s="24" t="s">
        <v>93</v>
      </c>
      <c r="G974" s="21">
        <v>2014</v>
      </c>
      <c r="H974" s="21">
        <v>20</v>
      </c>
      <c r="I974" s="21">
        <f t="shared" ca="1" si="77"/>
        <v>12</v>
      </c>
      <c r="J974" s="21">
        <v>3</v>
      </c>
      <c r="K974" s="25" t="str">
        <f t="shared" ca="1" si="79"/>
        <v>Activo</v>
      </c>
      <c r="L974" s="25" t="s">
        <v>142</v>
      </c>
      <c r="P974" s="25" t="s">
        <v>22</v>
      </c>
      <c r="Q974" s="32">
        <v>365</v>
      </c>
      <c r="R974" s="25" t="s">
        <v>69</v>
      </c>
      <c r="S974" s="28">
        <v>46198</v>
      </c>
      <c r="T974" s="28">
        <f t="shared" si="78"/>
        <v>46563</v>
      </c>
      <c r="U974" s="25">
        <f t="shared" ca="1" si="80"/>
        <v>302</v>
      </c>
      <c r="V974" s="25" t="str">
        <f t="shared" ca="1" si="81"/>
        <v>AL DÍA</v>
      </c>
      <c r="W974" s="25" t="s">
        <v>24</v>
      </c>
      <c r="X974" s="25" t="s">
        <v>262</v>
      </c>
      <c r="Y974" s="25">
        <v>1</v>
      </c>
      <c r="Z974" s="1" t="s">
        <v>265</v>
      </c>
    </row>
    <row r="975" spans="1:26" ht="14.25" hidden="1" customHeight="1" x14ac:dyDescent="0.15">
      <c r="A975" s="24" t="s">
        <v>114</v>
      </c>
      <c r="B975" s="24" t="s">
        <v>88</v>
      </c>
      <c r="C975" s="26" t="s">
        <v>400</v>
      </c>
      <c r="D975" s="24" t="s">
        <v>16</v>
      </c>
      <c r="E975" s="24" t="s">
        <v>451</v>
      </c>
      <c r="F975" s="24" t="s">
        <v>93</v>
      </c>
      <c r="G975" s="21">
        <v>2014</v>
      </c>
      <c r="H975" s="21">
        <v>20</v>
      </c>
      <c r="I975" s="21">
        <f t="shared" ca="1" si="77"/>
        <v>12</v>
      </c>
      <c r="J975" s="21">
        <v>3</v>
      </c>
      <c r="K975" s="25" t="str">
        <f t="shared" ca="1" si="79"/>
        <v>Activo</v>
      </c>
      <c r="L975" s="25" t="s">
        <v>142</v>
      </c>
      <c r="P975" s="25" t="s">
        <v>22</v>
      </c>
      <c r="Q975" s="32">
        <v>365</v>
      </c>
      <c r="R975" s="25" t="s">
        <v>69</v>
      </c>
      <c r="S975" s="28">
        <v>46198</v>
      </c>
      <c r="T975" s="28">
        <f t="shared" si="78"/>
        <v>46563</v>
      </c>
      <c r="U975" s="25">
        <f t="shared" ca="1" si="80"/>
        <v>302</v>
      </c>
      <c r="V975" s="25" t="str">
        <f t="shared" ca="1" si="81"/>
        <v>AL DÍA</v>
      </c>
      <c r="W975" s="25" t="s">
        <v>24</v>
      </c>
      <c r="X975" s="25" t="s">
        <v>262</v>
      </c>
      <c r="Y975" s="25">
        <v>1</v>
      </c>
      <c r="Z975" s="1" t="s">
        <v>265</v>
      </c>
    </row>
    <row r="976" spans="1:26" ht="14.25" hidden="1" customHeight="1" x14ac:dyDescent="0.15">
      <c r="A976" s="24" t="s">
        <v>114</v>
      </c>
      <c r="B976" s="24" t="s">
        <v>88</v>
      </c>
      <c r="C976" s="26" t="s">
        <v>401</v>
      </c>
      <c r="D976" s="24" t="s">
        <v>16</v>
      </c>
      <c r="E976" s="24" t="s">
        <v>451</v>
      </c>
      <c r="F976" s="24" t="s">
        <v>93</v>
      </c>
      <c r="G976" s="21">
        <v>2014</v>
      </c>
      <c r="H976" s="21">
        <v>20</v>
      </c>
      <c r="I976" s="21">
        <f t="shared" ca="1" si="77"/>
        <v>12</v>
      </c>
      <c r="J976" s="21">
        <v>3</v>
      </c>
      <c r="K976" s="25" t="str">
        <f t="shared" ca="1" si="79"/>
        <v>Activo</v>
      </c>
      <c r="L976" s="25" t="s">
        <v>142</v>
      </c>
      <c r="P976" s="25" t="s">
        <v>22</v>
      </c>
      <c r="Q976" s="32">
        <v>365</v>
      </c>
      <c r="R976" s="25" t="s">
        <v>69</v>
      </c>
      <c r="S976" s="28">
        <v>46198</v>
      </c>
      <c r="T976" s="28">
        <f t="shared" si="78"/>
        <v>46563</v>
      </c>
      <c r="U976" s="25">
        <f t="shared" ca="1" si="80"/>
        <v>302</v>
      </c>
      <c r="V976" s="25" t="str">
        <f t="shared" ca="1" si="81"/>
        <v>AL DÍA</v>
      </c>
      <c r="W976" s="25" t="s">
        <v>24</v>
      </c>
      <c r="X976" s="25" t="s">
        <v>262</v>
      </c>
      <c r="Y976" s="25">
        <v>1</v>
      </c>
      <c r="Z976" s="1" t="s">
        <v>265</v>
      </c>
    </row>
    <row r="977" spans="1:26" ht="14.25" hidden="1" customHeight="1" x14ac:dyDescent="0.15">
      <c r="A977" s="24" t="s">
        <v>114</v>
      </c>
      <c r="B977" s="24" t="s">
        <v>188</v>
      </c>
      <c r="C977" s="26" t="s">
        <v>402</v>
      </c>
      <c r="D977" s="24" t="s">
        <v>16</v>
      </c>
      <c r="E977" s="24" t="s">
        <v>451</v>
      </c>
      <c r="F977" s="24" t="s">
        <v>93</v>
      </c>
      <c r="G977" s="21">
        <v>2014</v>
      </c>
      <c r="H977" s="21">
        <v>20</v>
      </c>
      <c r="I977" s="21">
        <f t="shared" ca="1" si="77"/>
        <v>12</v>
      </c>
      <c r="J977" s="21">
        <v>3</v>
      </c>
      <c r="K977" s="25" t="str">
        <f t="shared" ca="1" si="79"/>
        <v>Activo</v>
      </c>
      <c r="L977" s="25" t="s">
        <v>142</v>
      </c>
      <c r="P977" s="25" t="s">
        <v>22</v>
      </c>
      <c r="Q977" s="32">
        <v>365</v>
      </c>
      <c r="R977" s="25" t="s">
        <v>69</v>
      </c>
      <c r="S977" s="28">
        <v>46198</v>
      </c>
      <c r="T977" s="28">
        <f t="shared" si="78"/>
        <v>46563</v>
      </c>
      <c r="U977" s="25">
        <f t="shared" ca="1" si="80"/>
        <v>302</v>
      </c>
      <c r="V977" s="25" t="str">
        <f t="shared" ca="1" si="81"/>
        <v>AL DÍA</v>
      </c>
      <c r="W977" s="25" t="s">
        <v>24</v>
      </c>
      <c r="X977" s="25" t="s">
        <v>262</v>
      </c>
      <c r="Y977" s="25">
        <v>1</v>
      </c>
      <c r="Z977" s="1" t="s">
        <v>265</v>
      </c>
    </row>
    <row r="978" spans="1:26" ht="14.25" hidden="1" customHeight="1" x14ac:dyDescent="0.15">
      <c r="A978" s="24" t="s">
        <v>114</v>
      </c>
      <c r="B978" s="24" t="s">
        <v>188</v>
      </c>
      <c r="C978" s="26" t="s">
        <v>403</v>
      </c>
      <c r="D978" s="24" t="s">
        <v>16</v>
      </c>
      <c r="E978" s="24" t="s">
        <v>451</v>
      </c>
      <c r="F978" s="24" t="s">
        <v>93</v>
      </c>
      <c r="G978" s="21">
        <v>2014</v>
      </c>
      <c r="H978" s="21">
        <v>20</v>
      </c>
      <c r="I978" s="21">
        <f t="shared" ca="1" si="77"/>
        <v>12</v>
      </c>
      <c r="J978" s="21">
        <v>3</v>
      </c>
      <c r="K978" s="25" t="str">
        <f t="shared" ca="1" si="79"/>
        <v>Activo</v>
      </c>
      <c r="L978" s="25" t="s">
        <v>142</v>
      </c>
      <c r="P978" s="25" t="s">
        <v>22</v>
      </c>
      <c r="Q978" s="32">
        <v>365</v>
      </c>
      <c r="R978" s="25" t="s">
        <v>69</v>
      </c>
      <c r="S978" s="28">
        <v>46198</v>
      </c>
      <c r="T978" s="28">
        <f t="shared" si="78"/>
        <v>46563</v>
      </c>
      <c r="U978" s="25">
        <f t="shared" ca="1" si="80"/>
        <v>302</v>
      </c>
      <c r="V978" s="25" t="str">
        <f t="shared" ca="1" si="81"/>
        <v>AL DÍA</v>
      </c>
      <c r="W978" s="25" t="s">
        <v>24</v>
      </c>
      <c r="X978" s="25" t="s">
        <v>262</v>
      </c>
      <c r="Y978" s="25">
        <v>1</v>
      </c>
      <c r="Z978" s="1" t="s">
        <v>265</v>
      </c>
    </row>
    <row r="979" spans="1:26" ht="14.25" hidden="1" customHeight="1" x14ac:dyDescent="0.15">
      <c r="A979" s="24" t="s">
        <v>114</v>
      </c>
      <c r="B979" s="24" t="s">
        <v>188</v>
      </c>
      <c r="C979" s="26" t="s">
        <v>404</v>
      </c>
      <c r="D979" s="24" t="s">
        <v>16</v>
      </c>
      <c r="E979" s="24" t="s">
        <v>451</v>
      </c>
      <c r="F979" s="24" t="s">
        <v>93</v>
      </c>
      <c r="G979" s="21">
        <v>2014</v>
      </c>
      <c r="H979" s="21">
        <v>20</v>
      </c>
      <c r="I979" s="21">
        <f t="shared" ca="1" si="77"/>
        <v>12</v>
      </c>
      <c r="J979" s="21">
        <v>3</v>
      </c>
      <c r="K979" s="25" t="str">
        <f t="shared" ca="1" si="79"/>
        <v>Activo</v>
      </c>
      <c r="L979" s="25" t="s">
        <v>142</v>
      </c>
      <c r="P979" s="25" t="s">
        <v>22</v>
      </c>
      <c r="Q979" s="32">
        <v>365</v>
      </c>
      <c r="R979" s="25" t="s">
        <v>69</v>
      </c>
      <c r="S979" s="28">
        <v>46198</v>
      </c>
      <c r="T979" s="28">
        <f t="shared" si="78"/>
        <v>46563</v>
      </c>
      <c r="U979" s="25">
        <f t="shared" ca="1" si="80"/>
        <v>302</v>
      </c>
      <c r="V979" s="25" t="str">
        <f t="shared" ca="1" si="81"/>
        <v>AL DÍA</v>
      </c>
      <c r="W979" s="25" t="s">
        <v>24</v>
      </c>
      <c r="X979" s="25" t="s">
        <v>262</v>
      </c>
      <c r="Y979" s="25">
        <v>1</v>
      </c>
      <c r="Z979" s="1" t="s">
        <v>265</v>
      </c>
    </row>
    <row r="980" spans="1:26" ht="14.25" hidden="1" customHeight="1" x14ac:dyDescent="0.15">
      <c r="A980" s="24" t="s">
        <v>114</v>
      </c>
      <c r="B980" s="24" t="s">
        <v>188</v>
      </c>
      <c r="C980" s="26" t="s">
        <v>405</v>
      </c>
      <c r="D980" s="24" t="s">
        <v>16</v>
      </c>
      <c r="E980" s="24" t="s">
        <v>451</v>
      </c>
      <c r="F980" s="24" t="s">
        <v>93</v>
      </c>
      <c r="G980" s="21">
        <v>2014</v>
      </c>
      <c r="H980" s="21">
        <v>20</v>
      </c>
      <c r="I980" s="21">
        <f t="shared" ca="1" si="77"/>
        <v>12</v>
      </c>
      <c r="J980" s="21">
        <v>3</v>
      </c>
      <c r="K980" s="25" t="str">
        <f t="shared" ca="1" si="79"/>
        <v>Activo</v>
      </c>
      <c r="L980" s="25" t="s">
        <v>142</v>
      </c>
      <c r="O980" s="26"/>
      <c r="P980" s="26" t="s">
        <v>22</v>
      </c>
      <c r="Q980" s="34">
        <v>365</v>
      </c>
      <c r="R980" s="25" t="s">
        <v>69</v>
      </c>
      <c r="S980" s="28">
        <v>46198</v>
      </c>
      <c r="T980" s="28">
        <f t="shared" si="78"/>
        <v>46563</v>
      </c>
      <c r="U980" s="25">
        <f t="shared" ca="1" si="80"/>
        <v>302</v>
      </c>
      <c r="V980" s="25" t="str">
        <f t="shared" ca="1" si="81"/>
        <v>AL DÍA</v>
      </c>
      <c r="W980" s="25" t="s">
        <v>24</v>
      </c>
      <c r="X980" s="25" t="s">
        <v>262</v>
      </c>
      <c r="Y980" s="25">
        <v>1</v>
      </c>
      <c r="Z980" s="1" t="s">
        <v>265</v>
      </c>
    </row>
    <row r="981" spans="1:26" ht="14.25" hidden="1" customHeight="1" x14ac:dyDescent="0.15">
      <c r="A981" s="24" t="s">
        <v>114</v>
      </c>
      <c r="B981" s="24" t="s">
        <v>188</v>
      </c>
      <c r="C981" s="26" t="s">
        <v>406</v>
      </c>
      <c r="D981" s="24" t="s">
        <v>16</v>
      </c>
      <c r="E981" s="24" t="s">
        <v>451</v>
      </c>
      <c r="F981" s="24" t="s">
        <v>93</v>
      </c>
      <c r="G981" s="21">
        <v>2014</v>
      </c>
      <c r="H981" s="21">
        <v>20</v>
      </c>
      <c r="I981" s="21">
        <f t="shared" ca="1" si="77"/>
        <v>12</v>
      </c>
      <c r="J981" s="21">
        <v>3</v>
      </c>
      <c r="K981" s="25" t="str">
        <f t="shared" ca="1" si="79"/>
        <v>Activo</v>
      </c>
      <c r="L981" s="25" t="s">
        <v>142</v>
      </c>
      <c r="P981" s="25" t="s">
        <v>22</v>
      </c>
      <c r="Q981" s="32">
        <v>365</v>
      </c>
      <c r="R981" s="25" t="s">
        <v>69</v>
      </c>
      <c r="S981" s="28">
        <v>46198</v>
      </c>
      <c r="T981" s="28">
        <f t="shared" si="78"/>
        <v>46563</v>
      </c>
      <c r="U981" s="25">
        <f t="shared" ca="1" si="80"/>
        <v>302</v>
      </c>
      <c r="V981" s="25" t="str">
        <f t="shared" ca="1" si="81"/>
        <v>AL DÍA</v>
      </c>
      <c r="W981" s="25" t="s">
        <v>24</v>
      </c>
      <c r="X981" s="25" t="s">
        <v>262</v>
      </c>
      <c r="Y981" s="25">
        <v>1</v>
      </c>
      <c r="Z981" s="1" t="s">
        <v>265</v>
      </c>
    </row>
    <row r="982" spans="1:26" ht="14.25" hidden="1" customHeight="1" x14ac:dyDescent="0.15">
      <c r="A982" s="24" t="s">
        <v>114</v>
      </c>
      <c r="B982" s="24" t="s">
        <v>188</v>
      </c>
      <c r="C982" s="26" t="s">
        <v>407</v>
      </c>
      <c r="D982" s="24" t="s">
        <v>16</v>
      </c>
      <c r="E982" s="24" t="s">
        <v>451</v>
      </c>
      <c r="F982" s="24" t="s">
        <v>93</v>
      </c>
      <c r="G982" s="21">
        <v>2014</v>
      </c>
      <c r="H982" s="21">
        <v>20</v>
      </c>
      <c r="I982" s="21">
        <f t="shared" ca="1" si="77"/>
        <v>12</v>
      </c>
      <c r="J982" s="21">
        <v>3</v>
      </c>
      <c r="K982" s="25" t="str">
        <f t="shared" ca="1" si="79"/>
        <v>Activo</v>
      </c>
      <c r="L982" s="25" t="s">
        <v>142</v>
      </c>
      <c r="P982" s="25" t="s">
        <v>22</v>
      </c>
      <c r="Q982" s="32">
        <v>365</v>
      </c>
      <c r="R982" s="25" t="s">
        <v>69</v>
      </c>
      <c r="S982" s="28">
        <v>46198</v>
      </c>
      <c r="T982" s="28">
        <f t="shared" si="78"/>
        <v>46563</v>
      </c>
      <c r="U982" s="25">
        <f t="shared" ca="1" si="80"/>
        <v>302</v>
      </c>
      <c r="V982" s="25" t="str">
        <f t="shared" ca="1" si="81"/>
        <v>AL DÍA</v>
      </c>
      <c r="W982" s="25" t="s">
        <v>24</v>
      </c>
      <c r="X982" s="25" t="s">
        <v>262</v>
      </c>
      <c r="Y982" s="25">
        <v>1</v>
      </c>
      <c r="Z982" s="1" t="s">
        <v>265</v>
      </c>
    </row>
    <row r="983" spans="1:26" ht="14.25" hidden="1" customHeight="1" x14ac:dyDescent="0.15">
      <c r="A983" s="24" t="s">
        <v>257</v>
      </c>
      <c r="B983" s="24" t="s">
        <v>75</v>
      </c>
      <c r="C983" s="26" t="s">
        <v>76</v>
      </c>
      <c r="D983" s="24" t="s">
        <v>65</v>
      </c>
      <c r="E983" s="24" t="s">
        <v>452</v>
      </c>
      <c r="F983" s="24" t="s">
        <v>66</v>
      </c>
      <c r="G983" s="21">
        <v>1995</v>
      </c>
      <c r="H983" s="21">
        <v>0</v>
      </c>
      <c r="I983" s="21">
        <f t="shared" ref="I983:I1046" ca="1" si="82">YEAR(TODAY())-G983</f>
        <v>31</v>
      </c>
      <c r="J983" s="21">
        <v>3</v>
      </c>
      <c r="K983" s="25" t="str">
        <f t="shared" ca="1" si="79"/>
        <v>Activo</v>
      </c>
      <c r="L983" s="25" t="s">
        <v>49</v>
      </c>
      <c r="M983" s="25" t="s">
        <v>49</v>
      </c>
      <c r="N983" s="25" t="s">
        <v>49</v>
      </c>
      <c r="O983" s="25" t="s">
        <v>77</v>
      </c>
      <c r="P983" s="25" t="s">
        <v>138</v>
      </c>
      <c r="Q983" s="32">
        <v>30</v>
      </c>
      <c r="R983" s="25" t="s">
        <v>69</v>
      </c>
      <c r="S983" s="30">
        <v>46228</v>
      </c>
      <c r="T983" s="28">
        <f t="shared" si="78"/>
        <v>46258</v>
      </c>
      <c r="U983" s="25">
        <f t="shared" ca="1" si="80"/>
        <v>-3</v>
      </c>
      <c r="V983" s="25" t="str">
        <f t="shared" ca="1" si="81"/>
        <v>VENCIDO</v>
      </c>
      <c r="W983" s="25" t="s">
        <v>24</v>
      </c>
      <c r="X983" s="25" t="s">
        <v>267</v>
      </c>
      <c r="Y983" s="25">
        <v>1</v>
      </c>
      <c r="Z983" s="1" t="s">
        <v>268</v>
      </c>
    </row>
    <row r="984" spans="1:26" ht="14.25" hidden="1" customHeight="1" x14ac:dyDescent="0.15">
      <c r="A984" s="24" t="s">
        <v>257</v>
      </c>
      <c r="B984" s="24" t="s">
        <v>75</v>
      </c>
      <c r="C984" s="26" t="s">
        <v>76</v>
      </c>
      <c r="D984" s="24" t="s">
        <v>65</v>
      </c>
      <c r="E984" s="24" t="s">
        <v>452</v>
      </c>
      <c r="F984" s="24" t="s">
        <v>70</v>
      </c>
      <c r="G984" s="21">
        <v>1995</v>
      </c>
      <c r="H984" s="21">
        <v>0</v>
      </c>
      <c r="I984" s="21">
        <f t="shared" ca="1" si="82"/>
        <v>31</v>
      </c>
      <c r="J984" s="21">
        <v>3</v>
      </c>
      <c r="K984" s="25" t="str">
        <f t="shared" ca="1" si="79"/>
        <v>Activo</v>
      </c>
      <c r="L984" s="25" t="s">
        <v>49</v>
      </c>
      <c r="M984" s="25" t="s">
        <v>49</v>
      </c>
      <c r="N984" s="25" t="s">
        <v>49</v>
      </c>
      <c r="O984" s="25" t="s">
        <v>77</v>
      </c>
      <c r="P984" s="25" t="s">
        <v>138</v>
      </c>
      <c r="Q984" s="32">
        <v>30</v>
      </c>
      <c r="R984" s="25" t="s">
        <v>69</v>
      </c>
      <c r="S984" s="30">
        <v>46228</v>
      </c>
      <c r="T984" s="28">
        <f t="shared" si="78"/>
        <v>46258</v>
      </c>
      <c r="U984" s="25">
        <f t="shared" ca="1" si="80"/>
        <v>-3</v>
      </c>
      <c r="V984" s="25" t="str">
        <f t="shared" ca="1" si="81"/>
        <v>VENCIDO</v>
      </c>
      <c r="W984" s="25" t="s">
        <v>24</v>
      </c>
      <c r="X984" s="25" t="s">
        <v>267</v>
      </c>
      <c r="Y984" s="25">
        <v>1</v>
      </c>
      <c r="Z984" s="1" t="s">
        <v>268</v>
      </c>
    </row>
    <row r="985" spans="1:26" ht="14.25" hidden="1" customHeight="1" x14ac:dyDescent="0.15">
      <c r="A985" s="24" t="s">
        <v>257</v>
      </c>
      <c r="B985" s="24" t="s">
        <v>75</v>
      </c>
      <c r="C985" s="26" t="s">
        <v>76</v>
      </c>
      <c r="D985" s="24" t="s">
        <v>65</v>
      </c>
      <c r="F985" s="24" t="s">
        <v>78</v>
      </c>
      <c r="G985" s="21">
        <v>1995</v>
      </c>
      <c r="H985" s="21">
        <v>0</v>
      </c>
      <c r="I985" s="21">
        <f t="shared" ca="1" si="82"/>
        <v>31</v>
      </c>
      <c r="J985" s="21">
        <v>3</v>
      </c>
      <c r="K985" s="25" t="str">
        <f t="shared" ca="1" si="79"/>
        <v>Activo</v>
      </c>
      <c r="L985" s="25" t="s">
        <v>49</v>
      </c>
      <c r="M985" s="25" t="s">
        <v>49</v>
      </c>
      <c r="N985" s="25" t="s">
        <v>49</v>
      </c>
      <c r="O985" s="25" t="s">
        <v>79</v>
      </c>
      <c r="P985" s="26" t="s">
        <v>138</v>
      </c>
      <c r="Q985" s="34">
        <v>30</v>
      </c>
      <c r="R985" s="25" t="s">
        <v>40</v>
      </c>
      <c r="S985" s="30">
        <v>46228</v>
      </c>
      <c r="T985" s="28">
        <f t="shared" si="78"/>
        <v>46258</v>
      </c>
      <c r="U985" s="25">
        <f t="shared" ca="1" si="80"/>
        <v>-3</v>
      </c>
      <c r="V985" s="25" t="str">
        <f t="shared" ca="1" si="81"/>
        <v>VENCIDO</v>
      </c>
      <c r="W985" s="25" t="s">
        <v>24</v>
      </c>
      <c r="X985" s="25" t="s">
        <v>267</v>
      </c>
      <c r="Y985" s="25">
        <v>1</v>
      </c>
      <c r="Z985" s="1" t="s">
        <v>268</v>
      </c>
    </row>
    <row r="986" spans="1:26" ht="14.25" hidden="1" customHeight="1" x14ac:dyDescent="0.15">
      <c r="A986" s="24" t="s">
        <v>257</v>
      </c>
      <c r="B986" s="24" t="s">
        <v>75</v>
      </c>
      <c r="C986" s="26" t="s">
        <v>76</v>
      </c>
      <c r="D986" s="24" t="s">
        <v>65</v>
      </c>
      <c r="F986" s="24" t="s">
        <v>464</v>
      </c>
      <c r="G986" s="21">
        <v>1995</v>
      </c>
      <c r="H986" s="21">
        <v>25</v>
      </c>
      <c r="I986" s="21">
        <f t="shared" ca="1" si="82"/>
        <v>31</v>
      </c>
      <c r="J986" s="21">
        <v>1</v>
      </c>
      <c r="K986" s="25" t="str">
        <f t="shared" ca="1" si="79"/>
        <v>Cambiar</v>
      </c>
      <c r="L986" s="25" t="s">
        <v>49</v>
      </c>
      <c r="M986" s="25" t="s">
        <v>49</v>
      </c>
      <c r="N986" s="25" t="s">
        <v>49</v>
      </c>
      <c r="O986" s="25" t="s">
        <v>80</v>
      </c>
      <c r="P986" s="25" t="s">
        <v>81</v>
      </c>
      <c r="Q986" s="32">
        <f>365*3.5</f>
        <v>1277.5</v>
      </c>
      <c r="R986" s="25" t="s">
        <v>367</v>
      </c>
      <c r="S986" s="28">
        <v>46198</v>
      </c>
      <c r="T986" s="28">
        <f t="shared" si="78"/>
        <v>47475.5</v>
      </c>
      <c r="U986" s="25">
        <f t="shared" ca="1" si="80"/>
        <v>1214.5</v>
      </c>
      <c r="V986" s="25" t="str">
        <f t="shared" ca="1" si="81"/>
        <v>AL DÍA</v>
      </c>
      <c r="W986" s="25" t="s">
        <v>82</v>
      </c>
      <c r="X986" s="25" t="s">
        <v>277</v>
      </c>
      <c r="Y986" s="25">
        <v>1</v>
      </c>
      <c r="Z986" s="1" t="s">
        <v>280</v>
      </c>
    </row>
    <row r="987" spans="1:26" ht="13.7" hidden="1" customHeight="1" x14ac:dyDescent="0.15">
      <c r="A987" s="24" t="s">
        <v>257</v>
      </c>
      <c r="B987" s="24" t="s">
        <v>75</v>
      </c>
      <c r="C987" s="26" t="s">
        <v>76</v>
      </c>
      <c r="D987" s="24" t="s">
        <v>65</v>
      </c>
      <c r="F987" s="24" t="s">
        <v>83</v>
      </c>
      <c r="G987" s="21">
        <v>1995</v>
      </c>
      <c r="H987" s="21">
        <v>0</v>
      </c>
      <c r="I987" s="21">
        <f t="shared" ca="1" si="82"/>
        <v>31</v>
      </c>
      <c r="J987" s="21">
        <v>3</v>
      </c>
      <c r="K987" s="25" t="str">
        <f t="shared" ca="1" si="79"/>
        <v>Activo</v>
      </c>
      <c r="L987" s="25" t="s">
        <v>49</v>
      </c>
      <c r="M987" s="25" t="s">
        <v>49</v>
      </c>
      <c r="N987" s="25" t="s">
        <v>49</v>
      </c>
      <c r="O987" s="25" t="s">
        <v>79</v>
      </c>
      <c r="P987" s="25" t="s">
        <v>81</v>
      </c>
      <c r="Q987" s="32">
        <f>365*4</f>
        <v>1460</v>
      </c>
      <c r="R987" s="25" t="s">
        <v>40</v>
      </c>
      <c r="S987" s="28">
        <v>46198</v>
      </c>
      <c r="T987" s="28">
        <f t="shared" si="78"/>
        <v>47658</v>
      </c>
      <c r="U987" s="25">
        <f t="shared" ca="1" si="80"/>
        <v>1397</v>
      </c>
      <c r="V987" s="25" t="str">
        <f t="shared" ca="1" si="81"/>
        <v>AL DÍA</v>
      </c>
      <c r="W987" s="25" t="s">
        <v>24</v>
      </c>
      <c r="X987" s="25" t="s">
        <v>262</v>
      </c>
      <c r="Y987" s="25">
        <v>1</v>
      </c>
    </row>
    <row r="988" spans="1:26" ht="14.25" hidden="1" customHeight="1" x14ac:dyDescent="0.15">
      <c r="A988" s="24" t="s">
        <v>257</v>
      </c>
      <c r="B988" s="24" t="s">
        <v>75</v>
      </c>
      <c r="C988" s="26" t="s">
        <v>76</v>
      </c>
      <c r="D988" s="24" t="s">
        <v>65</v>
      </c>
      <c r="F988" s="24" t="s">
        <v>84</v>
      </c>
      <c r="G988" s="21">
        <v>1995</v>
      </c>
      <c r="H988" s="21">
        <v>0</v>
      </c>
      <c r="I988" s="21">
        <f t="shared" ca="1" si="82"/>
        <v>31</v>
      </c>
      <c r="J988" s="21">
        <v>3</v>
      </c>
      <c r="K988" s="25" t="str">
        <f t="shared" ca="1" si="79"/>
        <v>Activo</v>
      </c>
      <c r="L988" s="25" t="s">
        <v>49</v>
      </c>
      <c r="M988" s="25" t="s">
        <v>49</v>
      </c>
      <c r="N988" s="25" t="s">
        <v>49</v>
      </c>
      <c r="P988" s="25" t="s">
        <v>440</v>
      </c>
      <c r="Q988" s="32">
        <f>365*3</f>
        <v>1095</v>
      </c>
      <c r="R988" s="25" t="s">
        <v>69</v>
      </c>
      <c r="S988" s="28">
        <v>46198</v>
      </c>
      <c r="T988" s="28">
        <f t="shared" si="78"/>
        <v>47293</v>
      </c>
      <c r="U988" s="25">
        <f t="shared" ca="1" si="80"/>
        <v>1032</v>
      </c>
      <c r="V988" s="25" t="str">
        <f t="shared" ca="1" si="81"/>
        <v>AL DÍA</v>
      </c>
      <c r="W988" s="25" t="s">
        <v>24</v>
      </c>
      <c r="X988" s="25" t="s">
        <v>262</v>
      </c>
      <c r="Y988" s="25">
        <v>3</v>
      </c>
    </row>
    <row r="989" spans="1:26" ht="14.25" hidden="1" customHeight="1" x14ac:dyDescent="0.15">
      <c r="A989" s="24" t="s">
        <v>257</v>
      </c>
      <c r="B989" s="24" t="s">
        <v>75</v>
      </c>
      <c r="C989" s="26" t="s">
        <v>76</v>
      </c>
      <c r="D989" s="24" t="s">
        <v>65</v>
      </c>
      <c r="F989" s="24" t="s">
        <v>86</v>
      </c>
      <c r="G989" s="21">
        <v>1995</v>
      </c>
      <c r="H989" s="21">
        <v>0</v>
      </c>
      <c r="I989" s="21">
        <f t="shared" ca="1" si="82"/>
        <v>31</v>
      </c>
      <c r="J989" s="21">
        <v>3</v>
      </c>
      <c r="K989" s="25" t="str">
        <f t="shared" ca="1" si="79"/>
        <v>Activo</v>
      </c>
      <c r="L989" s="25" t="s">
        <v>49</v>
      </c>
      <c r="M989" s="25" t="s">
        <v>49</v>
      </c>
      <c r="N989" s="25" t="s">
        <v>49</v>
      </c>
      <c r="P989" s="25" t="s">
        <v>87</v>
      </c>
      <c r="Q989" s="32">
        <f>5*365</f>
        <v>1825</v>
      </c>
      <c r="R989" s="25" t="s">
        <v>69</v>
      </c>
      <c r="S989" s="28">
        <v>46198</v>
      </c>
      <c r="T989" s="28">
        <f t="shared" si="78"/>
        <v>48023</v>
      </c>
      <c r="U989" s="25">
        <f t="shared" ca="1" si="80"/>
        <v>1762</v>
      </c>
      <c r="V989" s="25" t="str">
        <f t="shared" ca="1" si="81"/>
        <v>AL DÍA</v>
      </c>
      <c r="W989" s="25" t="s">
        <v>24</v>
      </c>
      <c r="X989" s="25" t="s">
        <v>262</v>
      </c>
      <c r="Y989" s="25">
        <v>1</v>
      </c>
    </row>
    <row r="990" spans="1:26" ht="14.25" hidden="1" customHeight="1" x14ac:dyDescent="0.15">
      <c r="A990" s="24" t="s">
        <v>257</v>
      </c>
      <c r="B990" s="24" t="s">
        <v>15</v>
      </c>
      <c r="C990" s="26" t="s">
        <v>20</v>
      </c>
      <c r="D990" s="24" t="s">
        <v>16</v>
      </c>
      <c r="E990" s="24" t="s">
        <v>451</v>
      </c>
      <c r="F990" s="24" t="s">
        <v>17</v>
      </c>
      <c r="G990" s="21">
        <v>2023</v>
      </c>
      <c r="H990" s="21">
        <v>6</v>
      </c>
      <c r="I990" s="21">
        <f t="shared" ca="1" si="82"/>
        <v>3</v>
      </c>
      <c r="J990" s="21">
        <v>3</v>
      </c>
      <c r="K990" s="25" t="str">
        <f t="shared" ca="1" si="79"/>
        <v>Activo</v>
      </c>
      <c r="L990" s="25" t="s">
        <v>18</v>
      </c>
      <c r="M990" s="25" t="s">
        <v>19</v>
      </c>
      <c r="N990" s="25">
        <v>2106053095</v>
      </c>
      <c r="O990" s="26" t="s">
        <v>21</v>
      </c>
      <c r="P990" s="26" t="s">
        <v>22</v>
      </c>
      <c r="Q990" s="34">
        <v>365</v>
      </c>
      <c r="R990" s="25" t="s">
        <v>23</v>
      </c>
      <c r="S990" s="28">
        <v>46198</v>
      </c>
      <c r="T990" s="28">
        <f t="shared" si="78"/>
        <v>46563</v>
      </c>
      <c r="U990" s="25">
        <f t="shared" ca="1" si="80"/>
        <v>302</v>
      </c>
      <c r="V990" s="25" t="str">
        <f t="shared" ca="1" si="81"/>
        <v>AL DÍA</v>
      </c>
      <c r="W990" s="25" t="s">
        <v>24</v>
      </c>
      <c r="X990" s="25" t="s">
        <v>271</v>
      </c>
      <c r="Y990" s="25">
        <v>1</v>
      </c>
      <c r="Z990" s="1" t="s">
        <v>276</v>
      </c>
    </row>
    <row r="991" spans="1:26" ht="14.25" hidden="1" customHeight="1" x14ac:dyDescent="0.15">
      <c r="A991" s="24" t="s">
        <v>257</v>
      </c>
      <c r="B991" s="24" t="s">
        <v>15</v>
      </c>
      <c r="C991" s="26" t="s">
        <v>20</v>
      </c>
      <c r="D991" s="24" t="s">
        <v>16</v>
      </c>
      <c r="E991" s="24" t="s">
        <v>451</v>
      </c>
      <c r="F991" s="24" t="s">
        <v>26</v>
      </c>
      <c r="G991" s="21">
        <v>2023</v>
      </c>
      <c r="H991" s="21">
        <v>5</v>
      </c>
      <c r="I991" s="21">
        <f t="shared" ca="1" si="82"/>
        <v>3</v>
      </c>
      <c r="J991" s="21">
        <v>3</v>
      </c>
      <c r="K991" s="25" t="str">
        <f t="shared" ca="1" si="79"/>
        <v>Activo</v>
      </c>
      <c r="L991" s="25" t="s">
        <v>27</v>
      </c>
      <c r="M991" s="25" t="s">
        <v>28</v>
      </c>
      <c r="N991" s="25" t="s">
        <v>29</v>
      </c>
      <c r="O991" s="25" t="s">
        <v>30</v>
      </c>
      <c r="P991" s="25" t="s">
        <v>31</v>
      </c>
      <c r="Q991" s="32">
        <v>120</v>
      </c>
      <c r="R991" s="25" t="s">
        <v>23</v>
      </c>
      <c r="S991" s="28">
        <v>46198</v>
      </c>
      <c r="T991" s="28">
        <f t="shared" si="78"/>
        <v>46318</v>
      </c>
      <c r="U991" s="25">
        <f t="shared" ca="1" si="80"/>
        <v>57</v>
      </c>
      <c r="V991" s="25" t="str">
        <f t="shared" ca="1" si="81"/>
        <v>AL DÍA</v>
      </c>
      <c r="W991" s="25" t="s">
        <v>24</v>
      </c>
      <c r="X991" s="25" t="s">
        <v>271</v>
      </c>
      <c r="Y991" s="25">
        <v>1</v>
      </c>
    </row>
    <row r="992" spans="1:26" ht="14.25" hidden="1" customHeight="1" x14ac:dyDescent="0.15">
      <c r="A992" s="24" t="s">
        <v>257</v>
      </c>
      <c r="B992" s="24" t="s">
        <v>15</v>
      </c>
      <c r="C992" s="26" t="s">
        <v>20</v>
      </c>
      <c r="D992" s="24" t="s">
        <v>16</v>
      </c>
      <c r="E992" s="24" t="s">
        <v>451</v>
      </c>
      <c r="F992" s="24" t="s">
        <v>32</v>
      </c>
      <c r="G992" s="21">
        <v>2024</v>
      </c>
      <c r="H992" s="21">
        <v>5</v>
      </c>
      <c r="I992" s="21">
        <f t="shared" ca="1" si="82"/>
        <v>2</v>
      </c>
      <c r="J992" s="21">
        <v>3</v>
      </c>
      <c r="K992" s="25" t="str">
        <f t="shared" ca="1" si="79"/>
        <v>Activo</v>
      </c>
      <c r="L992" s="25" t="s">
        <v>33</v>
      </c>
      <c r="M992" s="25" t="s">
        <v>34</v>
      </c>
      <c r="N992" s="25" t="s">
        <v>35</v>
      </c>
      <c r="O992" s="25" t="s">
        <v>21</v>
      </c>
      <c r="P992" s="25" t="s">
        <v>31</v>
      </c>
      <c r="Q992" s="32">
        <v>120</v>
      </c>
      <c r="R992" s="25" t="s">
        <v>23</v>
      </c>
      <c r="S992" s="28">
        <v>46198</v>
      </c>
      <c r="T992" s="28">
        <f t="shared" si="78"/>
        <v>46318</v>
      </c>
      <c r="U992" s="25">
        <f t="shared" ca="1" si="80"/>
        <v>57</v>
      </c>
      <c r="V992" s="25" t="str">
        <f t="shared" ca="1" si="81"/>
        <v>AL DÍA</v>
      </c>
      <c r="W992" s="25" t="s">
        <v>24</v>
      </c>
      <c r="X992" s="25" t="s">
        <v>271</v>
      </c>
      <c r="Y992" s="25">
        <v>1</v>
      </c>
    </row>
    <row r="993" spans="1:26" ht="14.25" hidden="1" customHeight="1" x14ac:dyDescent="0.15">
      <c r="A993" s="24" t="s">
        <v>257</v>
      </c>
      <c r="B993" s="24" t="s">
        <v>15</v>
      </c>
      <c r="C993" s="26" t="s">
        <v>20</v>
      </c>
      <c r="D993" s="24" t="s">
        <v>16</v>
      </c>
      <c r="E993" s="24" t="s">
        <v>451</v>
      </c>
      <c r="F993" s="24" t="s">
        <v>36</v>
      </c>
      <c r="G993" s="21">
        <v>2026</v>
      </c>
      <c r="H993" s="21">
        <v>8</v>
      </c>
      <c r="I993" s="21">
        <f t="shared" ca="1" si="82"/>
        <v>0</v>
      </c>
      <c r="J993" s="21">
        <v>3</v>
      </c>
      <c r="K993" s="25" t="str">
        <f t="shared" ca="1" si="79"/>
        <v>Activo</v>
      </c>
      <c r="L993" s="25" t="s">
        <v>37</v>
      </c>
      <c r="M993" s="25" t="s">
        <v>38</v>
      </c>
      <c r="N993" s="25">
        <v>3322663406</v>
      </c>
      <c r="O993" s="25" t="s">
        <v>39</v>
      </c>
      <c r="P993" s="25" t="s">
        <v>22</v>
      </c>
      <c r="Q993" s="32">
        <v>365</v>
      </c>
      <c r="R993" s="25" t="s">
        <v>40</v>
      </c>
      <c r="S993" s="28">
        <v>46198</v>
      </c>
      <c r="T993" s="28">
        <f t="shared" si="78"/>
        <v>46563</v>
      </c>
      <c r="U993" s="25">
        <f t="shared" ca="1" si="80"/>
        <v>302</v>
      </c>
      <c r="V993" s="25" t="str">
        <f t="shared" ca="1" si="81"/>
        <v>AL DÍA</v>
      </c>
      <c r="W993" s="25" t="s">
        <v>24</v>
      </c>
      <c r="X993" s="25" t="s">
        <v>271</v>
      </c>
      <c r="Y993" s="25">
        <v>1</v>
      </c>
    </row>
    <row r="994" spans="1:26" ht="14.25" hidden="1" customHeight="1" x14ac:dyDescent="0.15">
      <c r="A994" s="24" t="s">
        <v>257</v>
      </c>
      <c r="B994" s="24" t="s">
        <v>15</v>
      </c>
      <c r="C994" s="26" t="s">
        <v>20</v>
      </c>
      <c r="D994" s="24" t="s">
        <v>16</v>
      </c>
      <c r="E994" s="24" t="s">
        <v>451</v>
      </c>
      <c r="F994" s="24" t="s">
        <v>41</v>
      </c>
      <c r="G994" s="21">
        <v>2023</v>
      </c>
      <c r="H994" s="21">
        <v>8</v>
      </c>
      <c r="I994" s="21">
        <f t="shared" ca="1" si="82"/>
        <v>3</v>
      </c>
      <c r="J994" s="21">
        <v>3</v>
      </c>
      <c r="K994" s="25" t="str">
        <f t="shared" ref="K994:K999" ca="1" si="83">IF(J994=1,"Cambiar",IF(J994=2,"Presupuestar",IF(H994=0,"Activo",IF(G994+H994&lt;YEAR(TODAY()),"Cambiar o Inspección externa",IF(G994+H994-1&lt;YEAR(TODAY()),"Presupuestar","Activo")))))</f>
        <v>Activo</v>
      </c>
      <c r="L994" s="25" t="s">
        <v>37</v>
      </c>
      <c r="M994" s="25" t="s">
        <v>38</v>
      </c>
      <c r="N994" s="25">
        <v>3322653432</v>
      </c>
      <c r="O994" s="25" t="s">
        <v>39</v>
      </c>
      <c r="P994" s="25" t="s">
        <v>22</v>
      </c>
      <c r="Q994" s="32">
        <v>365</v>
      </c>
      <c r="R994" s="25" t="s">
        <v>40</v>
      </c>
      <c r="S994" s="28">
        <v>46198</v>
      </c>
      <c r="T994" s="28">
        <f t="shared" si="78"/>
        <v>46563</v>
      </c>
      <c r="U994" s="25">
        <f t="shared" ca="1" si="80"/>
        <v>302</v>
      </c>
      <c r="V994" s="25" t="str">
        <f t="shared" ca="1" si="81"/>
        <v>AL DÍA</v>
      </c>
      <c r="W994" s="25" t="s">
        <v>24</v>
      </c>
      <c r="X994" s="25" t="s">
        <v>271</v>
      </c>
      <c r="Y994" s="25">
        <v>1</v>
      </c>
    </row>
    <row r="995" spans="1:26" ht="14.25" hidden="1" customHeight="1" x14ac:dyDescent="0.15">
      <c r="A995" s="24" t="s">
        <v>257</v>
      </c>
      <c r="B995" s="24" t="s">
        <v>15</v>
      </c>
      <c r="C995" s="26" t="s">
        <v>20</v>
      </c>
      <c r="D995" s="24" t="s">
        <v>16</v>
      </c>
      <c r="E995" s="24" t="s">
        <v>451</v>
      </c>
      <c r="F995" s="24" t="s">
        <v>42</v>
      </c>
      <c r="G995" s="21">
        <v>2024</v>
      </c>
      <c r="H995" s="21">
        <v>8</v>
      </c>
      <c r="I995" s="21">
        <f t="shared" ca="1" si="82"/>
        <v>2</v>
      </c>
      <c r="J995" s="21">
        <v>3</v>
      </c>
      <c r="K995" s="25" t="str">
        <f t="shared" ca="1" si="83"/>
        <v>Activo</v>
      </c>
      <c r="L995" s="25" t="s">
        <v>43</v>
      </c>
      <c r="M995" s="25" t="s">
        <v>44</v>
      </c>
      <c r="N995" s="25" t="s">
        <v>45</v>
      </c>
      <c r="O995" s="25" t="s">
        <v>46</v>
      </c>
      <c r="P995" s="25" t="s">
        <v>22</v>
      </c>
      <c r="Q995" s="32">
        <v>365</v>
      </c>
      <c r="R995" s="25" t="s">
        <v>40</v>
      </c>
      <c r="S995" s="28">
        <v>46198</v>
      </c>
      <c r="T995" s="28">
        <f t="shared" si="78"/>
        <v>46563</v>
      </c>
      <c r="U995" s="25">
        <f t="shared" ca="1" si="80"/>
        <v>302</v>
      </c>
      <c r="V995" s="25" t="str">
        <f t="shared" ca="1" si="81"/>
        <v>AL DÍA</v>
      </c>
      <c r="W995" s="25" t="s">
        <v>24</v>
      </c>
      <c r="X995" s="25" t="s">
        <v>271</v>
      </c>
      <c r="Y995" s="25">
        <v>1</v>
      </c>
    </row>
    <row r="996" spans="1:26" ht="14.25" hidden="1" customHeight="1" x14ac:dyDescent="0.15">
      <c r="A996" s="24" t="s">
        <v>257</v>
      </c>
      <c r="B996" s="24" t="s">
        <v>15</v>
      </c>
      <c r="C996" s="26" t="s">
        <v>20</v>
      </c>
      <c r="D996" s="24" t="s">
        <v>16</v>
      </c>
      <c r="F996" s="24" t="s">
        <v>47</v>
      </c>
      <c r="G996" s="21">
        <v>2024</v>
      </c>
      <c r="H996" s="21">
        <v>10</v>
      </c>
      <c r="I996" s="21">
        <f t="shared" ca="1" si="82"/>
        <v>2</v>
      </c>
      <c r="J996" s="21">
        <v>3</v>
      </c>
      <c r="K996" s="25" t="str">
        <f t="shared" ca="1" si="83"/>
        <v>Activo</v>
      </c>
      <c r="L996" s="25" t="s">
        <v>43</v>
      </c>
      <c r="M996" s="25" t="s">
        <v>48</v>
      </c>
      <c r="N996" s="25" t="s">
        <v>49</v>
      </c>
      <c r="O996" s="25" t="s">
        <v>50</v>
      </c>
      <c r="P996" s="25" t="s">
        <v>22</v>
      </c>
      <c r="Q996" s="32">
        <v>365</v>
      </c>
      <c r="R996" s="25" t="s">
        <v>40</v>
      </c>
      <c r="S996" s="28">
        <v>46198</v>
      </c>
      <c r="T996" s="28">
        <f t="shared" ref="T996:T1054" si="84">+S996+Q996</f>
        <v>46563</v>
      </c>
      <c r="U996" s="25">
        <f t="shared" ca="1" si="80"/>
        <v>302</v>
      </c>
      <c r="V996" s="25" t="str">
        <f t="shared" ca="1" si="81"/>
        <v>AL DÍA</v>
      </c>
      <c r="W996" s="25" t="s">
        <v>24</v>
      </c>
      <c r="X996" s="25" t="s">
        <v>271</v>
      </c>
      <c r="Y996" s="25">
        <v>1</v>
      </c>
    </row>
    <row r="997" spans="1:26" ht="13.7" hidden="1" customHeight="1" x14ac:dyDescent="0.15">
      <c r="A997" s="24" t="s">
        <v>257</v>
      </c>
      <c r="B997" s="24" t="s">
        <v>15</v>
      </c>
      <c r="C997" s="26" t="s">
        <v>20</v>
      </c>
      <c r="D997" s="24" t="s">
        <v>16</v>
      </c>
      <c r="F997" s="24" t="s">
        <v>51</v>
      </c>
      <c r="G997" s="21">
        <v>2024</v>
      </c>
      <c r="H997" s="21">
        <v>10</v>
      </c>
      <c r="I997" s="21">
        <f t="shared" ca="1" si="82"/>
        <v>2</v>
      </c>
      <c r="J997" s="21">
        <v>3</v>
      </c>
      <c r="K997" s="25" t="str">
        <f t="shared" ca="1" si="83"/>
        <v>Activo</v>
      </c>
      <c r="L997" s="25" t="s">
        <v>43</v>
      </c>
      <c r="M997" s="25" t="s">
        <v>48</v>
      </c>
      <c r="N997" s="25" t="s">
        <v>49</v>
      </c>
      <c r="O997" s="25" t="s">
        <v>50</v>
      </c>
      <c r="P997" s="25" t="s">
        <v>22</v>
      </c>
      <c r="Q997" s="32">
        <v>365</v>
      </c>
      <c r="R997" s="25" t="s">
        <v>40</v>
      </c>
      <c r="S997" s="28">
        <v>46198</v>
      </c>
      <c r="T997" s="28">
        <f t="shared" si="84"/>
        <v>46563</v>
      </c>
      <c r="U997" s="25">
        <f t="shared" ca="1" si="80"/>
        <v>302</v>
      </c>
      <c r="V997" s="25" t="str">
        <f t="shared" ca="1" si="81"/>
        <v>AL DÍA</v>
      </c>
      <c r="W997" s="25" t="s">
        <v>24</v>
      </c>
      <c r="X997" s="25" t="s">
        <v>271</v>
      </c>
      <c r="Y997" s="25">
        <v>1</v>
      </c>
    </row>
    <row r="998" spans="1:26" ht="14.25" hidden="1" customHeight="1" x14ac:dyDescent="0.15">
      <c r="A998" s="24" t="s">
        <v>257</v>
      </c>
      <c r="B998" s="24" t="s">
        <v>15</v>
      </c>
      <c r="C998" s="26" t="s">
        <v>20</v>
      </c>
      <c r="D998" s="24" t="s">
        <v>16</v>
      </c>
      <c r="F998" s="24" t="s">
        <v>52</v>
      </c>
      <c r="G998" s="21">
        <v>2024</v>
      </c>
      <c r="H998" s="21">
        <v>10</v>
      </c>
      <c r="I998" s="21">
        <f t="shared" ca="1" si="82"/>
        <v>2</v>
      </c>
      <c r="J998" s="21">
        <v>3</v>
      </c>
      <c r="K998" s="25" t="str">
        <f t="shared" ca="1" si="83"/>
        <v>Activo</v>
      </c>
      <c r="L998" s="25" t="s">
        <v>43</v>
      </c>
      <c r="M998" s="25" t="s">
        <v>53</v>
      </c>
      <c r="N998" s="25" t="s">
        <v>49</v>
      </c>
      <c r="O998" s="25" t="s">
        <v>54</v>
      </c>
      <c r="P998" s="25" t="s">
        <v>22</v>
      </c>
      <c r="Q998" s="34">
        <v>365</v>
      </c>
      <c r="R998" s="25" t="s">
        <v>40</v>
      </c>
      <c r="S998" s="28">
        <v>46198</v>
      </c>
      <c r="T998" s="28">
        <f t="shared" si="84"/>
        <v>46563</v>
      </c>
      <c r="U998" s="25">
        <f t="shared" ca="1" si="80"/>
        <v>302</v>
      </c>
      <c r="V998" s="25" t="str">
        <f t="shared" ca="1" si="81"/>
        <v>AL DÍA</v>
      </c>
      <c r="W998" s="25" t="s">
        <v>24</v>
      </c>
      <c r="X998" s="25" t="s">
        <v>271</v>
      </c>
      <c r="Y998" s="25">
        <v>1</v>
      </c>
    </row>
    <row r="999" spans="1:26" ht="14.25" hidden="1" customHeight="1" x14ac:dyDescent="0.15">
      <c r="A999" s="24" t="s">
        <v>257</v>
      </c>
      <c r="B999" s="24" t="s">
        <v>15</v>
      </c>
      <c r="C999" s="26" t="s">
        <v>20</v>
      </c>
      <c r="D999" s="24" t="s">
        <v>16</v>
      </c>
      <c r="F999" s="24" t="s">
        <v>55</v>
      </c>
      <c r="G999" s="21">
        <v>2019</v>
      </c>
      <c r="H999" s="21">
        <v>7</v>
      </c>
      <c r="I999" s="21">
        <f t="shared" ca="1" si="82"/>
        <v>7</v>
      </c>
      <c r="J999" s="21">
        <v>3</v>
      </c>
      <c r="K999" s="25" t="str">
        <f t="shared" ca="1" si="83"/>
        <v>Presupuestar</v>
      </c>
      <c r="L999" s="25" t="s">
        <v>56</v>
      </c>
      <c r="M999" s="25" t="s">
        <v>57</v>
      </c>
      <c r="N999" s="25">
        <v>117959</v>
      </c>
      <c r="O999" s="25" t="s">
        <v>58</v>
      </c>
      <c r="P999" s="25" t="s">
        <v>22</v>
      </c>
      <c r="Q999" s="32">
        <v>365</v>
      </c>
      <c r="R999" s="25" t="s">
        <v>69</v>
      </c>
      <c r="S999" s="28">
        <v>46198</v>
      </c>
      <c r="T999" s="28">
        <f t="shared" si="84"/>
        <v>46563</v>
      </c>
      <c r="U999" s="25">
        <f t="shared" ca="1" si="80"/>
        <v>302</v>
      </c>
      <c r="V999" s="25" t="str">
        <f t="shared" ca="1" si="81"/>
        <v>AL DÍA</v>
      </c>
      <c r="W999" s="25" t="s">
        <v>24</v>
      </c>
      <c r="X999" s="25" t="s">
        <v>271</v>
      </c>
      <c r="Y999" s="25">
        <v>1</v>
      </c>
      <c r="Z999" s="1" t="s">
        <v>274</v>
      </c>
    </row>
    <row r="1000" spans="1:26" ht="14.25" hidden="1" customHeight="1" x14ac:dyDescent="0.15">
      <c r="A1000" s="24" t="s">
        <v>257</v>
      </c>
      <c r="B1000" s="24" t="s">
        <v>15</v>
      </c>
      <c r="C1000" s="26" t="s">
        <v>20</v>
      </c>
      <c r="D1000" s="24" t="s">
        <v>16</v>
      </c>
      <c r="F1000" s="24" t="s">
        <v>59</v>
      </c>
      <c r="G1000" s="21">
        <v>2019</v>
      </c>
      <c r="H1000" s="21">
        <v>7</v>
      </c>
      <c r="I1000" s="21">
        <f t="shared" ca="1" si="82"/>
        <v>7</v>
      </c>
      <c r="J1000" s="21">
        <v>1</v>
      </c>
      <c r="K1000" s="25" t="s">
        <v>419</v>
      </c>
      <c r="L1000" s="25" t="s">
        <v>56</v>
      </c>
      <c r="M1000" s="25" t="s">
        <v>60</v>
      </c>
      <c r="N1000" s="25">
        <v>118630</v>
      </c>
      <c r="O1000" s="26" t="s">
        <v>61</v>
      </c>
      <c r="P1000" s="26" t="s">
        <v>22</v>
      </c>
      <c r="Q1000" s="34">
        <v>365</v>
      </c>
      <c r="R1000" s="25" t="s">
        <v>69</v>
      </c>
      <c r="S1000" s="33">
        <v>46198</v>
      </c>
      <c r="T1000" s="28">
        <f t="shared" si="84"/>
        <v>46563</v>
      </c>
      <c r="U1000" s="25">
        <f t="shared" ca="1" si="80"/>
        <v>302</v>
      </c>
      <c r="V1000" s="25" t="str">
        <f t="shared" ca="1" si="81"/>
        <v>AL DÍA</v>
      </c>
      <c r="W1000" s="25" t="s">
        <v>62</v>
      </c>
      <c r="X1000" s="25" t="s">
        <v>271</v>
      </c>
      <c r="Y1000" s="25">
        <v>1</v>
      </c>
      <c r="Z1000" s="1" t="s">
        <v>274</v>
      </c>
    </row>
    <row r="1001" spans="1:26" ht="14.25" hidden="1" customHeight="1" x14ac:dyDescent="0.15">
      <c r="A1001" s="24" t="s">
        <v>257</v>
      </c>
      <c r="B1001" s="24" t="s">
        <v>15</v>
      </c>
      <c r="C1001" s="26" t="s">
        <v>20</v>
      </c>
      <c r="D1001" s="24" t="s">
        <v>16</v>
      </c>
      <c r="E1001" s="24" t="s">
        <v>453</v>
      </c>
      <c r="F1001" s="24" t="s">
        <v>63</v>
      </c>
      <c r="G1001" s="21">
        <v>1995</v>
      </c>
      <c r="H1001" s="21">
        <v>40</v>
      </c>
      <c r="I1001" s="21">
        <f t="shared" ca="1" si="82"/>
        <v>31</v>
      </c>
      <c r="J1001" s="21">
        <v>3</v>
      </c>
      <c r="K1001" s="25" t="str">
        <f t="shared" ref="K1001:K1032" ca="1" si="85">IF(J1001=1,"Cambiar",IF(J1001=2,"Presupuestar",IF(H1001=0,"Activo",IF(G1001+H1001&lt;YEAR(TODAY()),"Cambiar o Inspección externa",IF(G1001+H1001-1&lt;YEAR(TODAY()),"Presupuestar","Activo")))))</f>
        <v>Activo</v>
      </c>
      <c r="L1001" s="25" t="s">
        <v>49</v>
      </c>
      <c r="M1001" s="25" t="s">
        <v>49</v>
      </c>
      <c r="N1001" s="25" t="s">
        <v>49</v>
      </c>
      <c r="O1001" s="25" t="s">
        <v>203</v>
      </c>
      <c r="P1001" s="25" t="s">
        <v>22</v>
      </c>
      <c r="Q1001" s="32">
        <v>365</v>
      </c>
      <c r="R1001" s="25" t="s">
        <v>64</v>
      </c>
      <c r="S1001" s="28">
        <v>46198</v>
      </c>
      <c r="T1001" s="28">
        <f t="shared" si="84"/>
        <v>46563</v>
      </c>
      <c r="U1001" s="25">
        <f t="shared" ca="1" si="80"/>
        <v>302</v>
      </c>
      <c r="V1001" s="25" t="str">
        <f t="shared" ca="1" si="81"/>
        <v>AL DÍA</v>
      </c>
      <c r="W1001" s="25" t="s">
        <v>24</v>
      </c>
      <c r="X1001" s="25" t="s">
        <v>277</v>
      </c>
      <c r="Y1001" s="25">
        <v>1</v>
      </c>
      <c r="Z1001" s="1" t="s">
        <v>284</v>
      </c>
    </row>
    <row r="1002" spans="1:26" ht="14.25" hidden="1" customHeight="1" x14ac:dyDescent="0.15">
      <c r="A1002" s="24" t="s">
        <v>257</v>
      </c>
      <c r="B1002" s="24" t="s">
        <v>15</v>
      </c>
      <c r="C1002" s="26" t="s">
        <v>67</v>
      </c>
      <c r="D1002" s="24" t="s">
        <v>65</v>
      </c>
      <c r="E1002" s="24" t="s">
        <v>452</v>
      </c>
      <c r="F1002" s="24" t="s">
        <v>66</v>
      </c>
      <c r="G1002" s="21">
        <v>1995</v>
      </c>
      <c r="H1002" s="21">
        <v>0</v>
      </c>
      <c r="I1002" s="21">
        <f t="shared" ca="1" si="82"/>
        <v>31</v>
      </c>
      <c r="J1002" s="21">
        <v>3</v>
      </c>
      <c r="K1002" s="25" t="str">
        <f t="shared" ca="1" si="85"/>
        <v>Activo</v>
      </c>
      <c r="L1002" s="25" t="s">
        <v>49</v>
      </c>
      <c r="M1002" s="25" t="s">
        <v>49</v>
      </c>
      <c r="N1002" s="25" t="s">
        <v>49</v>
      </c>
      <c r="O1002" s="25" t="s">
        <v>68</v>
      </c>
      <c r="P1002" s="25" t="s">
        <v>138</v>
      </c>
      <c r="Q1002" s="32">
        <v>30</v>
      </c>
      <c r="R1002" s="25" t="s">
        <v>69</v>
      </c>
      <c r="S1002" s="30">
        <v>46228</v>
      </c>
      <c r="T1002" s="28">
        <f t="shared" si="84"/>
        <v>46258</v>
      </c>
      <c r="U1002" s="25">
        <f t="shared" ca="1" si="80"/>
        <v>-3</v>
      </c>
      <c r="V1002" s="25" t="str">
        <f t="shared" ca="1" si="81"/>
        <v>VENCIDO</v>
      </c>
      <c r="W1002" s="25" t="s">
        <v>24</v>
      </c>
      <c r="X1002" s="25" t="s">
        <v>267</v>
      </c>
      <c r="Y1002" s="25">
        <v>1</v>
      </c>
      <c r="Z1002" s="1" t="s">
        <v>268</v>
      </c>
    </row>
    <row r="1003" spans="1:26" ht="14.25" hidden="1" customHeight="1" x14ac:dyDescent="0.15">
      <c r="A1003" s="24" t="s">
        <v>257</v>
      </c>
      <c r="B1003" s="24" t="s">
        <v>15</v>
      </c>
      <c r="C1003" s="26" t="s">
        <v>71</v>
      </c>
      <c r="D1003" s="24" t="s">
        <v>65</v>
      </c>
      <c r="E1003" s="24" t="s">
        <v>452</v>
      </c>
      <c r="F1003" s="24" t="s">
        <v>70</v>
      </c>
      <c r="G1003" s="21">
        <v>1995</v>
      </c>
      <c r="H1003" s="21">
        <v>0</v>
      </c>
      <c r="I1003" s="21">
        <f t="shared" ca="1" si="82"/>
        <v>31</v>
      </c>
      <c r="J1003" s="21">
        <v>3</v>
      </c>
      <c r="K1003" s="25" t="str">
        <f t="shared" ca="1" si="85"/>
        <v>Activo</v>
      </c>
      <c r="L1003" s="25" t="s">
        <v>49</v>
      </c>
      <c r="M1003" s="25" t="s">
        <v>49</v>
      </c>
      <c r="N1003" s="25" t="s">
        <v>49</v>
      </c>
      <c r="O1003" s="25" t="s">
        <v>68</v>
      </c>
      <c r="P1003" s="25" t="s">
        <v>138</v>
      </c>
      <c r="Q1003" s="32">
        <v>30</v>
      </c>
      <c r="R1003" s="25" t="s">
        <v>69</v>
      </c>
      <c r="S1003" s="30">
        <v>46228</v>
      </c>
      <c r="T1003" s="28">
        <f t="shared" si="84"/>
        <v>46258</v>
      </c>
      <c r="U1003" s="25">
        <f t="shared" ca="1" si="80"/>
        <v>-3</v>
      </c>
      <c r="V1003" s="25" t="str">
        <f t="shared" ca="1" si="81"/>
        <v>VENCIDO</v>
      </c>
      <c r="W1003" s="25" t="s">
        <v>24</v>
      </c>
      <c r="X1003" s="25" t="s">
        <v>267</v>
      </c>
      <c r="Y1003" s="25">
        <v>1</v>
      </c>
      <c r="Z1003" s="1" t="s">
        <v>268</v>
      </c>
    </row>
    <row r="1004" spans="1:26" ht="14.25" hidden="1" customHeight="1" x14ac:dyDescent="0.15">
      <c r="A1004" s="24" t="s">
        <v>257</v>
      </c>
      <c r="B1004" s="24" t="s">
        <v>15</v>
      </c>
      <c r="C1004" s="26" t="s">
        <v>67</v>
      </c>
      <c r="D1004" s="24" t="s">
        <v>65</v>
      </c>
      <c r="E1004" s="24" t="s">
        <v>452</v>
      </c>
      <c r="F1004" s="24" t="s">
        <v>72</v>
      </c>
      <c r="G1004" s="21">
        <v>1995</v>
      </c>
      <c r="H1004" s="21">
        <v>0</v>
      </c>
      <c r="I1004" s="21">
        <f t="shared" ca="1" si="82"/>
        <v>31</v>
      </c>
      <c r="J1004" s="21">
        <v>3</v>
      </c>
      <c r="K1004" s="25" t="str">
        <f t="shared" ca="1" si="85"/>
        <v>Activo</v>
      </c>
      <c r="L1004" s="25" t="s">
        <v>49</v>
      </c>
      <c r="M1004" s="25" t="s">
        <v>49</v>
      </c>
      <c r="N1004" s="25" t="s">
        <v>49</v>
      </c>
      <c r="O1004" s="25" t="s">
        <v>73</v>
      </c>
      <c r="P1004" s="25" t="s">
        <v>138</v>
      </c>
      <c r="Q1004" s="32">
        <v>30</v>
      </c>
      <c r="R1004" s="25" t="s">
        <v>69</v>
      </c>
      <c r="S1004" s="30">
        <v>46228</v>
      </c>
      <c r="T1004" s="28">
        <f t="shared" si="84"/>
        <v>46258</v>
      </c>
      <c r="U1004" s="25">
        <f t="shared" ca="1" si="80"/>
        <v>-3</v>
      </c>
      <c r="V1004" s="25" t="str">
        <f t="shared" ca="1" si="81"/>
        <v>VENCIDO</v>
      </c>
      <c r="W1004" s="25" t="s">
        <v>24</v>
      </c>
      <c r="X1004" s="25" t="s">
        <v>267</v>
      </c>
      <c r="Y1004" s="25">
        <v>1</v>
      </c>
      <c r="Z1004" s="1" t="s">
        <v>270</v>
      </c>
    </row>
    <row r="1005" spans="1:26" ht="14.25" hidden="1" customHeight="1" x14ac:dyDescent="0.15">
      <c r="A1005" s="24" t="s">
        <v>257</v>
      </c>
      <c r="B1005" s="24" t="s">
        <v>15</v>
      </c>
      <c r="C1005" s="26" t="s">
        <v>71</v>
      </c>
      <c r="D1005" s="24" t="s">
        <v>65</v>
      </c>
      <c r="E1005" s="24" t="s">
        <v>452</v>
      </c>
      <c r="F1005" s="24" t="s">
        <v>74</v>
      </c>
      <c r="G1005" s="21">
        <v>1995</v>
      </c>
      <c r="H1005" s="21">
        <v>0</v>
      </c>
      <c r="I1005" s="21">
        <f t="shared" ca="1" si="82"/>
        <v>31</v>
      </c>
      <c r="J1005" s="21">
        <v>3</v>
      </c>
      <c r="K1005" s="25" t="str">
        <f t="shared" ca="1" si="85"/>
        <v>Activo</v>
      </c>
      <c r="L1005" s="25" t="s">
        <v>49</v>
      </c>
      <c r="M1005" s="25" t="s">
        <v>49</v>
      </c>
      <c r="N1005" s="25" t="s">
        <v>49</v>
      </c>
      <c r="O1005" s="25" t="s">
        <v>73</v>
      </c>
      <c r="P1005" s="25" t="s">
        <v>138</v>
      </c>
      <c r="Q1005" s="32">
        <v>30</v>
      </c>
      <c r="R1005" s="25" t="s">
        <v>69</v>
      </c>
      <c r="S1005" s="30">
        <v>46228</v>
      </c>
      <c r="T1005" s="28">
        <f t="shared" si="84"/>
        <v>46258</v>
      </c>
      <c r="U1005" s="25">
        <f t="shared" ca="1" si="80"/>
        <v>-3</v>
      </c>
      <c r="V1005" s="25" t="str">
        <f t="shared" ca="1" si="81"/>
        <v>VENCIDO</v>
      </c>
      <c r="W1005" s="25" t="s">
        <v>24</v>
      </c>
      <c r="X1005" s="25" t="s">
        <v>267</v>
      </c>
      <c r="Y1005" s="25">
        <v>1</v>
      </c>
      <c r="Z1005" s="1" t="s">
        <v>270</v>
      </c>
    </row>
    <row r="1006" spans="1:26" ht="14.25" hidden="1" customHeight="1" x14ac:dyDescent="0.15">
      <c r="A1006" s="24" t="s">
        <v>353</v>
      </c>
      <c r="B1006" s="24" t="s">
        <v>88</v>
      </c>
      <c r="C1006" s="26" t="s">
        <v>91</v>
      </c>
      <c r="D1006" s="24" t="s">
        <v>16</v>
      </c>
      <c r="E1006" s="24" t="s">
        <v>451</v>
      </c>
      <c r="F1006" s="24" t="s">
        <v>17</v>
      </c>
      <c r="G1006" s="21">
        <v>2016</v>
      </c>
      <c r="H1006" s="21">
        <v>15</v>
      </c>
      <c r="I1006" s="21">
        <f t="shared" ca="1" si="82"/>
        <v>10</v>
      </c>
      <c r="J1006" s="21">
        <v>3</v>
      </c>
      <c r="K1006" s="25" t="str">
        <f t="shared" ca="1" si="85"/>
        <v>Activo</v>
      </c>
      <c r="L1006" s="25" t="s">
        <v>89</v>
      </c>
      <c r="M1006" s="25" t="s">
        <v>90</v>
      </c>
      <c r="O1006" s="25" t="s">
        <v>92</v>
      </c>
      <c r="P1006" s="25" t="s">
        <v>22</v>
      </c>
      <c r="Q1006" s="34">
        <v>365</v>
      </c>
      <c r="R1006" s="25" t="s">
        <v>23</v>
      </c>
      <c r="S1006" s="28">
        <v>46198</v>
      </c>
      <c r="T1006" s="28">
        <f t="shared" si="84"/>
        <v>46563</v>
      </c>
      <c r="U1006" s="25">
        <f t="shared" ca="1" si="80"/>
        <v>302</v>
      </c>
      <c r="V1006" s="25" t="str">
        <f t="shared" ca="1" si="81"/>
        <v>AL DÍA</v>
      </c>
      <c r="W1006" s="25" t="s">
        <v>24</v>
      </c>
      <c r="X1006" s="25" t="s">
        <v>271</v>
      </c>
      <c r="Y1006" s="25">
        <v>1</v>
      </c>
      <c r="Z1006" s="1" t="s">
        <v>276</v>
      </c>
    </row>
    <row r="1007" spans="1:26" ht="13.7" hidden="1" customHeight="1" x14ac:dyDescent="0.15">
      <c r="A1007" s="24" t="s">
        <v>353</v>
      </c>
      <c r="B1007" s="24" t="s">
        <v>88</v>
      </c>
      <c r="C1007" s="26" t="s">
        <v>94</v>
      </c>
      <c r="D1007" s="24" t="s">
        <v>16</v>
      </c>
      <c r="E1007" s="24" t="s">
        <v>451</v>
      </c>
      <c r="F1007" s="24" t="s">
        <v>93</v>
      </c>
      <c r="G1007" s="21">
        <v>2016</v>
      </c>
      <c r="H1007" s="21">
        <v>20</v>
      </c>
      <c r="I1007" s="21">
        <f t="shared" ca="1" si="82"/>
        <v>10</v>
      </c>
      <c r="J1007" s="21">
        <v>3</v>
      </c>
      <c r="K1007" s="25" t="str">
        <f t="shared" ca="1" si="85"/>
        <v>Activo</v>
      </c>
      <c r="L1007" s="25" t="s">
        <v>89</v>
      </c>
      <c r="O1007" s="25" t="s">
        <v>49</v>
      </c>
      <c r="P1007" s="26" t="s">
        <v>22</v>
      </c>
      <c r="Q1007" s="34">
        <v>365</v>
      </c>
      <c r="R1007" s="25" t="s">
        <v>69</v>
      </c>
      <c r="S1007" s="28">
        <v>46198</v>
      </c>
      <c r="T1007" s="28">
        <f t="shared" si="84"/>
        <v>46563</v>
      </c>
      <c r="U1007" s="25">
        <f t="shared" ca="1" si="80"/>
        <v>302</v>
      </c>
      <c r="V1007" s="25" t="str">
        <f t="shared" ca="1" si="81"/>
        <v>AL DÍA</v>
      </c>
      <c r="W1007" s="25" t="s">
        <v>24</v>
      </c>
      <c r="X1007" s="25" t="s">
        <v>262</v>
      </c>
      <c r="Y1007" s="25">
        <v>1</v>
      </c>
      <c r="Z1007" s="1" t="s">
        <v>265</v>
      </c>
    </row>
    <row r="1008" spans="1:26" ht="14.25" hidden="1" customHeight="1" x14ac:dyDescent="0.15">
      <c r="A1008" s="24" t="s">
        <v>353</v>
      </c>
      <c r="B1008" s="24" t="s">
        <v>88</v>
      </c>
      <c r="C1008" s="26" t="s">
        <v>95</v>
      </c>
      <c r="D1008" s="24" t="s">
        <v>65</v>
      </c>
      <c r="F1008" s="24" t="s">
        <v>465</v>
      </c>
      <c r="G1008" s="21">
        <v>2016</v>
      </c>
      <c r="H1008" s="21">
        <v>25</v>
      </c>
      <c r="I1008" s="21">
        <f t="shared" ca="1" si="82"/>
        <v>10</v>
      </c>
      <c r="J1008" s="21">
        <v>3</v>
      </c>
      <c r="K1008" s="25" t="str">
        <f t="shared" ca="1" si="85"/>
        <v>Activo</v>
      </c>
      <c r="L1008" s="25" t="s">
        <v>49</v>
      </c>
      <c r="M1008" s="25" t="s">
        <v>49</v>
      </c>
      <c r="N1008" s="25" t="s">
        <v>49</v>
      </c>
      <c r="O1008" s="25" t="s">
        <v>96</v>
      </c>
      <c r="P1008" s="26" t="s">
        <v>81</v>
      </c>
      <c r="Q1008" s="34">
        <f>365*3.5</f>
        <v>1277.5</v>
      </c>
      <c r="R1008" s="25" t="s">
        <v>69</v>
      </c>
      <c r="S1008" s="28">
        <v>46198</v>
      </c>
      <c r="T1008" s="28">
        <f t="shared" si="84"/>
        <v>47475.5</v>
      </c>
      <c r="U1008" s="25">
        <f t="shared" ca="1" si="80"/>
        <v>1214.5</v>
      </c>
      <c r="V1008" s="25" t="str">
        <f t="shared" ca="1" si="81"/>
        <v>AL DÍA</v>
      </c>
      <c r="W1008" s="25" t="s">
        <v>24</v>
      </c>
      <c r="X1008" s="25" t="s">
        <v>277</v>
      </c>
      <c r="Y1008" s="25">
        <v>1</v>
      </c>
      <c r="Z1008" s="1" t="s">
        <v>281</v>
      </c>
    </row>
    <row r="1009" spans="1:26" ht="14.25" hidden="1" customHeight="1" x14ac:dyDescent="0.15">
      <c r="A1009" s="24" t="s">
        <v>353</v>
      </c>
      <c r="B1009" s="24" t="s">
        <v>88</v>
      </c>
      <c r="C1009" s="26" t="s">
        <v>362</v>
      </c>
      <c r="D1009" s="24" t="s">
        <v>16</v>
      </c>
      <c r="E1009" s="24" t="s">
        <v>453</v>
      </c>
      <c r="F1009" s="24" t="s">
        <v>63</v>
      </c>
      <c r="G1009" s="21">
        <v>2016</v>
      </c>
      <c r="H1009" s="21">
        <v>40</v>
      </c>
      <c r="I1009" s="21">
        <f t="shared" ca="1" si="82"/>
        <v>10</v>
      </c>
      <c r="J1009" s="21">
        <v>3</v>
      </c>
      <c r="K1009" s="25" t="str">
        <f t="shared" ca="1" si="85"/>
        <v>Activo</v>
      </c>
      <c r="L1009" s="25" t="s">
        <v>49</v>
      </c>
      <c r="M1009" s="25" t="s">
        <v>49</v>
      </c>
      <c r="N1009" s="25" t="s">
        <v>49</v>
      </c>
      <c r="O1009" s="25" t="s">
        <v>207</v>
      </c>
      <c r="P1009" s="26" t="s">
        <v>22</v>
      </c>
      <c r="Q1009" s="34">
        <v>365</v>
      </c>
      <c r="R1009" s="25" t="s">
        <v>64</v>
      </c>
      <c r="S1009" s="28">
        <v>46198</v>
      </c>
      <c r="T1009" s="28">
        <f t="shared" si="84"/>
        <v>46563</v>
      </c>
      <c r="U1009" s="25">
        <f t="shared" ca="1" si="80"/>
        <v>302</v>
      </c>
      <c r="V1009" s="25" t="str">
        <f t="shared" ca="1" si="81"/>
        <v>AL DÍA</v>
      </c>
      <c r="W1009" s="25" t="s">
        <v>24</v>
      </c>
      <c r="X1009" s="25" t="s">
        <v>277</v>
      </c>
      <c r="Y1009" s="25">
        <v>1</v>
      </c>
      <c r="Z1009" s="1" t="s">
        <v>284</v>
      </c>
    </row>
    <row r="1010" spans="1:26" ht="14.25" hidden="1" customHeight="1" x14ac:dyDescent="0.15">
      <c r="A1010" s="24" t="s">
        <v>353</v>
      </c>
      <c r="B1010" s="24" t="s">
        <v>88</v>
      </c>
      <c r="C1010" s="26" t="s">
        <v>410</v>
      </c>
      <c r="D1010" s="24" t="s">
        <v>16</v>
      </c>
      <c r="E1010" s="24" t="s">
        <v>435</v>
      </c>
      <c r="F1010" s="24" t="s">
        <v>420</v>
      </c>
      <c r="G1010" s="71"/>
      <c r="H1010" s="21">
        <v>0</v>
      </c>
      <c r="I1010" s="21">
        <f t="shared" ca="1" si="82"/>
        <v>2026</v>
      </c>
      <c r="J1010" s="21">
        <v>3</v>
      </c>
      <c r="K1010" s="25" t="str">
        <f t="shared" ca="1" si="85"/>
        <v>Activo</v>
      </c>
      <c r="O1010" s="73"/>
      <c r="P1010" s="26" t="s">
        <v>439</v>
      </c>
      <c r="Q1010" s="34">
        <v>180</v>
      </c>
      <c r="S1010" s="29">
        <v>46198</v>
      </c>
      <c r="T1010" s="28">
        <f t="shared" si="84"/>
        <v>46378</v>
      </c>
      <c r="U1010" s="25">
        <f t="shared" ca="1" si="80"/>
        <v>117</v>
      </c>
      <c r="V1010" s="25" t="str">
        <f t="shared" ca="1" si="81"/>
        <v>AL DÍA</v>
      </c>
      <c r="W1010" s="25" t="s">
        <v>24</v>
      </c>
      <c r="X1010" s="25" t="s">
        <v>271</v>
      </c>
      <c r="Y1010" s="25">
        <v>2</v>
      </c>
    </row>
    <row r="1011" spans="1:26" ht="14.25" hidden="1" customHeight="1" x14ac:dyDescent="0.15">
      <c r="A1011" s="24" t="s">
        <v>353</v>
      </c>
      <c r="B1011" s="24" t="s">
        <v>88</v>
      </c>
      <c r="C1011" s="26" t="s">
        <v>411</v>
      </c>
      <c r="D1011" s="24" t="s">
        <v>16</v>
      </c>
      <c r="E1011" s="24" t="s">
        <v>435</v>
      </c>
      <c r="F1011" s="24" t="s">
        <v>420</v>
      </c>
      <c r="G1011" s="71"/>
      <c r="H1011" s="21">
        <v>0</v>
      </c>
      <c r="I1011" s="21">
        <f t="shared" ca="1" si="82"/>
        <v>2026</v>
      </c>
      <c r="J1011" s="21">
        <v>3</v>
      </c>
      <c r="K1011" s="25" t="str">
        <f t="shared" ca="1" si="85"/>
        <v>Activo</v>
      </c>
      <c r="O1011" s="72"/>
      <c r="P1011" s="26" t="s">
        <v>439</v>
      </c>
      <c r="Q1011" s="34">
        <v>180</v>
      </c>
      <c r="S1011" s="29">
        <v>46198</v>
      </c>
      <c r="T1011" s="28">
        <f t="shared" si="84"/>
        <v>46378</v>
      </c>
      <c r="U1011" s="25">
        <f t="shared" ca="1" si="80"/>
        <v>117</v>
      </c>
      <c r="V1011" s="25" t="str">
        <f t="shared" ca="1" si="81"/>
        <v>AL DÍA</v>
      </c>
      <c r="W1011" s="25" t="s">
        <v>24</v>
      </c>
      <c r="X1011" s="25" t="s">
        <v>271</v>
      </c>
      <c r="Y1011" s="25">
        <v>2</v>
      </c>
    </row>
    <row r="1012" spans="1:26" ht="14.25" hidden="1" customHeight="1" x14ac:dyDescent="0.15">
      <c r="A1012" s="24" t="s">
        <v>353</v>
      </c>
      <c r="B1012" s="24" t="s">
        <v>88</v>
      </c>
      <c r="C1012" s="26" t="s">
        <v>412</v>
      </c>
      <c r="D1012" s="24" t="s">
        <v>16</v>
      </c>
      <c r="E1012" s="24" t="s">
        <v>435</v>
      </c>
      <c r="F1012" s="24" t="s">
        <v>420</v>
      </c>
      <c r="G1012" s="71"/>
      <c r="H1012" s="21">
        <v>0</v>
      </c>
      <c r="I1012" s="21">
        <f t="shared" ca="1" si="82"/>
        <v>2026</v>
      </c>
      <c r="J1012" s="21">
        <v>3</v>
      </c>
      <c r="K1012" s="25" t="str">
        <f t="shared" ca="1" si="85"/>
        <v>Activo</v>
      </c>
      <c r="O1012" s="72"/>
      <c r="P1012" s="26" t="s">
        <v>439</v>
      </c>
      <c r="Q1012" s="34">
        <v>180</v>
      </c>
      <c r="S1012" s="29">
        <v>46198</v>
      </c>
      <c r="T1012" s="28">
        <f t="shared" si="84"/>
        <v>46378</v>
      </c>
      <c r="U1012" s="25">
        <f t="shared" ca="1" si="80"/>
        <v>117</v>
      </c>
      <c r="V1012" s="25" t="str">
        <f t="shared" ca="1" si="81"/>
        <v>AL DÍA</v>
      </c>
      <c r="W1012" s="25" t="s">
        <v>24</v>
      </c>
      <c r="X1012" s="25" t="s">
        <v>271</v>
      </c>
      <c r="Y1012" s="25">
        <v>2</v>
      </c>
    </row>
    <row r="1013" spans="1:26" ht="14.25" hidden="1" customHeight="1" x14ac:dyDescent="0.15">
      <c r="A1013" s="24" t="s">
        <v>353</v>
      </c>
      <c r="B1013" s="24" t="s">
        <v>88</v>
      </c>
      <c r="C1013" s="26" t="s">
        <v>413</v>
      </c>
      <c r="D1013" s="24" t="s">
        <v>16</v>
      </c>
      <c r="E1013" s="24" t="s">
        <v>435</v>
      </c>
      <c r="F1013" s="24" t="s">
        <v>420</v>
      </c>
      <c r="G1013" s="71"/>
      <c r="H1013" s="21">
        <v>0</v>
      </c>
      <c r="I1013" s="21">
        <f t="shared" ca="1" si="82"/>
        <v>2026</v>
      </c>
      <c r="J1013" s="21">
        <v>3</v>
      </c>
      <c r="K1013" s="25" t="str">
        <f t="shared" ca="1" si="85"/>
        <v>Activo</v>
      </c>
      <c r="O1013" s="72"/>
      <c r="P1013" s="26" t="s">
        <v>439</v>
      </c>
      <c r="Q1013" s="34">
        <v>180</v>
      </c>
      <c r="S1013" s="29">
        <v>46198</v>
      </c>
      <c r="T1013" s="28">
        <f t="shared" si="84"/>
        <v>46378</v>
      </c>
      <c r="U1013" s="25">
        <f t="shared" ca="1" si="80"/>
        <v>117</v>
      </c>
      <c r="V1013" s="25" t="str">
        <f t="shared" ca="1" si="81"/>
        <v>AL DÍA</v>
      </c>
      <c r="W1013" s="25" t="s">
        <v>24</v>
      </c>
      <c r="X1013" s="25" t="s">
        <v>271</v>
      </c>
      <c r="Y1013" s="25">
        <v>2</v>
      </c>
    </row>
    <row r="1014" spans="1:26" ht="14.25" hidden="1" customHeight="1" x14ac:dyDescent="0.15">
      <c r="A1014" s="24" t="s">
        <v>353</v>
      </c>
      <c r="B1014" s="24" t="s">
        <v>88</v>
      </c>
      <c r="C1014" s="26" t="s">
        <v>410</v>
      </c>
      <c r="D1014" s="24" t="s">
        <v>16</v>
      </c>
      <c r="E1014" s="24" t="s">
        <v>450</v>
      </c>
      <c r="F1014" s="24" t="s">
        <v>421</v>
      </c>
      <c r="G1014" s="71"/>
      <c r="H1014" s="21">
        <v>0</v>
      </c>
      <c r="I1014" s="21">
        <f t="shared" ca="1" si="82"/>
        <v>2026</v>
      </c>
      <c r="J1014" s="21">
        <v>3</v>
      </c>
      <c r="K1014" s="25" t="str">
        <f t="shared" ca="1" si="85"/>
        <v>Activo</v>
      </c>
      <c r="O1014" s="72"/>
      <c r="P1014" s="26" t="s">
        <v>439</v>
      </c>
      <c r="Q1014" s="34">
        <v>180</v>
      </c>
      <c r="S1014" s="29">
        <v>46198</v>
      </c>
      <c r="T1014" s="28">
        <f t="shared" si="84"/>
        <v>46378</v>
      </c>
      <c r="U1014" s="25">
        <f t="shared" ca="1" si="80"/>
        <v>117</v>
      </c>
      <c r="V1014" s="25" t="str">
        <f t="shared" ca="1" si="81"/>
        <v>AL DÍA</v>
      </c>
      <c r="W1014" s="25" t="s">
        <v>24</v>
      </c>
      <c r="X1014" s="25" t="s">
        <v>271</v>
      </c>
      <c r="Y1014" s="25">
        <v>2</v>
      </c>
    </row>
    <row r="1015" spans="1:26" ht="14.25" hidden="1" customHeight="1" x14ac:dyDescent="0.15">
      <c r="A1015" s="24" t="s">
        <v>353</v>
      </c>
      <c r="B1015" s="24" t="s">
        <v>88</v>
      </c>
      <c r="C1015" s="26" t="s">
        <v>411</v>
      </c>
      <c r="D1015" s="24" t="s">
        <v>16</v>
      </c>
      <c r="E1015" s="24" t="s">
        <v>450</v>
      </c>
      <c r="F1015" s="24" t="s">
        <v>421</v>
      </c>
      <c r="G1015" s="71"/>
      <c r="H1015" s="21">
        <v>0</v>
      </c>
      <c r="I1015" s="21">
        <f t="shared" ca="1" si="82"/>
        <v>2026</v>
      </c>
      <c r="J1015" s="21">
        <v>3</v>
      </c>
      <c r="K1015" s="25" t="str">
        <f t="shared" ca="1" si="85"/>
        <v>Activo</v>
      </c>
      <c r="O1015" s="72"/>
      <c r="P1015" s="26" t="s">
        <v>439</v>
      </c>
      <c r="Q1015" s="34">
        <v>180</v>
      </c>
      <c r="S1015" s="29">
        <v>46198</v>
      </c>
      <c r="T1015" s="28">
        <f t="shared" si="84"/>
        <v>46378</v>
      </c>
      <c r="U1015" s="25">
        <f t="shared" ca="1" si="80"/>
        <v>117</v>
      </c>
      <c r="V1015" s="25" t="str">
        <f t="shared" ca="1" si="81"/>
        <v>AL DÍA</v>
      </c>
      <c r="W1015" s="25" t="s">
        <v>24</v>
      </c>
      <c r="X1015" s="25" t="s">
        <v>271</v>
      </c>
      <c r="Y1015" s="25">
        <v>2</v>
      </c>
    </row>
    <row r="1016" spans="1:26" ht="14.25" hidden="1" customHeight="1" x14ac:dyDescent="0.15">
      <c r="A1016" s="24" t="s">
        <v>353</v>
      </c>
      <c r="B1016" s="24" t="s">
        <v>88</v>
      </c>
      <c r="C1016" s="26" t="s">
        <v>412</v>
      </c>
      <c r="D1016" s="24" t="s">
        <v>16</v>
      </c>
      <c r="E1016" s="24" t="s">
        <v>450</v>
      </c>
      <c r="F1016" s="24" t="s">
        <v>421</v>
      </c>
      <c r="G1016" s="71"/>
      <c r="H1016" s="21">
        <v>0</v>
      </c>
      <c r="I1016" s="21">
        <f t="shared" ca="1" si="82"/>
        <v>2026</v>
      </c>
      <c r="J1016" s="21">
        <v>3</v>
      </c>
      <c r="K1016" s="25" t="str">
        <f t="shared" ca="1" si="85"/>
        <v>Activo</v>
      </c>
      <c r="O1016" s="72"/>
      <c r="P1016" s="26" t="s">
        <v>439</v>
      </c>
      <c r="Q1016" s="34">
        <v>180</v>
      </c>
      <c r="S1016" s="29">
        <v>46198</v>
      </c>
      <c r="T1016" s="28">
        <f t="shared" si="84"/>
        <v>46378</v>
      </c>
      <c r="U1016" s="25">
        <f t="shared" ca="1" si="80"/>
        <v>117</v>
      </c>
      <c r="V1016" s="25" t="str">
        <f t="shared" ca="1" si="81"/>
        <v>AL DÍA</v>
      </c>
      <c r="W1016" s="25" t="s">
        <v>24</v>
      </c>
      <c r="X1016" s="25" t="s">
        <v>271</v>
      </c>
      <c r="Y1016" s="25">
        <v>2</v>
      </c>
    </row>
    <row r="1017" spans="1:26" ht="13.7" hidden="1" customHeight="1" x14ac:dyDescent="0.15">
      <c r="A1017" s="24" t="s">
        <v>353</v>
      </c>
      <c r="B1017" s="24" t="s">
        <v>88</v>
      </c>
      <c r="C1017" s="26" t="s">
        <v>413</v>
      </c>
      <c r="D1017" s="24" t="s">
        <v>16</v>
      </c>
      <c r="E1017" s="24" t="s">
        <v>450</v>
      </c>
      <c r="F1017" s="24" t="s">
        <v>421</v>
      </c>
      <c r="G1017" s="71"/>
      <c r="H1017" s="21">
        <v>0</v>
      </c>
      <c r="I1017" s="21">
        <f t="shared" ca="1" si="82"/>
        <v>2026</v>
      </c>
      <c r="J1017" s="21">
        <v>3</v>
      </c>
      <c r="K1017" s="25" t="str">
        <f t="shared" ca="1" si="85"/>
        <v>Activo</v>
      </c>
      <c r="O1017" s="72"/>
      <c r="P1017" s="26" t="s">
        <v>439</v>
      </c>
      <c r="Q1017" s="34">
        <v>180</v>
      </c>
      <c r="S1017" s="29">
        <v>46198</v>
      </c>
      <c r="T1017" s="28">
        <f t="shared" si="84"/>
        <v>46378</v>
      </c>
      <c r="U1017" s="25">
        <f t="shared" ca="1" si="80"/>
        <v>117</v>
      </c>
      <c r="V1017" s="25" t="str">
        <f t="shared" ca="1" si="81"/>
        <v>AL DÍA</v>
      </c>
      <c r="W1017" s="25" t="s">
        <v>24</v>
      </c>
      <c r="X1017" s="25" t="s">
        <v>271</v>
      </c>
      <c r="Y1017" s="25">
        <v>2</v>
      </c>
    </row>
    <row r="1018" spans="1:26" ht="14.25" hidden="1" customHeight="1" x14ac:dyDescent="0.15">
      <c r="A1018" s="24" t="s">
        <v>353</v>
      </c>
      <c r="B1018" s="24" t="s">
        <v>88</v>
      </c>
      <c r="C1018" s="26" t="s">
        <v>410</v>
      </c>
      <c r="D1018" s="24" t="s">
        <v>16</v>
      </c>
      <c r="E1018" s="24" t="s">
        <v>450</v>
      </c>
      <c r="F1018" s="24" t="s">
        <v>422</v>
      </c>
      <c r="G1018" s="71"/>
      <c r="H1018" s="21">
        <v>0</v>
      </c>
      <c r="I1018" s="21">
        <f t="shared" ca="1" si="82"/>
        <v>2026</v>
      </c>
      <c r="J1018" s="21">
        <v>3</v>
      </c>
      <c r="K1018" s="25" t="str">
        <f t="shared" ca="1" si="85"/>
        <v>Activo</v>
      </c>
      <c r="O1018" s="72">
        <v>1</v>
      </c>
      <c r="P1018" s="26" t="s">
        <v>439</v>
      </c>
      <c r="Q1018" s="34">
        <v>180</v>
      </c>
      <c r="S1018" s="29">
        <v>46198</v>
      </c>
      <c r="T1018" s="28">
        <f t="shared" si="84"/>
        <v>46378</v>
      </c>
      <c r="U1018" s="25">
        <f t="shared" ca="1" si="80"/>
        <v>117</v>
      </c>
      <c r="V1018" s="25" t="str">
        <f t="shared" ca="1" si="81"/>
        <v>AL DÍA</v>
      </c>
      <c r="W1018" s="25" t="s">
        <v>24</v>
      </c>
      <c r="X1018" s="25" t="s">
        <v>271</v>
      </c>
      <c r="Y1018" s="25">
        <v>2</v>
      </c>
    </row>
    <row r="1019" spans="1:26" ht="14.25" hidden="1" customHeight="1" x14ac:dyDescent="0.15">
      <c r="A1019" s="24" t="s">
        <v>353</v>
      </c>
      <c r="B1019" s="24" t="s">
        <v>88</v>
      </c>
      <c r="C1019" s="26" t="s">
        <v>411</v>
      </c>
      <c r="D1019" s="24" t="s">
        <v>16</v>
      </c>
      <c r="E1019" s="24" t="s">
        <v>450</v>
      </c>
      <c r="F1019" s="24" t="s">
        <v>422</v>
      </c>
      <c r="G1019" s="71"/>
      <c r="H1019" s="21">
        <v>0</v>
      </c>
      <c r="I1019" s="21">
        <f t="shared" ca="1" si="82"/>
        <v>2026</v>
      </c>
      <c r="J1019" s="21">
        <v>3</v>
      </c>
      <c r="K1019" s="25" t="str">
        <f t="shared" ca="1" si="85"/>
        <v>Activo</v>
      </c>
      <c r="O1019" s="72">
        <v>1</v>
      </c>
      <c r="P1019" s="26" t="s">
        <v>439</v>
      </c>
      <c r="Q1019" s="34">
        <v>180</v>
      </c>
      <c r="S1019" s="29">
        <v>46198</v>
      </c>
      <c r="T1019" s="28">
        <f t="shared" si="84"/>
        <v>46378</v>
      </c>
      <c r="U1019" s="25">
        <f t="shared" ca="1" si="80"/>
        <v>117</v>
      </c>
      <c r="V1019" s="25" t="str">
        <f t="shared" ca="1" si="81"/>
        <v>AL DÍA</v>
      </c>
      <c r="W1019" s="25" t="s">
        <v>24</v>
      </c>
      <c r="X1019" s="25" t="s">
        <v>271</v>
      </c>
      <c r="Y1019" s="25">
        <v>2</v>
      </c>
    </row>
    <row r="1020" spans="1:26" ht="14.25" hidden="1" customHeight="1" x14ac:dyDescent="0.15">
      <c r="A1020" s="24" t="s">
        <v>353</v>
      </c>
      <c r="B1020" s="24" t="s">
        <v>88</v>
      </c>
      <c r="C1020" s="26" t="s">
        <v>412</v>
      </c>
      <c r="D1020" s="24" t="s">
        <v>16</v>
      </c>
      <c r="E1020" s="24" t="s">
        <v>450</v>
      </c>
      <c r="F1020" s="24" t="s">
        <v>422</v>
      </c>
      <c r="G1020" s="71"/>
      <c r="H1020" s="21">
        <v>0</v>
      </c>
      <c r="I1020" s="21">
        <f t="shared" ca="1" si="82"/>
        <v>2026</v>
      </c>
      <c r="J1020" s="21">
        <v>3</v>
      </c>
      <c r="K1020" s="25" t="str">
        <f t="shared" ca="1" si="85"/>
        <v>Activo</v>
      </c>
      <c r="O1020" s="73">
        <v>1</v>
      </c>
      <c r="P1020" s="26" t="s">
        <v>439</v>
      </c>
      <c r="Q1020" s="34">
        <v>180</v>
      </c>
      <c r="S1020" s="29">
        <v>46198</v>
      </c>
      <c r="T1020" s="28">
        <f t="shared" si="84"/>
        <v>46378</v>
      </c>
      <c r="U1020" s="25">
        <f t="shared" ca="1" si="80"/>
        <v>117</v>
      </c>
      <c r="V1020" s="25" t="str">
        <f t="shared" ca="1" si="81"/>
        <v>AL DÍA</v>
      </c>
      <c r="W1020" s="25" t="s">
        <v>24</v>
      </c>
      <c r="X1020" s="25" t="s">
        <v>271</v>
      </c>
      <c r="Y1020" s="25">
        <v>2</v>
      </c>
    </row>
    <row r="1021" spans="1:26" ht="14.25" hidden="1" customHeight="1" x14ac:dyDescent="0.15">
      <c r="A1021" s="24" t="s">
        <v>353</v>
      </c>
      <c r="B1021" s="24" t="s">
        <v>88</v>
      </c>
      <c r="C1021" s="26" t="s">
        <v>413</v>
      </c>
      <c r="D1021" s="24" t="s">
        <v>16</v>
      </c>
      <c r="E1021" s="24" t="s">
        <v>450</v>
      </c>
      <c r="F1021" s="24" t="s">
        <v>422</v>
      </c>
      <c r="G1021" s="71"/>
      <c r="H1021" s="21">
        <v>0</v>
      </c>
      <c r="I1021" s="21">
        <f t="shared" ca="1" si="82"/>
        <v>2026</v>
      </c>
      <c r="J1021" s="21">
        <v>3</v>
      </c>
      <c r="K1021" s="25" t="str">
        <f t="shared" ca="1" si="85"/>
        <v>Activo</v>
      </c>
      <c r="O1021" s="72">
        <v>1</v>
      </c>
      <c r="P1021" s="26" t="s">
        <v>439</v>
      </c>
      <c r="Q1021" s="34">
        <v>180</v>
      </c>
      <c r="S1021" s="29">
        <v>46198</v>
      </c>
      <c r="T1021" s="28">
        <f t="shared" si="84"/>
        <v>46378</v>
      </c>
      <c r="U1021" s="25">
        <f t="shared" ca="1" si="80"/>
        <v>117</v>
      </c>
      <c r="V1021" s="25" t="str">
        <f t="shared" ca="1" si="81"/>
        <v>AL DÍA</v>
      </c>
      <c r="W1021" s="25" t="s">
        <v>24</v>
      </c>
      <c r="X1021" s="25" t="s">
        <v>271</v>
      </c>
      <c r="Y1021" s="25">
        <v>2</v>
      </c>
    </row>
    <row r="1022" spans="1:26" ht="14.25" hidden="1" customHeight="1" x14ac:dyDescent="0.15">
      <c r="A1022" s="24" t="s">
        <v>353</v>
      </c>
      <c r="B1022" s="24" t="s">
        <v>88</v>
      </c>
      <c r="C1022" s="26" t="s">
        <v>410</v>
      </c>
      <c r="D1022" s="24" t="s">
        <v>16</v>
      </c>
      <c r="E1022" s="24" t="s">
        <v>435</v>
      </c>
      <c r="F1022" s="24" t="s">
        <v>423</v>
      </c>
      <c r="G1022" s="71"/>
      <c r="H1022" s="21">
        <v>0</v>
      </c>
      <c r="I1022" s="21">
        <f t="shared" ca="1" si="82"/>
        <v>2026</v>
      </c>
      <c r="J1022" s="21">
        <v>3</v>
      </c>
      <c r="K1022" s="25" t="str">
        <f t="shared" ca="1" si="85"/>
        <v>Activo</v>
      </c>
      <c r="O1022" s="72">
        <v>1</v>
      </c>
      <c r="P1022" s="26" t="s">
        <v>439</v>
      </c>
      <c r="Q1022" s="34">
        <v>180</v>
      </c>
      <c r="S1022" s="29">
        <v>46198</v>
      </c>
      <c r="T1022" s="28">
        <f t="shared" si="84"/>
        <v>46378</v>
      </c>
      <c r="U1022" s="25">
        <f t="shared" ca="1" si="80"/>
        <v>117</v>
      </c>
      <c r="V1022" s="25" t="str">
        <f t="shared" ca="1" si="81"/>
        <v>AL DÍA</v>
      </c>
      <c r="W1022" s="25" t="s">
        <v>24</v>
      </c>
      <c r="X1022" s="25" t="s">
        <v>271</v>
      </c>
      <c r="Y1022" s="25">
        <v>2</v>
      </c>
    </row>
    <row r="1023" spans="1:26" ht="14.25" hidden="1" customHeight="1" x14ac:dyDescent="0.15">
      <c r="A1023" s="24" t="s">
        <v>353</v>
      </c>
      <c r="B1023" s="24" t="s">
        <v>88</v>
      </c>
      <c r="C1023" s="26" t="s">
        <v>411</v>
      </c>
      <c r="D1023" s="24" t="s">
        <v>16</v>
      </c>
      <c r="E1023" s="24" t="s">
        <v>435</v>
      </c>
      <c r="F1023" s="24" t="s">
        <v>423</v>
      </c>
      <c r="G1023" s="71"/>
      <c r="H1023" s="21">
        <v>0</v>
      </c>
      <c r="I1023" s="21">
        <f t="shared" ca="1" si="82"/>
        <v>2026</v>
      </c>
      <c r="J1023" s="21">
        <v>3</v>
      </c>
      <c r="K1023" s="25" t="str">
        <f t="shared" ca="1" si="85"/>
        <v>Activo</v>
      </c>
      <c r="O1023" s="72">
        <v>1</v>
      </c>
      <c r="P1023" s="25" t="s">
        <v>439</v>
      </c>
      <c r="Q1023" s="32">
        <v>180</v>
      </c>
      <c r="S1023" s="29">
        <v>46198</v>
      </c>
      <c r="T1023" s="28">
        <f t="shared" si="84"/>
        <v>46378</v>
      </c>
      <c r="U1023" s="25">
        <f t="shared" ca="1" si="80"/>
        <v>117</v>
      </c>
      <c r="V1023" s="25" t="str">
        <f t="shared" ca="1" si="81"/>
        <v>AL DÍA</v>
      </c>
      <c r="W1023" s="25" t="s">
        <v>24</v>
      </c>
      <c r="X1023" s="25" t="s">
        <v>271</v>
      </c>
      <c r="Y1023" s="25">
        <v>2</v>
      </c>
    </row>
    <row r="1024" spans="1:26" ht="14.25" hidden="1" customHeight="1" x14ac:dyDescent="0.15">
      <c r="A1024" s="24" t="s">
        <v>353</v>
      </c>
      <c r="B1024" s="24" t="s">
        <v>88</v>
      </c>
      <c r="C1024" s="26" t="s">
        <v>412</v>
      </c>
      <c r="D1024" s="24" t="s">
        <v>16</v>
      </c>
      <c r="E1024" s="24" t="s">
        <v>435</v>
      </c>
      <c r="F1024" s="24" t="s">
        <v>423</v>
      </c>
      <c r="G1024" s="71"/>
      <c r="H1024" s="21">
        <v>0</v>
      </c>
      <c r="I1024" s="21">
        <f t="shared" ca="1" si="82"/>
        <v>2026</v>
      </c>
      <c r="J1024" s="21">
        <v>3</v>
      </c>
      <c r="K1024" s="25" t="str">
        <f t="shared" ca="1" si="85"/>
        <v>Activo</v>
      </c>
      <c r="O1024" s="72">
        <v>1</v>
      </c>
      <c r="P1024" s="25" t="s">
        <v>439</v>
      </c>
      <c r="Q1024" s="32">
        <v>180</v>
      </c>
      <c r="S1024" s="29">
        <v>46198</v>
      </c>
      <c r="T1024" s="28">
        <f t="shared" si="84"/>
        <v>46378</v>
      </c>
      <c r="U1024" s="25">
        <f t="shared" ca="1" si="80"/>
        <v>117</v>
      </c>
      <c r="V1024" s="25" t="str">
        <f t="shared" ca="1" si="81"/>
        <v>AL DÍA</v>
      </c>
      <c r="W1024" s="25" t="s">
        <v>24</v>
      </c>
      <c r="X1024" s="25" t="s">
        <v>271</v>
      </c>
      <c r="Y1024" s="25">
        <v>2</v>
      </c>
    </row>
    <row r="1025" spans="1:26" ht="14.25" hidden="1" customHeight="1" x14ac:dyDescent="0.15">
      <c r="A1025" s="24" t="s">
        <v>353</v>
      </c>
      <c r="B1025" s="24" t="s">
        <v>88</v>
      </c>
      <c r="C1025" s="26" t="s">
        <v>413</v>
      </c>
      <c r="D1025" s="24" t="s">
        <v>16</v>
      </c>
      <c r="E1025" s="24" t="s">
        <v>435</v>
      </c>
      <c r="F1025" s="24" t="s">
        <v>423</v>
      </c>
      <c r="G1025" s="71"/>
      <c r="H1025" s="21">
        <v>0</v>
      </c>
      <c r="I1025" s="21">
        <f t="shared" ca="1" si="82"/>
        <v>2026</v>
      </c>
      <c r="J1025" s="21">
        <v>3</v>
      </c>
      <c r="K1025" s="25" t="str">
        <f t="shared" ca="1" si="85"/>
        <v>Activo</v>
      </c>
      <c r="O1025" s="72">
        <v>1</v>
      </c>
      <c r="P1025" s="26" t="s">
        <v>439</v>
      </c>
      <c r="Q1025" s="34">
        <v>180</v>
      </c>
      <c r="S1025" s="29">
        <v>46198</v>
      </c>
      <c r="T1025" s="28">
        <f t="shared" si="84"/>
        <v>46378</v>
      </c>
      <c r="U1025" s="25">
        <f t="shared" ca="1" si="80"/>
        <v>117</v>
      </c>
      <c r="V1025" s="25" t="str">
        <f t="shared" ca="1" si="81"/>
        <v>AL DÍA</v>
      </c>
      <c r="W1025" s="25" t="s">
        <v>24</v>
      </c>
      <c r="X1025" s="25" t="s">
        <v>271</v>
      </c>
      <c r="Y1025" s="25">
        <v>2</v>
      </c>
    </row>
    <row r="1026" spans="1:26" ht="14.25" hidden="1" customHeight="1" x14ac:dyDescent="0.15">
      <c r="A1026" s="24" t="s">
        <v>353</v>
      </c>
      <c r="B1026" s="24" t="s">
        <v>88</v>
      </c>
      <c r="C1026" s="26" t="s">
        <v>88</v>
      </c>
      <c r="D1026" s="24" t="s">
        <v>65</v>
      </c>
      <c r="E1026" s="24" t="s">
        <v>449</v>
      </c>
      <c r="F1026" s="24" t="s">
        <v>97</v>
      </c>
      <c r="G1026" s="21">
        <v>1987</v>
      </c>
      <c r="H1026" s="21">
        <v>0</v>
      </c>
      <c r="I1026" s="21">
        <f t="shared" ca="1" si="82"/>
        <v>39</v>
      </c>
      <c r="J1026" s="21">
        <v>3</v>
      </c>
      <c r="K1026" s="25" t="str">
        <f t="shared" ca="1" si="85"/>
        <v>Activo</v>
      </c>
      <c r="L1026" s="25" t="s">
        <v>49</v>
      </c>
      <c r="M1026" s="25" t="s">
        <v>49</v>
      </c>
      <c r="N1026" s="25" t="s">
        <v>49</v>
      </c>
      <c r="O1026" s="25" t="s">
        <v>98</v>
      </c>
      <c r="P1026" s="25" t="s">
        <v>138</v>
      </c>
      <c r="Q1026" s="32">
        <v>30</v>
      </c>
      <c r="R1026" s="25" t="s">
        <v>69</v>
      </c>
      <c r="S1026" s="30">
        <v>46228</v>
      </c>
      <c r="T1026" s="28">
        <f t="shared" si="84"/>
        <v>46258</v>
      </c>
      <c r="U1026" s="25">
        <f t="shared" ref="U1026:U1054" ca="1" si="86">T1026-TODAY()</f>
        <v>-3</v>
      </c>
      <c r="V1026" s="25" t="str">
        <f t="shared" ref="V1026:V1054" ca="1" si="87">IF(U1026&lt;0, "VENCIDO", "AL DÍA")</f>
        <v>VENCIDO</v>
      </c>
      <c r="W1026" s="25" t="s">
        <v>24</v>
      </c>
      <c r="X1026" s="25" t="s">
        <v>267</v>
      </c>
      <c r="Y1026" s="25">
        <v>1</v>
      </c>
    </row>
    <row r="1027" spans="1:26" ht="13.7" hidden="1" customHeight="1" x14ac:dyDescent="0.15">
      <c r="A1027" s="24" t="s">
        <v>353</v>
      </c>
      <c r="B1027" s="24" t="s">
        <v>88</v>
      </c>
      <c r="C1027" s="26" t="s">
        <v>88</v>
      </c>
      <c r="D1027" s="24" t="s">
        <v>65</v>
      </c>
      <c r="E1027" s="24" t="s">
        <v>449</v>
      </c>
      <c r="F1027" s="24" t="s">
        <v>99</v>
      </c>
      <c r="G1027" s="21">
        <v>1987</v>
      </c>
      <c r="H1027" s="21">
        <v>0</v>
      </c>
      <c r="I1027" s="21">
        <f t="shared" ca="1" si="82"/>
        <v>39</v>
      </c>
      <c r="J1027" s="21">
        <v>3</v>
      </c>
      <c r="K1027" s="25" t="str">
        <f t="shared" ca="1" si="85"/>
        <v>Activo</v>
      </c>
      <c r="L1027" s="25" t="s">
        <v>49</v>
      </c>
      <c r="M1027" s="25" t="s">
        <v>49</v>
      </c>
      <c r="N1027" s="25" t="s">
        <v>49</v>
      </c>
      <c r="O1027" s="25" t="s">
        <v>98</v>
      </c>
      <c r="P1027" s="25" t="s">
        <v>138</v>
      </c>
      <c r="Q1027" s="32">
        <v>30</v>
      </c>
      <c r="R1027" s="25" t="s">
        <v>69</v>
      </c>
      <c r="S1027" s="30">
        <v>46228</v>
      </c>
      <c r="T1027" s="28">
        <f t="shared" si="84"/>
        <v>46258</v>
      </c>
      <c r="U1027" s="25">
        <f t="shared" ca="1" si="86"/>
        <v>-3</v>
      </c>
      <c r="V1027" s="25" t="str">
        <f t="shared" ca="1" si="87"/>
        <v>VENCIDO</v>
      </c>
      <c r="W1027" s="25" t="s">
        <v>24</v>
      </c>
      <c r="X1027" s="25" t="s">
        <v>267</v>
      </c>
      <c r="Y1027" s="25">
        <v>2</v>
      </c>
    </row>
    <row r="1028" spans="1:26" ht="14.25" hidden="1" customHeight="1" x14ac:dyDescent="0.15">
      <c r="A1028" s="24" t="s">
        <v>353</v>
      </c>
      <c r="B1028" s="24" t="s">
        <v>88</v>
      </c>
      <c r="C1028" s="26" t="s">
        <v>88</v>
      </c>
      <c r="D1028" s="24" t="s">
        <v>65</v>
      </c>
      <c r="F1028" s="24" t="s">
        <v>84</v>
      </c>
      <c r="G1028" s="21">
        <v>1987</v>
      </c>
      <c r="H1028" s="21">
        <v>0</v>
      </c>
      <c r="I1028" s="21">
        <f t="shared" ca="1" si="82"/>
        <v>39</v>
      </c>
      <c r="J1028" s="21">
        <v>3</v>
      </c>
      <c r="K1028" s="25" t="str">
        <f t="shared" ca="1" si="85"/>
        <v>Activo</v>
      </c>
      <c r="L1028" s="25" t="s">
        <v>49</v>
      </c>
      <c r="M1028" s="25" t="s">
        <v>49</v>
      </c>
      <c r="N1028" s="25" t="s">
        <v>49</v>
      </c>
      <c r="P1028" s="25" t="s">
        <v>440</v>
      </c>
      <c r="Q1028" s="34">
        <f>365*3</f>
        <v>1095</v>
      </c>
      <c r="R1028" s="25" t="s">
        <v>69</v>
      </c>
      <c r="S1028" s="28">
        <v>45474</v>
      </c>
      <c r="T1028" s="28">
        <f t="shared" si="84"/>
        <v>46569</v>
      </c>
      <c r="U1028" s="25">
        <f t="shared" ca="1" si="86"/>
        <v>308</v>
      </c>
      <c r="V1028" s="25" t="str">
        <f t="shared" ca="1" si="87"/>
        <v>AL DÍA</v>
      </c>
      <c r="W1028" s="25" t="s">
        <v>24</v>
      </c>
      <c r="X1028" s="25" t="s">
        <v>262</v>
      </c>
      <c r="Y1028" s="25">
        <v>3</v>
      </c>
    </row>
    <row r="1029" spans="1:26" ht="14.25" hidden="1" customHeight="1" x14ac:dyDescent="0.15">
      <c r="A1029" s="24" t="s">
        <v>353</v>
      </c>
      <c r="B1029" s="24" t="s">
        <v>88</v>
      </c>
      <c r="C1029" s="26" t="s">
        <v>88</v>
      </c>
      <c r="D1029" s="24" t="s">
        <v>65</v>
      </c>
      <c r="F1029" s="24" t="s">
        <v>86</v>
      </c>
      <c r="G1029" s="21">
        <v>1987</v>
      </c>
      <c r="H1029" s="21">
        <v>0</v>
      </c>
      <c r="I1029" s="21">
        <f t="shared" ca="1" si="82"/>
        <v>39</v>
      </c>
      <c r="J1029" s="21">
        <v>3</v>
      </c>
      <c r="K1029" s="25" t="str">
        <f t="shared" ca="1" si="85"/>
        <v>Activo</v>
      </c>
      <c r="L1029" s="25" t="s">
        <v>49</v>
      </c>
      <c r="M1029" s="25" t="s">
        <v>49</v>
      </c>
      <c r="N1029" s="25" t="s">
        <v>49</v>
      </c>
      <c r="P1029" s="25" t="s">
        <v>87</v>
      </c>
      <c r="Q1029" s="32">
        <f>5*365</f>
        <v>1825</v>
      </c>
      <c r="R1029" s="25" t="s">
        <v>69</v>
      </c>
      <c r="S1029" s="28">
        <v>44958</v>
      </c>
      <c r="T1029" s="28">
        <f t="shared" si="84"/>
        <v>46783</v>
      </c>
      <c r="U1029" s="25">
        <f t="shared" ca="1" si="86"/>
        <v>522</v>
      </c>
      <c r="V1029" s="25" t="str">
        <f t="shared" ca="1" si="87"/>
        <v>AL DÍA</v>
      </c>
      <c r="W1029" s="25" t="s">
        <v>24</v>
      </c>
      <c r="X1029" s="25" t="s">
        <v>262</v>
      </c>
      <c r="Y1029" s="25">
        <v>1</v>
      </c>
    </row>
    <row r="1030" spans="1:26" ht="14.25" hidden="1" customHeight="1" x14ac:dyDescent="0.15">
      <c r="A1030" s="24" t="s">
        <v>353</v>
      </c>
      <c r="B1030" s="24" t="s">
        <v>88</v>
      </c>
      <c r="C1030" s="26" t="s">
        <v>100</v>
      </c>
      <c r="D1030" s="24" t="s">
        <v>65</v>
      </c>
      <c r="F1030" s="24" t="s">
        <v>466</v>
      </c>
      <c r="G1030" s="21">
        <v>1987</v>
      </c>
      <c r="H1030" s="21">
        <v>25</v>
      </c>
      <c r="I1030" s="21">
        <f t="shared" ca="1" si="82"/>
        <v>39</v>
      </c>
      <c r="J1030" s="21">
        <v>3</v>
      </c>
      <c r="K1030" s="25" t="str">
        <f t="shared" ca="1" si="85"/>
        <v>Cambiar o Inspección externa</v>
      </c>
      <c r="L1030" s="25" t="s">
        <v>49</v>
      </c>
      <c r="M1030" s="25" t="s">
        <v>49</v>
      </c>
      <c r="N1030" s="25" t="s">
        <v>49</v>
      </c>
      <c r="O1030" s="26" t="s">
        <v>96</v>
      </c>
      <c r="P1030" s="26" t="s">
        <v>81</v>
      </c>
      <c r="Q1030" s="34">
        <f>365*3.5</f>
        <v>1277.5</v>
      </c>
      <c r="R1030" s="25" t="s">
        <v>69</v>
      </c>
      <c r="S1030" s="28">
        <v>46054</v>
      </c>
      <c r="T1030" s="28">
        <f t="shared" si="84"/>
        <v>47331.5</v>
      </c>
      <c r="U1030" s="25">
        <f t="shared" ca="1" si="86"/>
        <v>1070.5</v>
      </c>
      <c r="V1030" s="25" t="str">
        <f t="shared" ca="1" si="87"/>
        <v>AL DÍA</v>
      </c>
      <c r="W1030" s="25" t="s">
        <v>24</v>
      </c>
      <c r="X1030" s="25" t="s">
        <v>277</v>
      </c>
      <c r="Y1030" s="25">
        <v>1</v>
      </c>
      <c r="Z1030" s="1" t="s">
        <v>286</v>
      </c>
    </row>
    <row r="1031" spans="1:26" ht="14.25" hidden="1" customHeight="1" x14ac:dyDescent="0.15">
      <c r="A1031" s="24" t="s">
        <v>353</v>
      </c>
      <c r="B1031" s="24" t="s">
        <v>88</v>
      </c>
      <c r="C1031" s="26" t="s">
        <v>410</v>
      </c>
      <c r="D1031" s="24" t="s">
        <v>65</v>
      </c>
      <c r="F1031" s="24" t="s">
        <v>215</v>
      </c>
      <c r="G1031" s="21">
        <v>1987</v>
      </c>
      <c r="H1031" s="21">
        <v>0</v>
      </c>
      <c r="I1031" s="21">
        <f t="shared" ca="1" si="82"/>
        <v>39</v>
      </c>
      <c r="J1031" s="21">
        <v>3</v>
      </c>
      <c r="K1031" s="25" t="str">
        <f t="shared" ca="1" si="85"/>
        <v>Activo</v>
      </c>
      <c r="L1031" s="25" t="s">
        <v>49</v>
      </c>
      <c r="M1031" s="25" t="s">
        <v>49</v>
      </c>
      <c r="N1031" s="25" t="s">
        <v>49</v>
      </c>
      <c r="P1031" s="25" t="s">
        <v>22</v>
      </c>
      <c r="Q1031" s="34">
        <v>365</v>
      </c>
      <c r="R1031" s="25" t="s">
        <v>64</v>
      </c>
      <c r="S1031" s="28">
        <v>46037</v>
      </c>
      <c r="T1031" s="28">
        <f t="shared" si="84"/>
        <v>46402</v>
      </c>
      <c r="U1031" s="25">
        <f t="shared" ca="1" si="86"/>
        <v>141</v>
      </c>
      <c r="V1031" s="25" t="str">
        <f t="shared" ca="1" si="87"/>
        <v>AL DÍA</v>
      </c>
      <c r="W1031" s="25" t="s">
        <v>24</v>
      </c>
      <c r="X1031" s="25" t="s">
        <v>277</v>
      </c>
      <c r="Y1031" s="25">
        <v>2</v>
      </c>
      <c r="Z1031" s="1" t="s">
        <v>284</v>
      </c>
    </row>
    <row r="1032" spans="1:26" ht="14.25" hidden="1" customHeight="1" x14ac:dyDescent="0.15">
      <c r="A1032" s="24" t="s">
        <v>353</v>
      </c>
      <c r="B1032" s="24" t="s">
        <v>88</v>
      </c>
      <c r="C1032" s="26" t="s">
        <v>410</v>
      </c>
      <c r="D1032" s="24" t="s">
        <v>65</v>
      </c>
      <c r="E1032" s="24" t="s">
        <v>451</v>
      </c>
      <c r="F1032" s="24" t="s">
        <v>93</v>
      </c>
      <c r="G1032" s="21">
        <v>2014</v>
      </c>
      <c r="H1032" s="21">
        <v>20</v>
      </c>
      <c r="I1032" s="21">
        <f t="shared" ca="1" si="82"/>
        <v>12</v>
      </c>
      <c r="J1032" s="21">
        <v>3</v>
      </c>
      <c r="K1032" s="25" t="str">
        <f t="shared" ca="1" si="85"/>
        <v>Activo</v>
      </c>
      <c r="L1032" s="25" t="s">
        <v>142</v>
      </c>
      <c r="P1032" s="25" t="s">
        <v>22</v>
      </c>
      <c r="Q1032" s="34">
        <v>365</v>
      </c>
      <c r="R1032" s="25" t="s">
        <v>69</v>
      </c>
      <c r="S1032" s="28">
        <v>46158</v>
      </c>
      <c r="T1032" s="28">
        <f t="shared" si="84"/>
        <v>46523</v>
      </c>
      <c r="U1032" s="25">
        <f t="shared" ca="1" si="86"/>
        <v>262</v>
      </c>
      <c r="V1032" s="25" t="str">
        <f t="shared" ca="1" si="87"/>
        <v>AL DÍA</v>
      </c>
      <c r="W1032" s="25" t="s">
        <v>24</v>
      </c>
      <c r="X1032" s="25" t="s">
        <v>262</v>
      </c>
      <c r="Y1032" s="25">
        <v>1</v>
      </c>
      <c r="Z1032" s="1" t="s">
        <v>265</v>
      </c>
    </row>
    <row r="1033" spans="1:26" ht="14.25" hidden="1" customHeight="1" x14ac:dyDescent="0.15">
      <c r="A1033" s="24" t="s">
        <v>353</v>
      </c>
      <c r="B1033" s="24" t="s">
        <v>88</v>
      </c>
      <c r="C1033" s="26" t="s">
        <v>410</v>
      </c>
      <c r="D1033" s="24" t="s">
        <v>65</v>
      </c>
      <c r="F1033" s="24" t="s">
        <v>217</v>
      </c>
      <c r="G1033" s="21">
        <v>1987</v>
      </c>
      <c r="H1033" s="21">
        <v>0</v>
      </c>
      <c r="I1033" s="21">
        <f t="shared" ca="1" si="82"/>
        <v>39</v>
      </c>
      <c r="J1033" s="21">
        <v>3</v>
      </c>
      <c r="K1033" s="25" t="str">
        <f t="shared" ref="K1033:K1054" ca="1" si="88">IF(J1033=1,"Cambiar",IF(J1033=2,"Presupuestar",IF(H1033=0,"Activo",IF(G1033+H1033&lt;YEAR(TODAY()),"Cambiar o Inspección externa",IF(G1033+H1033-1&lt;YEAR(TODAY()),"Presupuestar","Activo")))))</f>
        <v>Activo</v>
      </c>
      <c r="L1033" s="25" t="s">
        <v>49</v>
      </c>
      <c r="O1033" s="72"/>
      <c r="Q1033" s="34">
        <v>365</v>
      </c>
      <c r="R1033" s="25" t="s">
        <v>64</v>
      </c>
      <c r="S1033" s="28">
        <v>46037</v>
      </c>
      <c r="T1033" s="28">
        <f t="shared" si="84"/>
        <v>46402</v>
      </c>
      <c r="U1033" s="25">
        <f t="shared" ca="1" si="86"/>
        <v>141</v>
      </c>
      <c r="V1033" s="25" t="str">
        <f t="shared" ca="1" si="87"/>
        <v>AL DÍA</v>
      </c>
      <c r="W1033" s="25" t="s">
        <v>24</v>
      </c>
      <c r="X1033" s="25" t="s">
        <v>262</v>
      </c>
      <c r="Y1033" s="25">
        <v>2</v>
      </c>
    </row>
    <row r="1034" spans="1:26" ht="14.25" hidden="1" customHeight="1" x14ac:dyDescent="0.15">
      <c r="A1034" s="24" t="s">
        <v>353</v>
      </c>
      <c r="B1034" s="24" t="s">
        <v>88</v>
      </c>
      <c r="C1034" s="26" t="s">
        <v>410</v>
      </c>
      <c r="D1034" s="24" t="s">
        <v>65</v>
      </c>
      <c r="F1034" s="24" t="s">
        <v>218</v>
      </c>
      <c r="G1034" s="21">
        <v>1987</v>
      </c>
      <c r="H1034" s="21">
        <v>0</v>
      </c>
      <c r="I1034" s="21">
        <f t="shared" ca="1" si="82"/>
        <v>39</v>
      </c>
      <c r="J1034" s="21">
        <v>3</v>
      </c>
      <c r="K1034" s="25" t="str">
        <f t="shared" ca="1" si="88"/>
        <v>Activo</v>
      </c>
      <c r="L1034" s="25" t="s">
        <v>49</v>
      </c>
      <c r="O1034" s="25" t="s">
        <v>227</v>
      </c>
      <c r="Q1034" s="34">
        <v>365</v>
      </c>
      <c r="R1034" s="25" t="s">
        <v>64</v>
      </c>
      <c r="S1034" s="28">
        <v>46037</v>
      </c>
      <c r="T1034" s="28">
        <f t="shared" si="84"/>
        <v>46402</v>
      </c>
      <c r="U1034" s="25">
        <f t="shared" ca="1" si="86"/>
        <v>141</v>
      </c>
      <c r="V1034" s="25" t="str">
        <f t="shared" ca="1" si="87"/>
        <v>AL DÍA</v>
      </c>
      <c r="W1034" s="25" t="s">
        <v>24</v>
      </c>
      <c r="X1034" s="25" t="s">
        <v>262</v>
      </c>
      <c r="Y1034" s="25">
        <v>2</v>
      </c>
    </row>
    <row r="1035" spans="1:26" ht="14.25" hidden="1" customHeight="1" x14ac:dyDescent="0.15">
      <c r="A1035" s="24" t="s">
        <v>353</v>
      </c>
      <c r="B1035" s="24" t="s">
        <v>88</v>
      </c>
      <c r="C1035" s="26" t="s">
        <v>410</v>
      </c>
      <c r="D1035" s="24" t="s">
        <v>16</v>
      </c>
      <c r="F1035" s="24" t="s">
        <v>224</v>
      </c>
      <c r="G1035" s="21">
        <v>1987</v>
      </c>
      <c r="H1035" s="21">
        <v>0</v>
      </c>
      <c r="I1035" s="21">
        <f t="shared" ca="1" si="82"/>
        <v>39</v>
      </c>
      <c r="J1035" s="21">
        <v>3</v>
      </c>
      <c r="K1035" s="25" t="str">
        <f t="shared" ca="1" si="88"/>
        <v>Activo</v>
      </c>
      <c r="Q1035" s="32">
        <v>365</v>
      </c>
      <c r="R1035" s="25" t="s">
        <v>64</v>
      </c>
      <c r="S1035" s="28">
        <v>46037</v>
      </c>
      <c r="T1035" s="28">
        <f t="shared" si="84"/>
        <v>46402</v>
      </c>
      <c r="U1035" s="25">
        <f t="shared" ca="1" si="86"/>
        <v>141</v>
      </c>
      <c r="V1035" s="25" t="str">
        <f t="shared" ca="1" si="87"/>
        <v>AL DÍA</v>
      </c>
      <c r="W1035" s="25" t="s">
        <v>24</v>
      </c>
      <c r="X1035" s="25" t="s">
        <v>271</v>
      </c>
      <c r="Y1035" s="25">
        <v>2</v>
      </c>
    </row>
    <row r="1036" spans="1:26" ht="14.25" hidden="1" customHeight="1" x14ac:dyDescent="0.15">
      <c r="A1036" s="24" t="s">
        <v>353</v>
      </c>
      <c r="B1036" s="24" t="s">
        <v>88</v>
      </c>
      <c r="C1036" s="26" t="s">
        <v>410</v>
      </c>
      <c r="D1036" s="24" t="s">
        <v>65</v>
      </c>
      <c r="F1036" s="24" t="s">
        <v>220</v>
      </c>
      <c r="G1036" s="21">
        <v>1987</v>
      </c>
      <c r="H1036" s="21">
        <v>0</v>
      </c>
      <c r="I1036" s="21">
        <f t="shared" ca="1" si="82"/>
        <v>39</v>
      </c>
      <c r="J1036" s="21">
        <v>3</v>
      </c>
      <c r="K1036" s="25" t="str">
        <f t="shared" ca="1" si="88"/>
        <v>Activo</v>
      </c>
      <c r="L1036" s="25" t="s">
        <v>49</v>
      </c>
      <c r="O1036" s="25" t="s">
        <v>414</v>
      </c>
      <c r="Q1036" s="34">
        <v>365</v>
      </c>
      <c r="R1036" s="25" t="s">
        <v>64</v>
      </c>
      <c r="S1036" s="28">
        <v>46037</v>
      </c>
      <c r="T1036" s="28">
        <f t="shared" si="84"/>
        <v>46402</v>
      </c>
      <c r="U1036" s="25">
        <f t="shared" ca="1" si="86"/>
        <v>141</v>
      </c>
      <c r="V1036" s="25" t="str">
        <f t="shared" ca="1" si="87"/>
        <v>AL DÍA</v>
      </c>
      <c r="W1036" s="25" t="s">
        <v>24</v>
      </c>
      <c r="X1036" s="25" t="s">
        <v>262</v>
      </c>
      <c r="Y1036" s="25">
        <v>2</v>
      </c>
    </row>
    <row r="1037" spans="1:26" ht="14.25" hidden="1" customHeight="1" x14ac:dyDescent="0.15">
      <c r="A1037" s="24" t="s">
        <v>353</v>
      </c>
      <c r="B1037" s="24" t="s">
        <v>88</v>
      </c>
      <c r="C1037" s="25" t="s">
        <v>411</v>
      </c>
      <c r="D1037" s="24" t="s">
        <v>65</v>
      </c>
      <c r="F1037" s="24" t="s">
        <v>215</v>
      </c>
      <c r="G1037" s="21">
        <v>1987</v>
      </c>
      <c r="H1037" s="21">
        <v>0</v>
      </c>
      <c r="I1037" s="21">
        <f t="shared" ca="1" si="82"/>
        <v>39</v>
      </c>
      <c r="J1037" s="21">
        <v>3</v>
      </c>
      <c r="K1037" s="25" t="str">
        <f t="shared" ca="1" si="88"/>
        <v>Activo</v>
      </c>
      <c r="L1037" s="25" t="s">
        <v>49</v>
      </c>
      <c r="M1037" s="25" t="s">
        <v>49</v>
      </c>
      <c r="N1037" s="25" t="s">
        <v>49</v>
      </c>
      <c r="P1037" s="26" t="s">
        <v>22</v>
      </c>
      <c r="Q1037" s="34">
        <v>365</v>
      </c>
      <c r="R1037" s="25" t="s">
        <v>64</v>
      </c>
      <c r="S1037" s="28">
        <v>46037</v>
      </c>
      <c r="T1037" s="28">
        <f t="shared" si="84"/>
        <v>46402</v>
      </c>
      <c r="U1037" s="25">
        <f t="shared" ca="1" si="86"/>
        <v>141</v>
      </c>
      <c r="V1037" s="25" t="str">
        <f t="shared" ca="1" si="87"/>
        <v>AL DÍA</v>
      </c>
      <c r="W1037" s="25" t="s">
        <v>24</v>
      </c>
      <c r="X1037" s="25" t="s">
        <v>277</v>
      </c>
      <c r="Y1037" s="25">
        <v>2</v>
      </c>
      <c r="Z1037" s="1" t="s">
        <v>284</v>
      </c>
    </row>
    <row r="1038" spans="1:26" ht="14.25" hidden="1" customHeight="1" x14ac:dyDescent="0.15">
      <c r="A1038" s="24" t="s">
        <v>353</v>
      </c>
      <c r="B1038" s="24" t="s">
        <v>88</v>
      </c>
      <c r="C1038" s="26" t="s">
        <v>411</v>
      </c>
      <c r="D1038" s="24" t="s">
        <v>65</v>
      </c>
      <c r="E1038" s="24" t="s">
        <v>451</v>
      </c>
      <c r="F1038" s="24" t="s">
        <v>93</v>
      </c>
      <c r="G1038" s="21">
        <v>2014</v>
      </c>
      <c r="H1038" s="21">
        <v>20</v>
      </c>
      <c r="I1038" s="21">
        <f t="shared" ca="1" si="82"/>
        <v>12</v>
      </c>
      <c r="J1038" s="21">
        <v>3</v>
      </c>
      <c r="K1038" s="25" t="str">
        <f t="shared" ca="1" si="88"/>
        <v>Activo</v>
      </c>
      <c r="L1038" s="25" t="s">
        <v>142</v>
      </c>
      <c r="P1038" s="25" t="s">
        <v>22</v>
      </c>
      <c r="Q1038" s="34">
        <v>365</v>
      </c>
      <c r="R1038" s="25" t="s">
        <v>69</v>
      </c>
      <c r="S1038" s="28">
        <v>46158</v>
      </c>
      <c r="T1038" s="28">
        <f t="shared" si="84"/>
        <v>46523</v>
      </c>
      <c r="U1038" s="25">
        <f t="shared" ca="1" si="86"/>
        <v>262</v>
      </c>
      <c r="V1038" s="25" t="str">
        <f t="shared" ca="1" si="87"/>
        <v>AL DÍA</v>
      </c>
      <c r="W1038" s="25" t="s">
        <v>24</v>
      </c>
      <c r="X1038" s="25" t="s">
        <v>262</v>
      </c>
      <c r="Y1038" s="25">
        <v>1</v>
      </c>
      <c r="Z1038" s="1" t="s">
        <v>265</v>
      </c>
    </row>
    <row r="1039" spans="1:26" ht="14.25" hidden="1" customHeight="1" x14ac:dyDescent="0.15">
      <c r="A1039" s="24" t="s">
        <v>353</v>
      </c>
      <c r="B1039" s="24" t="s">
        <v>88</v>
      </c>
      <c r="C1039" s="26" t="s">
        <v>411</v>
      </c>
      <c r="D1039" s="24" t="s">
        <v>65</v>
      </c>
      <c r="F1039" s="24" t="s">
        <v>217</v>
      </c>
      <c r="G1039" s="21">
        <v>1987</v>
      </c>
      <c r="H1039" s="21">
        <v>0</v>
      </c>
      <c r="I1039" s="21">
        <f t="shared" ca="1" si="82"/>
        <v>39</v>
      </c>
      <c r="J1039" s="21">
        <v>3</v>
      </c>
      <c r="K1039" s="25" t="str">
        <f t="shared" ca="1" si="88"/>
        <v>Activo</v>
      </c>
      <c r="L1039" s="25" t="s">
        <v>49</v>
      </c>
      <c r="O1039" s="72"/>
      <c r="Q1039" s="34">
        <v>365</v>
      </c>
      <c r="R1039" s="25" t="s">
        <v>64</v>
      </c>
      <c r="S1039" s="28">
        <v>46037</v>
      </c>
      <c r="T1039" s="28">
        <f t="shared" si="84"/>
        <v>46402</v>
      </c>
      <c r="U1039" s="25">
        <f t="shared" ca="1" si="86"/>
        <v>141</v>
      </c>
      <c r="V1039" s="25" t="str">
        <f t="shared" ca="1" si="87"/>
        <v>AL DÍA</v>
      </c>
      <c r="W1039" s="25" t="s">
        <v>24</v>
      </c>
      <c r="X1039" s="25" t="s">
        <v>262</v>
      </c>
      <c r="Y1039" s="25">
        <v>2</v>
      </c>
    </row>
    <row r="1040" spans="1:26" ht="14.25" hidden="1" customHeight="1" x14ac:dyDescent="0.15">
      <c r="A1040" s="24" t="s">
        <v>353</v>
      </c>
      <c r="B1040" s="24" t="s">
        <v>88</v>
      </c>
      <c r="C1040" s="26" t="s">
        <v>411</v>
      </c>
      <c r="D1040" s="24" t="s">
        <v>65</v>
      </c>
      <c r="F1040" s="24" t="s">
        <v>218</v>
      </c>
      <c r="G1040" s="21">
        <v>1987</v>
      </c>
      <c r="H1040" s="21">
        <v>0</v>
      </c>
      <c r="I1040" s="21">
        <f t="shared" ca="1" si="82"/>
        <v>39</v>
      </c>
      <c r="J1040" s="21">
        <v>3</v>
      </c>
      <c r="K1040" s="25" t="str">
        <f t="shared" ca="1" si="88"/>
        <v>Activo</v>
      </c>
      <c r="L1040" s="25" t="s">
        <v>49</v>
      </c>
      <c r="O1040" s="25" t="s">
        <v>227</v>
      </c>
      <c r="Q1040" s="34">
        <v>365</v>
      </c>
      <c r="R1040" s="25" t="s">
        <v>64</v>
      </c>
      <c r="S1040" s="28">
        <v>46037</v>
      </c>
      <c r="T1040" s="28">
        <f t="shared" si="84"/>
        <v>46402</v>
      </c>
      <c r="U1040" s="25">
        <f t="shared" ca="1" si="86"/>
        <v>141</v>
      </c>
      <c r="V1040" s="25" t="str">
        <f t="shared" ca="1" si="87"/>
        <v>AL DÍA</v>
      </c>
      <c r="W1040" s="25" t="s">
        <v>24</v>
      </c>
      <c r="X1040" s="25" t="s">
        <v>262</v>
      </c>
      <c r="Y1040" s="25">
        <v>2</v>
      </c>
    </row>
    <row r="1041" spans="1:26" ht="14.25" hidden="1" customHeight="1" x14ac:dyDescent="0.15">
      <c r="A1041" s="24" t="s">
        <v>353</v>
      </c>
      <c r="B1041" s="24" t="s">
        <v>88</v>
      </c>
      <c r="C1041" s="26" t="s">
        <v>411</v>
      </c>
      <c r="D1041" s="24" t="s">
        <v>16</v>
      </c>
      <c r="F1041" s="24" t="s">
        <v>224</v>
      </c>
      <c r="G1041" s="21">
        <v>1987</v>
      </c>
      <c r="H1041" s="21">
        <v>0</v>
      </c>
      <c r="I1041" s="21">
        <f t="shared" ca="1" si="82"/>
        <v>39</v>
      </c>
      <c r="J1041" s="21">
        <v>3</v>
      </c>
      <c r="K1041" s="25" t="str">
        <f t="shared" ca="1" si="88"/>
        <v>Activo</v>
      </c>
      <c r="P1041" s="26"/>
      <c r="Q1041" s="34">
        <v>365</v>
      </c>
      <c r="R1041" s="25" t="s">
        <v>64</v>
      </c>
      <c r="S1041" s="28">
        <v>46037</v>
      </c>
      <c r="T1041" s="28">
        <f t="shared" si="84"/>
        <v>46402</v>
      </c>
      <c r="U1041" s="25">
        <f t="shared" ca="1" si="86"/>
        <v>141</v>
      </c>
      <c r="V1041" s="25" t="str">
        <f t="shared" ca="1" si="87"/>
        <v>AL DÍA</v>
      </c>
      <c r="W1041" s="25" t="s">
        <v>24</v>
      </c>
      <c r="X1041" s="25" t="s">
        <v>271</v>
      </c>
      <c r="Y1041" s="25">
        <v>2</v>
      </c>
    </row>
    <row r="1042" spans="1:26" ht="14.25" hidden="1" customHeight="1" x14ac:dyDescent="0.15">
      <c r="A1042" s="24" t="s">
        <v>353</v>
      </c>
      <c r="B1042" s="24" t="s">
        <v>88</v>
      </c>
      <c r="C1042" s="26" t="s">
        <v>411</v>
      </c>
      <c r="D1042" s="24" t="s">
        <v>65</v>
      </c>
      <c r="F1042" s="24" t="s">
        <v>220</v>
      </c>
      <c r="G1042" s="21">
        <v>1987</v>
      </c>
      <c r="H1042" s="21">
        <v>0</v>
      </c>
      <c r="I1042" s="21">
        <f t="shared" ca="1" si="82"/>
        <v>39</v>
      </c>
      <c r="J1042" s="21">
        <v>3</v>
      </c>
      <c r="K1042" s="25" t="str">
        <f t="shared" ca="1" si="88"/>
        <v>Activo</v>
      </c>
      <c r="L1042" s="25" t="s">
        <v>49</v>
      </c>
      <c r="O1042" s="25" t="s">
        <v>414</v>
      </c>
      <c r="Q1042" s="34">
        <v>365</v>
      </c>
      <c r="R1042" s="25" t="s">
        <v>64</v>
      </c>
      <c r="S1042" s="28">
        <v>46037</v>
      </c>
      <c r="T1042" s="28">
        <f t="shared" si="84"/>
        <v>46402</v>
      </c>
      <c r="U1042" s="25">
        <f t="shared" ca="1" si="86"/>
        <v>141</v>
      </c>
      <c r="V1042" s="25" t="str">
        <f t="shared" ca="1" si="87"/>
        <v>AL DÍA</v>
      </c>
      <c r="W1042" s="25" t="s">
        <v>24</v>
      </c>
      <c r="X1042" s="25" t="s">
        <v>262</v>
      </c>
      <c r="Y1042" s="25">
        <v>2</v>
      </c>
    </row>
    <row r="1043" spans="1:26" ht="14.25" hidden="1" customHeight="1" x14ac:dyDescent="0.15">
      <c r="A1043" s="24" t="s">
        <v>353</v>
      </c>
      <c r="B1043" s="24" t="s">
        <v>88</v>
      </c>
      <c r="C1043" s="26" t="s">
        <v>412</v>
      </c>
      <c r="D1043" s="24" t="s">
        <v>65</v>
      </c>
      <c r="F1043" s="24" t="s">
        <v>215</v>
      </c>
      <c r="G1043" s="21">
        <v>1987</v>
      </c>
      <c r="H1043" s="21">
        <v>0</v>
      </c>
      <c r="I1043" s="21">
        <f t="shared" ca="1" si="82"/>
        <v>39</v>
      </c>
      <c r="J1043" s="21">
        <v>3</v>
      </c>
      <c r="K1043" s="25" t="str">
        <f t="shared" ca="1" si="88"/>
        <v>Activo</v>
      </c>
      <c r="L1043" s="25" t="s">
        <v>49</v>
      </c>
      <c r="M1043" s="25" t="s">
        <v>49</v>
      </c>
      <c r="N1043" s="25" t="s">
        <v>49</v>
      </c>
      <c r="O1043" s="26"/>
      <c r="P1043" s="26" t="s">
        <v>22</v>
      </c>
      <c r="Q1043" s="34">
        <v>365</v>
      </c>
      <c r="R1043" s="25" t="s">
        <v>64</v>
      </c>
      <c r="S1043" s="28">
        <v>46037</v>
      </c>
      <c r="T1043" s="28">
        <f t="shared" si="84"/>
        <v>46402</v>
      </c>
      <c r="U1043" s="25">
        <f t="shared" ca="1" si="86"/>
        <v>141</v>
      </c>
      <c r="V1043" s="25" t="str">
        <f t="shared" ca="1" si="87"/>
        <v>AL DÍA</v>
      </c>
      <c r="W1043" s="25" t="s">
        <v>24</v>
      </c>
      <c r="X1043" s="25" t="s">
        <v>277</v>
      </c>
      <c r="Y1043" s="25">
        <v>2</v>
      </c>
      <c r="Z1043" s="1" t="s">
        <v>284</v>
      </c>
    </row>
    <row r="1044" spans="1:26" ht="14.25" hidden="1" customHeight="1" x14ac:dyDescent="0.15">
      <c r="A1044" s="24" t="s">
        <v>353</v>
      </c>
      <c r="B1044" s="24" t="s">
        <v>88</v>
      </c>
      <c r="C1044" s="26" t="s">
        <v>412</v>
      </c>
      <c r="D1044" s="24" t="s">
        <v>65</v>
      </c>
      <c r="E1044" s="24" t="s">
        <v>451</v>
      </c>
      <c r="F1044" s="24" t="s">
        <v>93</v>
      </c>
      <c r="G1044" s="21">
        <v>2014</v>
      </c>
      <c r="H1044" s="21">
        <v>20</v>
      </c>
      <c r="I1044" s="21">
        <f t="shared" ca="1" si="82"/>
        <v>12</v>
      </c>
      <c r="J1044" s="21">
        <v>3</v>
      </c>
      <c r="K1044" s="25" t="str">
        <f t="shared" ca="1" si="88"/>
        <v>Activo</v>
      </c>
      <c r="L1044" s="25" t="s">
        <v>142</v>
      </c>
      <c r="P1044" s="25" t="s">
        <v>22</v>
      </c>
      <c r="Q1044" s="34">
        <v>365</v>
      </c>
      <c r="R1044" s="25" t="s">
        <v>69</v>
      </c>
      <c r="S1044" s="28">
        <v>46158</v>
      </c>
      <c r="T1044" s="28">
        <f t="shared" si="84"/>
        <v>46523</v>
      </c>
      <c r="U1044" s="25">
        <f t="shared" ca="1" si="86"/>
        <v>262</v>
      </c>
      <c r="V1044" s="25" t="str">
        <f t="shared" ca="1" si="87"/>
        <v>AL DÍA</v>
      </c>
      <c r="W1044" s="25" t="s">
        <v>24</v>
      </c>
      <c r="X1044" s="25" t="s">
        <v>262</v>
      </c>
      <c r="Y1044" s="25">
        <v>1</v>
      </c>
      <c r="Z1044" s="1" t="s">
        <v>265</v>
      </c>
    </row>
    <row r="1045" spans="1:26" ht="14.25" hidden="1" customHeight="1" x14ac:dyDescent="0.15">
      <c r="A1045" s="24" t="s">
        <v>353</v>
      </c>
      <c r="B1045" s="24" t="s">
        <v>88</v>
      </c>
      <c r="C1045" s="26" t="s">
        <v>412</v>
      </c>
      <c r="D1045" s="24" t="s">
        <v>65</v>
      </c>
      <c r="F1045" s="24" t="s">
        <v>217</v>
      </c>
      <c r="G1045" s="21">
        <v>1987</v>
      </c>
      <c r="H1045" s="21">
        <v>0</v>
      </c>
      <c r="I1045" s="21">
        <f t="shared" ca="1" si="82"/>
        <v>39</v>
      </c>
      <c r="J1045" s="21">
        <v>3</v>
      </c>
      <c r="K1045" s="25" t="str">
        <f t="shared" ca="1" si="88"/>
        <v>Activo</v>
      </c>
      <c r="L1045" s="25" t="s">
        <v>49</v>
      </c>
      <c r="O1045" s="72"/>
      <c r="Q1045" s="34">
        <v>365</v>
      </c>
      <c r="R1045" s="25" t="s">
        <v>64</v>
      </c>
      <c r="S1045" s="28">
        <v>46037</v>
      </c>
      <c r="T1045" s="28">
        <f t="shared" si="84"/>
        <v>46402</v>
      </c>
      <c r="U1045" s="25">
        <f t="shared" ca="1" si="86"/>
        <v>141</v>
      </c>
      <c r="V1045" s="25" t="str">
        <f t="shared" ca="1" si="87"/>
        <v>AL DÍA</v>
      </c>
      <c r="W1045" s="25" t="s">
        <v>24</v>
      </c>
      <c r="X1045" s="25" t="s">
        <v>262</v>
      </c>
      <c r="Y1045" s="25">
        <v>2</v>
      </c>
    </row>
    <row r="1046" spans="1:26" ht="14.25" hidden="1" customHeight="1" x14ac:dyDescent="0.15">
      <c r="A1046" s="24" t="s">
        <v>353</v>
      </c>
      <c r="B1046" s="24" t="s">
        <v>88</v>
      </c>
      <c r="C1046" s="26" t="s">
        <v>412</v>
      </c>
      <c r="D1046" s="24" t="s">
        <v>65</v>
      </c>
      <c r="F1046" s="24" t="s">
        <v>218</v>
      </c>
      <c r="G1046" s="21">
        <v>1987</v>
      </c>
      <c r="H1046" s="21">
        <v>0</v>
      </c>
      <c r="I1046" s="21">
        <f t="shared" ca="1" si="82"/>
        <v>39</v>
      </c>
      <c r="J1046" s="21">
        <v>3</v>
      </c>
      <c r="K1046" s="25" t="str">
        <f t="shared" ca="1" si="88"/>
        <v>Activo</v>
      </c>
      <c r="L1046" s="25" t="s">
        <v>49</v>
      </c>
      <c r="O1046" s="25" t="s">
        <v>227</v>
      </c>
      <c r="Q1046" s="34">
        <v>365</v>
      </c>
      <c r="R1046" s="25" t="s">
        <v>64</v>
      </c>
      <c r="S1046" s="28">
        <v>46037</v>
      </c>
      <c r="T1046" s="28">
        <f t="shared" si="84"/>
        <v>46402</v>
      </c>
      <c r="U1046" s="25">
        <f t="shared" ca="1" si="86"/>
        <v>141</v>
      </c>
      <c r="V1046" s="25" t="str">
        <f t="shared" ca="1" si="87"/>
        <v>AL DÍA</v>
      </c>
      <c r="W1046" s="25" t="s">
        <v>24</v>
      </c>
      <c r="X1046" s="25" t="s">
        <v>262</v>
      </c>
      <c r="Y1046" s="25">
        <v>2</v>
      </c>
    </row>
    <row r="1047" spans="1:26" ht="14.25" hidden="1" customHeight="1" x14ac:dyDescent="0.15">
      <c r="A1047" s="24" t="s">
        <v>353</v>
      </c>
      <c r="B1047" s="24" t="s">
        <v>88</v>
      </c>
      <c r="C1047" s="26" t="s">
        <v>412</v>
      </c>
      <c r="D1047" s="24" t="s">
        <v>16</v>
      </c>
      <c r="F1047" s="24" t="s">
        <v>224</v>
      </c>
      <c r="G1047" s="21">
        <v>1987</v>
      </c>
      <c r="H1047" s="21">
        <v>0</v>
      </c>
      <c r="I1047" s="21">
        <f t="shared" ref="I1047:I1054" ca="1" si="89">YEAR(TODAY())-G1047</f>
        <v>39</v>
      </c>
      <c r="J1047" s="21">
        <v>3</v>
      </c>
      <c r="K1047" s="25" t="str">
        <f t="shared" ca="1" si="88"/>
        <v>Activo</v>
      </c>
      <c r="Q1047" s="32">
        <v>365</v>
      </c>
      <c r="R1047" s="25" t="s">
        <v>64</v>
      </c>
      <c r="S1047" s="28">
        <v>46037</v>
      </c>
      <c r="T1047" s="28">
        <f t="shared" si="84"/>
        <v>46402</v>
      </c>
      <c r="U1047" s="25">
        <f t="shared" ca="1" si="86"/>
        <v>141</v>
      </c>
      <c r="V1047" s="25" t="str">
        <f t="shared" ca="1" si="87"/>
        <v>AL DÍA</v>
      </c>
      <c r="W1047" s="25" t="s">
        <v>24</v>
      </c>
      <c r="X1047" s="25" t="s">
        <v>271</v>
      </c>
      <c r="Y1047" s="25">
        <v>2</v>
      </c>
    </row>
    <row r="1048" spans="1:26" ht="14.25" hidden="1" customHeight="1" x14ac:dyDescent="0.15">
      <c r="A1048" s="24" t="s">
        <v>353</v>
      </c>
      <c r="B1048" s="24" t="s">
        <v>88</v>
      </c>
      <c r="C1048" s="26" t="s">
        <v>412</v>
      </c>
      <c r="D1048" s="24" t="s">
        <v>65</v>
      </c>
      <c r="F1048" s="24" t="s">
        <v>220</v>
      </c>
      <c r="G1048" s="21">
        <v>1987</v>
      </c>
      <c r="H1048" s="21">
        <v>0</v>
      </c>
      <c r="I1048" s="21">
        <f t="shared" ca="1" si="89"/>
        <v>39</v>
      </c>
      <c r="J1048" s="21">
        <v>3</v>
      </c>
      <c r="K1048" s="25" t="str">
        <f t="shared" ca="1" si="88"/>
        <v>Activo</v>
      </c>
      <c r="L1048" s="25" t="s">
        <v>49</v>
      </c>
      <c r="O1048" s="25" t="s">
        <v>414</v>
      </c>
      <c r="P1048" s="26"/>
      <c r="Q1048" s="34">
        <v>365</v>
      </c>
      <c r="R1048" s="25" t="s">
        <v>64</v>
      </c>
      <c r="S1048" s="28">
        <v>46037</v>
      </c>
      <c r="T1048" s="28">
        <f t="shared" si="84"/>
        <v>46402</v>
      </c>
      <c r="U1048" s="25">
        <f t="shared" ca="1" si="86"/>
        <v>141</v>
      </c>
      <c r="V1048" s="25" t="str">
        <f t="shared" ca="1" si="87"/>
        <v>AL DÍA</v>
      </c>
      <c r="W1048" s="25" t="s">
        <v>24</v>
      </c>
      <c r="X1048" s="25" t="s">
        <v>262</v>
      </c>
      <c r="Y1048" s="25">
        <v>2</v>
      </c>
    </row>
    <row r="1049" spans="1:26" ht="14.25" hidden="1" customHeight="1" x14ac:dyDescent="0.15">
      <c r="A1049" s="24" t="s">
        <v>353</v>
      </c>
      <c r="B1049" s="24" t="s">
        <v>88</v>
      </c>
      <c r="C1049" s="26" t="s">
        <v>413</v>
      </c>
      <c r="D1049" s="24" t="s">
        <v>65</v>
      </c>
      <c r="F1049" s="24" t="s">
        <v>215</v>
      </c>
      <c r="G1049" s="21">
        <v>1987</v>
      </c>
      <c r="H1049" s="21">
        <v>0</v>
      </c>
      <c r="I1049" s="21">
        <f t="shared" ca="1" si="89"/>
        <v>39</v>
      </c>
      <c r="J1049" s="21">
        <v>3</v>
      </c>
      <c r="K1049" s="25" t="str">
        <f t="shared" ca="1" si="88"/>
        <v>Activo</v>
      </c>
      <c r="L1049" s="25" t="s">
        <v>49</v>
      </c>
      <c r="M1049" s="25" t="s">
        <v>49</v>
      </c>
      <c r="N1049" s="25" t="s">
        <v>49</v>
      </c>
      <c r="P1049" s="25" t="s">
        <v>22</v>
      </c>
      <c r="Q1049" s="34">
        <v>365</v>
      </c>
      <c r="R1049" s="25" t="s">
        <v>64</v>
      </c>
      <c r="S1049" s="28">
        <v>46037</v>
      </c>
      <c r="T1049" s="28">
        <f t="shared" si="84"/>
        <v>46402</v>
      </c>
      <c r="U1049" s="25">
        <f t="shared" ca="1" si="86"/>
        <v>141</v>
      </c>
      <c r="V1049" s="25" t="str">
        <f t="shared" ca="1" si="87"/>
        <v>AL DÍA</v>
      </c>
      <c r="W1049" s="25" t="s">
        <v>24</v>
      </c>
      <c r="X1049" s="25" t="s">
        <v>277</v>
      </c>
      <c r="Y1049" s="25">
        <v>2</v>
      </c>
      <c r="Z1049" s="1" t="s">
        <v>284</v>
      </c>
    </row>
    <row r="1050" spans="1:26" ht="14.25" hidden="1" customHeight="1" x14ac:dyDescent="0.15">
      <c r="A1050" s="24" t="s">
        <v>353</v>
      </c>
      <c r="B1050" s="24" t="s">
        <v>88</v>
      </c>
      <c r="C1050" s="26" t="s">
        <v>413</v>
      </c>
      <c r="D1050" s="24" t="s">
        <v>65</v>
      </c>
      <c r="E1050" s="24" t="s">
        <v>451</v>
      </c>
      <c r="F1050" s="24" t="s">
        <v>93</v>
      </c>
      <c r="G1050" s="21">
        <v>2014</v>
      </c>
      <c r="H1050" s="21">
        <v>20</v>
      </c>
      <c r="I1050" s="21">
        <f t="shared" ca="1" si="89"/>
        <v>12</v>
      </c>
      <c r="J1050" s="21">
        <v>3</v>
      </c>
      <c r="K1050" s="25" t="str">
        <f t="shared" ca="1" si="88"/>
        <v>Activo</v>
      </c>
      <c r="L1050" s="25" t="s">
        <v>142</v>
      </c>
      <c r="O1050" s="26"/>
      <c r="P1050" s="26" t="s">
        <v>22</v>
      </c>
      <c r="Q1050" s="34">
        <v>365</v>
      </c>
      <c r="R1050" s="25" t="s">
        <v>69</v>
      </c>
      <c r="S1050" s="28">
        <v>46158</v>
      </c>
      <c r="T1050" s="28">
        <f t="shared" si="84"/>
        <v>46523</v>
      </c>
      <c r="U1050" s="25">
        <f t="shared" ca="1" si="86"/>
        <v>262</v>
      </c>
      <c r="V1050" s="25" t="str">
        <f t="shared" ca="1" si="87"/>
        <v>AL DÍA</v>
      </c>
      <c r="W1050" s="25" t="s">
        <v>24</v>
      </c>
      <c r="X1050" s="25" t="s">
        <v>262</v>
      </c>
      <c r="Y1050" s="25">
        <v>1</v>
      </c>
      <c r="Z1050" s="1" t="s">
        <v>265</v>
      </c>
    </row>
    <row r="1051" spans="1:26" ht="14.25" hidden="1" customHeight="1" x14ac:dyDescent="0.15">
      <c r="A1051" s="24" t="s">
        <v>353</v>
      </c>
      <c r="B1051" s="24" t="s">
        <v>88</v>
      </c>
      <c r="C1051" s="25" t="s">
        <v>413</v>
      </c>
      <c r="D1051" s="24" t="s">
        <v>65</v>
      </c>
      <c r="F1051" s="24" t="s">
        <v>217</v>
      </c>
      <c r="G1051" s="21">
        <v>1987</v>
      </c>
      <c r="H1051" s="21">
        <v>0</v>
      </c>
      <c r="I1051" s="21">
        <f t="shared" ca="1" si="89"/>
        <v>39</v>
      </c>
      <c r="J1051" s="21">
        <v>3</v>
      </c>
      <c r="K1051" s="25" t="str">
        <f t="shared" ca="1" si="88"/>
        <v>Activo</v>
      </c>
      <c r="L1051" s="25" t="s">
        <v>49</v>
      </c>
      <c r="O1051" s="72"/>
      <c r="Q1051" s="34">
        <v>365</v>
      </c>
      <c r="R1051" s="25" t="s">
        <v>64</v>
      </c>
      <c r="S1051" s="28">
        <v>46037</v>
      </c>
      <c r="T1051" s="28">
        <f t="shared" si="84"/>
        <v>46402</v>
      </c>
      <c r="U1051" s="25">
        <f t="shared" ca="1" si="86"/>
        <v>141</v>
      </c>
      <c r="V1051" s="25" t="str">
        <f t="shared" ca="1" si="87"/>
        <v>AL DÍA</v>
      </c>
      <c r="W1051" s="25" t="s">
        <v>24</v>
      </c>
      <c r="X1051" s="25" t="s">
        <v>262</v>
      </c>
      <c r="Y1051" s="25">
        <v>2</v>
      </c>
    </row>
    <row r="1052" spans="1:26" ht="15" hidden="1" customHeight="1" x14ac:dyDescent="0.15">
      <c r="A1052" s="24" t="s">
        <v>353</v>
      </c>
      <c r="B1052" s="24" t="s">
        <v>88</v>
      </c>
      <c r="C1052" s="25" t="s">
        <v>413</v>
      </c>
      <c r="D1052" s="24" t="s">
        <v>65</v>
      </c>
      <c r="F1052" s="24" t="s">
        <v>218</v>
      </c>
      <c r="G1052" s="21">
        <v>1987</v>
      </c>
      <c r="H1052" s="21">
        <v>0</v>
      </c>
      <c r="I1052" s="21">
        <f t="shared" ca="1" si="89"/>
        <v>39</v>
      </c>
      <c r="J1052" s="21">
        <v>3</v>
      </c>
      <c r="K1052" s="25" t="str">
        <f t="shared" ca="1" si="88"/>
        <v>Activo</v>
      </c>
      <c r="L1052" s="25" t="s">
        <v>49</v>
      </c>
      <c r="O1052" s="25" t="s">
        <v>227</v>
      </c>
      <c r="Q1052" s="32">
        <v>365</v>
      </c>
      <c r="R1052" s="25" t="s">
        <v>64</v>
      </c>
      <c r="S1052" s="28">
        <v>46037</v>
      </c>
      <c r="T1052" s="28">
        <f t="shared" si="84"/>
        <v>46402</v>
      </c>
      <c r="U1052" s="25">
        <f t="shared" ca="1" si="86"/>
        <v>141</v>
      </c>
      <c r="V1052" s="25" t="str">
        <f t="shared" ca="1" si="87"/>
        <v>AL DÍA</v>
      </c>
      <c r="W1052" s="25" t="s">
        <v>24</v>
      </c>
      <c r="X1052" s="25" t="s">
        <v>262</v>
      </c>
      <c r="Y1052" s="25">
        <v>2</v>
      </c>
    </row>
    <row r="1053" spans="1:26" ht="14.25" hidden="1" customHeight="1" x14ac:dyDescent="0.15">
      <c r="A1053" s="24" t="s">
        <v>353</v>
      </c>
      <c r="B1053" s="24" t="s">
        <v>88</v>
      </c>
      <c r="C1053" s="25" t="s">
        <v>413</v>
      </c>
      <c r="D1053" s="24" t="s">
        <v>16</v>
      </c>
      <c r="F1053" s="24" t="s">
        <v>224</v>
      </c>
      <c r="G1053" s="21">
        <v>1987</v>
      </c>
      <c r="H1053" s="21">
        <v>0</v>
      </c>
      <c r="I1053" s="21">
        <f t="shared" ca="1" si="89"/>
        <v>39</v>
      </c>
      <c r="J1053" s="21">
        <v>3</v>
      </c>
      <c r="K1053" s="25" t="str">
        <f t="shared" ca="1" si="88"/>
        <v>Activo</v>
      </c>
      <c r="Q1053" s="32">
        <v>365</v>
      </c>
      <c r="R1053" s="25" t="s">
        <v>64</v>
      </c>
      <c r="S1053" s="28">
        <v>46037</v>
      </c>
      <c r="T1053" s="28">
        <f t="shared" si="84"/>
        <v>46402</v>
      </c>
      <c r="U1053" s="25">
        <f t="shared" ca="1" si="86"/>
        <v>141</v>
      </c>
      <c r="V1053" s="25" t="str">
        <f t="shared" ca="1" si="87"/>
        <v>AL DÍA</v>
      </c>
      <c r="W1053" s="25" t="s">
        <v>24</v>
      </c>
      <c r="X1053" s="25" t="s">
        <v>271</v>
      </c>
      <c r="Y1053" s="25">
        <v>2</v>
      </c>
    </row>
    <row r="1054" spans="1:26" ht="14.25" hidden="1" customHeight="1" x14ac:dyDescent="0.15">
      <c r="A1054" s="24" t="s">
        <v>353</v>
      </c>
      <c r="B1054" s="24" t="s">
        <v>88</v>
      </c>
      <c r="C1054" s="25" t="s">
        <v>413</v>
      </c>
      <c r="D1054" s="24" t="s">
        <v>65</v>
      </c>
      <c r="F1054" s="24" t="s">
        <v>220</v>
      </c>
      <c r="G1054" s="21">
        <v>1987</v>
      </c>
      <c r="H1054" s="21">
        <v>0</v>
      </c>
      <c r="I1054" s="21">
        <f t="shared" ca="1" si="89"/>
        <v>39</v>
      </c>
      <c r="J1054" s="21">
        <v>3</v>
      </c>
      <c r="K1054" s="25" t="str">
        <f t="shared" ca="1" si="88"/>
        <v>Activo</v>
      </c>
      <c r="L1054" s="25" t="s">
        <v>49</v>
      </c>
      <c r="O1054" s="25" t="s">
        <v>414</v>
      </c>
      <c r="Q1054" s="32">
        <v>365</v>
      </c>
      <c r="R1054" s="25" t="s">
        <v>64</v>
      </c>
      <c r="S1054" s="28">
        <v>46037</v>
      </c>
      <c r="T1054" s="28">
        <f t="shared" si="84"/>
        <v>46402</v>
      </c>
      <c r="U1054" s="25">
        <f t="shared" ca="1" si="86"/>
        <v>141</v>
      </c>
      <c r="V1054" s="25" t="str">
        <f t="shared" ca="1" si="87"/>
        <v>AL DÍA</v>
      </c>
      <c r="W1054" s="25" t="s">
        <v>24</v>
      </c>
      <c r="X1054" s="25" t="s">
        <v>262</v>
      </c>
      <c r="Y1054" s="25">
        <v>2</v>
      </c>
    </row>
    <row r="1055" spans="1:26" ht="15" hidden="1" customHeight="1" x14ac:dyDescent="0.15">
      <c r="A1055" s="24" t="s">
        <v>258</v>
      </c>
      <c r="F1055" s="24" t="s">
        <v>470</v>
      </c>
    </row>
    <row r="1056" spans="1:26" ht="15" hidden="1" customHeight="1" x14ac:dyDescent="0.15">
      <c r="A1056" s="24" t="s">
        <v>259</v>
      </c>
      <c r="F1056" s="24" t="s">
        <v>470</v>
      </c>
    </row>
    <row r="1057" spans="1:6" ht="15" hidden="1" customHeight="1" x14ac:dyDescent="0.15">
      <c r="A1057" s="24" t="s">
        <v>296</v>
      </c>
      <c r="F1057" s="24" t="s">
        <v>470</v>
      </c>
    </row>
    <row r="1058" spans="1:6" ht="15" hidden="1" customHeight="1" x14ac:dyDescent="0.15">
      <c r="A1058" s="24" t="s">
        <v>296</v>
      </c>
      <c r="F1058" s="24" t="s">
        <v>417</v>
      </c>
    </row>
  </sheetData>
  <autoFilter ref="A1:Z1058" xr:uid="{00000000-0009-0000-0000-000001000000}">
    <filterColumn colId="0">
      <filters>
        <filter val="NEUBAU"/>
      </filters>
    </filterColumn>
    <filterColumn colId="5">
      <filters>
        <filter val="Pasarela  metálica"/>
        <filter val="Pasillo exterior metálico"/>
      </filters>
    </filterColumn>
    <sortState xmlns:xlrd2="http://schemas.microsoft.com/office/spreadsheetml/2017/richdata2" ref="A2:Z1054">
      <sortCondition ref="A1:A1052"/>
    </sortState>
  </autoFilter>
  <conditionalFormatting sqref="K2:K1054">
    <cfRule type="containsText" dxfId="10" priority="1" operator="containsText" text="Activo">
      <formula>NOT(ISERROR(SEARCH("Activo",K2)))</formula>
    </cfRule>
    <cfRule type="containsText" dxfId="9" priority="2" operator="containsText" text="Presupuestar">
      <formula>NOT(ISERROR(SEARCH("Presupuestar",K2)))</formula>
    </cfRule>
    <cfRule type="containsText" dxfId="8" priority="3" operator="containsText" text="Cambiar">
      <formula>NOT(ISERROR(SEARCH(("Cambiar"),(K2))))</formula>
    </cfRule>
  </conditionalFormatting>
  <conditionalFormatting sqref="U1:U1048518">
    <cfRule type="cellIs" dxfId="7" priority="4" operator="between">
      <formula>30</formula>
      <formula>0</formula>
    </cfRule>
  </conditionalFormatting>
  <conditionalFormatting sqref="U2:U1054">
    <cfRule type="cellIs" dxfId="6" priority="5" operator="lessThan">
      <formula>0</formula>
    </cfRule>
  </conditionalFormatting>
  <pageMargins left="0.75" right="0.75" top="1" bottom="1" header="0" footer="0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AW1052"/>
  <sheetViews>
    <sheetView tabSelected="1" zoomScale="114" workbookViewId="0">
      <pane xSplit="4" ySplit="2" topLeftCell="E745" activePane="bottomRight" state="frozen"/>
      <selection activeCell="M4" sqref="M4:AW1048576"/>
      <selection pane="bottomLeft" activeCell="M4" sqref="M4:AW1048576"/>
      <selection pane="topRight" activeCell="M4" sqref="M4:AW1048576"/>
      <selection pane="bottomRight" activeCell="B786" sqref="B786"/>
    </sheetView>
  </sheetViews>
  <sheetFormatPr defaultColWidth="10.76171875" defaultRowHeight="15" x14ac:dyDescent="0.2"/>
  <cols>
    <col min="1" max="1" width="13.44921875" customWidth="1"/>
    <col min="2" max="2" width="6.58984375" customWidth="1"/>
    <col min="3" max="3" width="6.45703125" customWidth="1"/>
    <col min="4" max="4" width="14.9296875" customWidth="1"/>
    <col min="5" max="5" width="24.75" customWidth="1"/>
    <col min="6" max="6" width="10.0859375" customWidth="1"/>
    <col min="7" max="7" width="11.02734375" customWidth="1"/>
    <col min="8" max="8" width="7.93359375" customWidth="1"/>
    <col min="9" max="9" width="12.10546875" customWidth="1"/>
    <col min="10" max="11" width="12.64453125" style="63" customWidth="1"/>
    <col min="12" max="12" width="15.19921875" style="66" customWidth="1"/>
    <col min="13" max="30" width="8.609375" customWidth="1"/>
    <col min="31" max="31" width="6.45703125" bestFit="1" customWidth="1"/>
    <col min="32" max="32" width="5.78125" bestFit="1" customWidth="1"/>
    <col min="33" max="33" width="6.58984375" bestFit="1" customWidth="1"/>
    <col min="34" max="34" width="6.05078125" bestFit="1" customWidth="1"/>
    <col min="35" max="35" width="6.58984375" bestFit="1" customWidth="1"/>
    <col min="36" max="36" width="6.05078125" bestFit="1" customWidth="1"/>
    <col min="37" max="37" width="6.859375" bestFit="1" customWidth="1"/>
    <col min="38" max="38" width="6.05078125" bestFit="1" customWidth="1"/>
    <col min="39" max="39" width="5.51171875" bestFit="1" customWidth="1"/>
    <col min="40" max="40" width="6.3203125" bestFit="1" customWidth="1"/>
    <col min="41" max="41" width="6.9921875" bestFit="1" customWidth="1"/>
    <col min="42" max="42" width="6.05078125" bestFit="1" customWidth="1"/>
    <col min="43" max="43" width="6.45703125" bestFit="1" customWidth="1"/>
    <col min="44" max="44" width="5.78125" bestFit="1" customWidth="1"/>
    <col min="45" max="45" width="6.58984375" bestFit="1" customWidth="1"/>
    <col min="46" max="46" width="6.05078125" bestFit="1" customWidth="1"/>
    <col min="47" max="47" width="6.58984375" bestFit="1" customWidth="1"/>
    <col min="48" max="48" width="6.05078125" bestFit="1" customWidth="1"/>
    <col min="49" max="49" width="6.859375" bestFit="1" customWidth="1"/>
  </cols>
  <sheetData>
    <row r="1" spans="1:49" x14ac:dyDescent="0.2">
      <c r="A1" s="7" t="b">
        <f ca="1">AND($K3&gt;=M$2, $K3&lt;=EOMONTH(M$2,0))</f>
        <v>0</v>
      </c>
      <c r="B1" s="7"/>
      <c r="C1" s="7"/>
      <c r="E1" s="13"/>
      <c r="J1" s="62"/>
      <c r="K1" s="62"/>
      <c r="L1" s="64"/>
    </row>
    <row r="2" spans="1:49" s="70" customFormat="1" ht="69" customHeight="1" x14ac:dyDescent="0.15">
      <c r="A2" s="67" t="s">
        <v>261</v>
      </c>
      <c r="B2" s="67" t="s">
        <v>0</v>
      </c>
      <c r="C2" s="67" t="s">
        <v>253</v>
      </c>
      <c r="D2" s="67" t="s">
        <v>2</v>
      </c>
      <c r="E2" s="67" t="s">
        <v>5</v>
      </c>
      <c r="F2" s="67" t="s">
        <v>369</v>
      </c>
      <c r="G2" s="67" t="s">
        <v>297</v>
      </c>
      <c r="H2" s="67" t="s">
        <v>254</v>
      </c>
      <c r="I2" s="68" t="s">
        <v>12</v>
      </c>
      <c r="J2" s="68" t="s">
        <v>13</v>
      </c>
      <c r="K2" s="68" t="s">
        <v>370</v>
      </c>
      <c r="L2" s="68" t="s">
        <v>391</v>
      </c>
      <c r="M2" s="69">
        <v>46143</v>
      </c>
      <c r="N2" s="69">
        <f>EDATE(M2,1)</f>
        <v>46174</v>
      </c>
      <c r="O2" s="69">
        <f t="shared" ref="O2:AD2" si="0">EDATE(N2,1)</f>
        <v>46204</v>
      </c>
      <c r="P2" s="69">
        <f t="shared" si="0"/>
        <v>46235</v>
      </c>
      <c r="Q2" s="69">
        <f t="shared" si="0"/>
        <v>46266</v>
      </c>
      <c r="R2" s="69">
        <f t="shared" si="0"/>
        <v>46296</v>
      </c>
      <c r="S2" s="69">
        <f t="shared" si="0"/>
        <v>46327</v>
      </c>
      <c r="T2" s="69">
        <f t="shared" si="0"/>
        <v>46357</v>
      </c>
      <c r="U2" s="69">
        <f t="shared" si="0"/>
        <v>46388</v>
      </c>
      <c r="V2" s="69">
        <f t="shared" si="0"/>
        <v>46419</v>
      </c>
      <c r="W2" s="69">
        <f t="shared" si="0"/>
        <v>46447</v>
      </c>
      <c r="X2" s="69">
        <f t="shared" si="0"/>
        <v>46478</v>
      </c>
      <c r="Y2" s="69">
        <f t="shared" si="0"/>
        <v>46508</v>
      </c>
      <c r="Z2" s="69">
        <f t="shared" si="0"/>
        <v>46539</v>
      </c>
      <c r="AA2" s="69">
        <f t="shared" si="0"/>
        <v>46569</v>
      </c>
      <c r="AB2" s="69">
        <f t="shared" si="0"/>
        <v>46600</v>
      </c>
      <c r="AC2" s="69">
        <f t="shared" si="0"/>
        <v>46631</v>
      </c>
      <c r="AD2" s="69">
        <f t="shared" si="0"/>
        <v>46661</v>
      </c>
      <c r="AE2" s="69">
        <f t="shared" ref="AE2" si="1">EDATE(AD2,1)</f>
        <v>46692</v>
      </c>
      <c r="AF2" s="69">
        <f t="shared" ref="AF2" si="2">EDATE(AE2,1)</f>
        <v>46722</v>
      </c>
      <c r="AG2" s="69">
        <f t="shared" ref="AG2" si="3">EDATE(AF2,1)</f>
        <v>46753</v>
      </c>
      <c r="AH2" s="69">
        <f t="shared" ref="AH2" si="4">EDATE(AG2,1)</f>
        <v>46784</v>
      </c>
      <c r="AI2" s="69">
        <f t="shared" ref="AI2" si="5">EDATE(AH2,1)</f>
        <v>46813</v>
      </c>
      <c r="AJ2" s="69">
        <f t="shared" ref="AJ2" si="6">EDATE(AI2,1)</f>
        <v>46844</v>
      </c>
      <c r="AK2" s="69">
        <f t="shared" ref="AK2" si="7">EDATE(AJ2,1)</f>
        <v>46874</v>
      </c>
      <c r="AL2" s="69">
        <f t="shared" ref="AL2" si="8">EDATE(AK2,1)</f>
        <v>46905</v>
      </c>
      <c r="AM2" s="69">
        <f t="shared" ref="AM2" si="9">EDATE(AL2,1)</f>
        <v>46935</v>
      </c>
      <c r="AN2" s="69">
        <f t="shared" ref="AN2" si="10">EDATE(AM2,1)</f>
        <v>46966</v>
      </c>
      <c r="AO2" s="69">
        <f t="shared" ref="AO2" si="11">EDATE(AN2,1)</f>
        <v>46997</v>
      </c>
      <c r="AP2" s="69">
        <f t="shared" ref="AP2" si="12">EDATE(AO2,1)</f>
        <v>47027</v>
      </c>
      <c r="AQ2" s="69">
        <f t="shared" ref="AQ2" si="13">EDATE(AP2,1)</f>
        <v>47058</v>
      </c>
      <c r="AR2" s="69">
        <f t="shared" ref="AR2" si="14">EDATE(AQ2,1)</f>
        <v>47088</v>
      </c>
      <c r="AS2" s="69">
        <f t="shared" ref="AS2" si="15">EDATE(AR2,1)</f>
        <v>47119</v>
      </c>
      <c r="AT2" s="69">
        <f t="shared" ref="AT2" si="16">EDATE(AS2,1)</f>
        <v>47150</v>
      </c>
      <c r="AU2" s="69">
        <f t="shared" ref="AU2" si="17">EDATE(AT2,1)</f>
        <v>47178</v>
      </c>
      <c r="AV2" s="69">
        <f t="shared" ref="AV2" si="18">EDATE(AU2,1)</f>
        <v>47209</v>
      </c>
      <c r="AW2" s="69">
        <f t="shared" ref="AW2" si="19">EDATE(AV2,1)</f>
        <v>47239</v>
      </c>
    </row>
    <row r="3" spans="1:49" x14ac:dyDescent="0.2">
      <c r="A3" s="1" t="str">
        <f>+'Maestro infraestructura'!A2</f>
        <v>CASINO</v>
      </c>
      <c r="B3" s="1" t="str">
        <f>+'Maestro infraestructura'!B2</f>
        <v>1° Piso</v>
      </c>
      <c r="C3" s="1" t="str">
        <f>+'Maestro infraestructura'!C2</f>
        <v>Pasillo trasero</v>
      </c>
      <c r="D3" s="1" t="str">
        <f>+'Maestro infraestructura'!F2</f>
        <v>Calefont</v>
      </c>
      <c r="E3" s="25" t="str">
        <f ca="1">+'Maestro infraestructura'!K2</f>
        <v>Activo</v>
      </c>
      <c r="F3" s="1" t="str">
        <f ca="1">+'Maestro infraestructura'!V2</f>
        <v>AL DÍA</v>
      </c>
      <c r="G3" s="1" t="str">
        <f>+'Maestro infraestructura'!X2</f>
        <v>OPERACIÓN</v>
      </c>
      <c r="H3" s="1">
        <f>+'Maestro infraestructura'!Y2</f>
        <v>2</v>
      </c>
      <c r="I3" s="1"/>
      <c r="J3" s="6">
        <f>+'Maestro infraestructura'!T2</f>
        <v>46511</v>
      </c>
      <c r="K3" s="6">
        <f ca="1">IF(E3="Cambiar o Inspección externa",1/1/2027,IF(E3="cambiar",1/1/2027,J3))</f>
        <v>46511</v>
      </c>
      <c r="L3" s="6"/>
    </row>
    <row r="4" spans="1:49" x14ac:dyDescent="0.2">
      <c r="A4" s="1" t="str">
        <f>+'Maestro infraestructura'!A3</f>
        <v>CASINO</v>
      </c>
      <c r="B4" s="1" t="str">
        <f>+'Maestro infraestructura'!B3</f>
        <v>1° Piso</v>
      </c>
      <c r="C4" s="1" t="str">
        <f>+'Maestro infraestructura'!C3</f>
        <v>Acceso a Casino</v>
      </c>
      <c r="D4" s="1" t="str">
        <f>+'Maestro infraestructura'!F3</f>
        <v>Terraza metálica y madera</v>
      </c>
      <c r="E4" s="25" t="str">
        <f ca="1">+'Maestro infraestructura'!K3</f>
        <v>Activo</v>
      </c>
      <c r="F4" s="1" t="str">
        <f ca="1">+'Maestro infraestructura'!V3</f>
        <v>AL DÍA</v>
      </c>
      <c r="G4" s="1" t="str">
        <f>+'Maestro infraestructura'!X3</f>
        <v>GENERAL</v>
      </c>
      <c r="H4" s="1">
        <f>+'Maestro infraestructura'!Y3</f>
        <v>1</v>
      </c>
      <c r="I4" s="6">
        <f>+'Maestro infraestructura'!S3</f>
        <v>46073</v>
      </c>
      <c r="J4" s="6">
        <f>+'Maestro infraestructura'!T3</f>
        <v>46438</v>
      </c>
      <c r="K4" s="6">
        <f t="shared" ref="K4:K67" ca="1" si="20">IF(E4="Cambiar o Inspección externa",1/1/2027,IF(E4="cambiar",1/1/2027,J4))</f>
        <v>46438</v>
      </c>
      <c r="L4" s="6"/>
    </row>
    <row r="5" spans="1:49" x14ac:dyDescent="0.2">
      <c r="A5" s="1" t="str">
        <f>+'Maestro infraestructura'!A4</f>
        <v>CASINO</v>
      </c>
      <c r="B5" s="1" t="str">
        <f>+'Maestro infraestructura'!B4</f>
        <v>1° Piso</v>
      </c>
      <c r="C5" s="1" t="str">
        <f>+'Maestro infraestructura'!C4</f>
        <v>Acceso a Casino</v>
      </c>
      <c r="D5" s="1" t="str">
        <f>+'Maestro infraestructura'!F4</f>
        <v>Tablero eléctrico principal</v>
      </c>
      <c r="E5" s="25" t="str">
        <f ca="1">+'Maestro infraestructura'!K4</f>
        <v>Activo</v>
      </c>
      <c r="F5" s="1" t="str">
        <f ca="1">+'Maestro infraestructura'!V4</f>
        <v>AL DÍA</v>
      </c>
      <c r="G5" s="1" t="str">
        <f>+'Maestro infraestructura'!X4</f>
        <v>SEGURIDAD</v>
      </c>
      <c r="H5" s="1">
        <f>+'Maestro infraestructura'!Y4</f>
        <v>1</v>
      </c>
      <c r="I5" s="6">
        <f>+'Maestro infraestructura'!S4</f>
        <v>46037</v>
      </c>
      <c r="J5" s="6">
        <f>+'Maestro infraestructura'!T4</f>
        <v>46402</v>
      </c>
      <c r="K5" s="6">
        <f t="shared" ca="1" si="20"/>
        <v>46402</v>
      </c>
      <c r="L5" s="6"/>
    </row>
    <row r="6" spans="1:49" x14ac:dyDescent="0.2">
      <c r="A6" s="1" t="str">
        <f>+'Maestro infraestructura'!A5</f>
        <v>CASINO</v>
      </c>
      <c r="B6" s="1" t="str">
        <f>+'Maestro infraestructura'!B5</f>
        <v>1° Piso</v>
      </c>
      <c r="C6" s="1" t="str">
        <f>+'Maestro infraestructura'!C5</f>
        <v>Cafetería</v>
      </c>
      <c r="D6" s="1" t="str">
        <f>+'Maestro infraestructura'!F5</f>
        <v>Tablero eléctrico secundario</v>
      </c>
      <c r="E6" s="25" t="str">
        <f ca="1">+'Maestro infraestructura'!K5</f>
        <v>Activo</v>
      </c>
      <c r="F6" s="1" t="str">
        <f ca="1">+'Maestro infraestructura'!V5</f>
        <v>AL DÍA</v>
      </c>
      <c r="G6" s="1" t="str">
        <f>+'Maestro infraestructura'!X5</f>
        <v>OPERACIÓN</v>
      </c>
      <c r="H6" s="1">
        <f>+'Maestro infraestructura'!Y5</f>
        <v>2</v>
      </c>
      <c r="I6" s="1"/>
      <c r="J6" s="6">
        <f>+'Maestro infraestructura'!T5</f>
        <v>46402</v>
      </c>
      <c r="K6" s="6">
        <f t="shared" ca="1" si="20"/>
        <v>46402</v>
      </c>
      <c r="L6" s="6"/>
    </row>
    <row r="7" spans="1:49" x14ac:dyDescent="0.2">
      <c r="A7" s="1" t="str">
        <f>+'Maestro infraestructura'!A6</f>
        <v>CASINO</v>
      </c>
      <c r="B7" s="1" t="str">
        <f>+'Maestro infraestructura'!B6</f>
        <v>1° Piso</v>
      </c>
      <c r="C7" s="1" t="str">
        <f>+'Maestro infraestructura'!C6</f>
        <v>1° Piso</v>
      </c>
      <c r="D7" s="1" t="str">
        <f>+'Maestro infraestructura'!F6</f>
        <v xml:space="preserve">Pintura de paredes interior </v>
      </c>
      <c r="E7" s="25" t="str">
        <f ca="1">+'Maestro infraestructura'!K6</f>
        <v>Activo</v>
      </c>
      <c r="F7" s="1" t="str">
        <f ca="1">+'Maestro infraestructura'!V6</f>
        <v>AL DÍA</v>
      </c>
      <c r="G7" s="1" t="str">
        <f>+'Maestro infraestructura'!X6</f>
        <v>GENERAL</v>
      </c>
      <c r="H7" s="1">
        <f>+'Maestro infraestructura'!Y6</f>
        <v>3</v>
      </c>
      <c r="I7" s="1"/>
      <c r="J7" s="6">
        <f>+'Maestro infraestructura'!T6</f>
        <v>46570</v>
      </c>
      <c r="K7" s="6">
        <f t="shared" ca="1" si="20"/>
        <v>46570</v>
      </c>
      <c r="L7" s="6"/>
    </row>
    <row r="8" spans="1:49" x14ac:dyDescent="0.2">
      <c r="A8" s="1" t="str">
        <f>+'Maestro infraestructura'!A7</f>
        <v>CASINO</v>
      </c>
      <c r="B8" s="1" t="str">
        <f>+'Maestro infraestructura'!B7</f>
        <v>1° Piso</v>
      </c>
      <c r="C8" s="1" t="str">
        <f>+'Maestro infraestructura'!C7</f>
        <v>1° Piso</v>
      </c>
      <c r="D8" s="1" t="str">
        <f>+'Maestro infraestructura'!F7</f>
        <v>Pintura fachadas</v>
      </c>
      <c r="E8" s="25" t="str">
        <f ca="1">+'Maestro infraestructura'!K7</f>
        <v>Activo</v>
      </c>
      <c r="F8" s="1" t="str">
        <f ca="1">+'Maestro infraestructura'!V7</f>
        <v>AL DÍA</v>
      </c>
      <c r="G8" s="1" t="str">
        <f>+'Maestro infraestructura'!X7</f>
        <v>GENERAL</v>
      </c>
      <c r="H8" s="1">
        <f>+'Maestro infraestructura'!Y7</f>
        <v>1</v>
      </c>
      <c r="I8" s="6">
        <f>+'Maestro infraestructura'!S7</f>
        <v>45301</v>
      </c>
      <c r="J8" s="6">
        <f>+'Maestro infraestructura'!T7</f>
        <v>47126</v>
      </c>
      <c r="K8" s="6">
        <f t="shared" ca="1" si="20"/>
        <v>47126</v>
      </c>
      <c r="L8" s="6"/>
    </row>
    <row r="9" spans="1:49" x14ac:dyDescent="0.2">
      <c r="A9" s="1" t="str">
        <f>+'Maestro infraestructura'!A8</f>
        <v>CASINO</v>
      </c>
      <c r="B9" s="1" t="str">
        <f>+'Maestro infraestructura'!B8</f>
        <v>1° Piso</v>
      </c>
      <c r="C9" s="1" t="str">
        <f>+'Maestro infraestructura'!C8</f>
        <v xml:space="preserve">Edificio </v>
      </c>
      <c r="D9" s="1" t="str">
        <f>+'Maestro infraestructura'!F8</f>
        <v>Techumbre Casino</v>
      </c>
      <c r="E9" s="25" t="str">
        <f ca="1">+'Maestro infraestructura'!K8</f>
        <v>Cambiar o Inspección externa</v>
      </c>
      <c r="F9" s="1" t="str">
        <f ca="1">+'Maestro infraestructura'!V8</f>
        <v>AL DÍA</v>
      </c>
      <c r="G9" s="1" t="str">
        <f>+'Maestro infraestructura'!X8</f>
        <v>SEGURIDAD</v>
      </c>
      <c r="H9" s="1">
        <f>+'Maestro infraestructura'!Y8</f>
        <v>1</v>
      </c>
      <c r="I9" s="6">
        <f>+'Maestro infraestructura'!S8</f>
        <v>45672</v>
      </c>
      <c r="J9" s="6">
        <f>+'Maestro infraestructura'!T8</f>
        <v>46949.5</v>
      </c>
      <c r="K9" s="6">
        <f t="shared" ca="1" si="20"/>
        <v>4.9333991119881603E-4</v>
      </c>
      <c r="L9" s="65" t="s">
        <v>392</v>
      </c>
    </row>
    <row r="10" spans="1:49" x14ac:dyDescent="0.2">
      <c r="A10" s="1" t="str">
        <f>+'Maestro infraestructura'!A9</f>
        <v>CASINO</v>
      </c>
      <c r="B10" s="1" t="str">
        <f>+'Maestro infraestructura'!B9</f>
        <v>1° Piso</v>
      </c>
      <c r="C10" s="1" t="str">
        <f>+'Maestro infraestructura'!C9</f>
        <v>Cocina</v>
      </c>
      <c r="D10" s="1" t="str">
        <f>+'Maestro infraestructura'!F9</f>
        <v>Horno Industrial doble cámara</v>
      </c>
      <c r="E10" s="25" t="str">
        <f ca="1">+'Maestro infraestructura'!K9</f>
        <v>Activo</v>
      </c>
      <c r="F10" s="1" t="str">
        <f ca="1">+'Maestro infraestructura'!V9</f>
        <v>AL DÍA</v>
      </c>
      <c r="G10" s="1" t="str">
        <f>+'Maestro infraestructura'!X9</f>
        <v>OPERACIÓN</v>
      </c>
      <c r="H10" s="1">
        <f>+'Maestro infraestructura'!Y9</f>
        <v>2</v>
      </c>
      <c r="I10" s="1"/>
      <c r="J10" s="6">
        <f>+'Maestro infraestructura'!T9</f>
        <v>46522</v>
      </c>
      <c r="K10" s="6">
        <f t="shared" ca="1" si="20"/>
        <v>46522</v>
      </c>
      <c r="L10" s="6"/>
    </row>
    <row r="11" spans="1:49" x14ac:dyDescent="0.2">
      <c r="A11" s="1" t="str">
        <f>+'Maestro infraestructura'!A10</f>
        <v>CASINO</v>
      </c>
      <c r="B11" s="1" t="str">
        <f>+'Maestro infraestructura'!B10</f>
        <v>1° Piso</v>
      </c>
      <c r="C11" s="1" t="str">
        <f>+'Maestro infraestructura'!C10</f>
        <v>Cocina</v>
      </c>
      <c r="D11" s="1" t="str">
        <f>+'Maestro infraestructura'!F10</f>
        <v>Cocina Industrial 1</v>
      </c>
      <c r="E11" s="25" t="str">
        <f ca="1">+'Maestro infraestructura'!K10</f>
        <v>Activo</v>
      </c>
      <c r="F11" s="1" t="str">
        <f ca="1">+'Maestro infraestructura'!V10</f>
        <v>AL DÍA</v>
      </c>
      <c r="G11" s="1" t="str">
        <f>+'Maestro infraestructura'!X10</f>
        <v>OPERACIÓN</v>
      </c>
      <c r="H11" s="1">
        <f>+'Maestro infraestructura'!Y10</f>
        <v>2</v>
      </c>
      <c r="I11" s="6">
        <f>+'Maestro infraestructura'!S10</f>
        <v>46157</v>
      </c>
      <c r="J11" s="6">
        <f>+'Maestro infraestructura'!T10</f>
        <v>46522</v>
      </c>
      <c r="K11" s="6">
        <f t="shared" ca="1" si="20"/>
        <v>46522</v>
      </c>
      <c r="L11" s="6"/>
    </row>
    <row r="12" spans="1:49" x14ac:dyDescent="0.2">
      <c r="A12" s="1" t="str">
        <f>+'Maestro infraestructura'!A11</f>
        <v>CASINO</v>
      </c>
      <c r="B12" s="1" t="str">
        <f>+'Maestro infraestructura'!B11</f>
        <v>1° Piso</v>
      </c>
      <c r="C12" s="1" t="str">
        <f>+'Maestro infraestructura'!C11</f>
        <v>Cocina</v>
      </c>
      <c r="D12" s="1" t="str">
        <f>+'Maestro infraestructura'!F11</f>
        <v>Cocina Industrial 2</v>
      </c>
      <c r="E12" s="25" t="str">
        <f ca="1">+'Maestro infraestructura'!K11</f>
        <v>Activo</v>
      </c>
      <c r="F12" s="1" t="str">
        <f ca="1">+'Maestro infraestructura'!V11</f>
        <v>AL DÍA</v>
      </c>
      <c r="G12" s="1" t="str">
        <f>+'Maestro infraestructura'!X11</f>
        <v>OPERACIÓN</v>
      </c>
      <c r="H12" s="1">
        <f>+'Maestro infraestructura'!Y11</f>
        <v>2</v>
      </c>
      <c r="I12" s="1"/>
      <c r="J12" s="6">
        <f>+'Maestro infraestructura'!T11</f>
        <v>46522</v>
      </c>
      <c r="K12" s="6">
        <f t="shared" ca="1" si="20"/>
        <v>46522</v>
      </c>
      <c r="L12" s="6"/>
    </row>
    <row r="13" spans="1:49" x14ac:dyDescent="0.2">
      <c r="A13" s="1" t="str">
        <f>+'Maestro infraestructura'!A12</f>
        <v>CASINO</v>
      </c>
      <c r="B13" s="1" t="str">
        <f>+'Maestro infraestructura'!B12</f>
        <v>1° Piso</v>
      </c>
      <c r="C13" s="1" t="str">
        <f>+'Maestro infraestructura'!C12</f>
        <v>Cocina</v>
      </c>
      <c r="D13" s="1" t="str">
        <f>+'Maestro infraestructura'!F12</f>
        <v>Campana de extracción</v>
      </c>
      <c r="E13" s="25" t="str">
        <f ca="1">+'Maestro infraestructura'!K12</f>
        <v>Activo</v>
      </c>
      <c r="F13" s="1" t="str">
        <f ca="1">+'Maestro infraestructura'!V12</f>
        <v>AL DÍA</v>
      </c>
      <c r="G13" s="1" t="str">
        <f>+'Maestro infraestructura'!X12</f>
        <v>OPERACIÓN</v>
      </c>
      <c r="H13" s="1">
        <f>+'Maestro infraestructura'!Y12</f>
        <v>2</v>
      </c>
      <c r="I13" s="1"/>
      <c r="J13" s="6">
        <f>+'Maestro infraestructura'!T12</f>
        <v>46522</v>
      </c>
      <c r="K13" s="6">
        <f t="shared" ca="1" si="20"/>
        <v>46522</v>
      </c>
      <c r="L13" s="6"/>
    </row>
    <row r="14" spans="1:49" x14ac:dyDescent="0.2">
      <c r="A14" s="1" t="str">
        <f>+'Maestro infraestructura'!A13</f>
        <v>CASINO</v>
      </c>
      <c r="B14" s="1" t="str">
        <f>+'Maestro infraestructura'!B13</f>
        <v xml:space="preserve">Piso zócalo </v>
      </c>
      <c r="C14" s="1" t="str">
        <f>+'Maestro infraestructura'!C13</f>
        <v>Werken 1</v>
      </c>
      <c r="D14" s="1" t="str">
        <f>+'Maestro infraestructura'!F13</f>
        <v>Tablero eléctrico secundario</v>
      </c>
      <c r="E14" s="25" t="str">
        <f ca="1">+'Maestro infraestructura'!K13</f>
        <v>Activo</v>
      </c>
      <c r="F14" s="1" t="str">
        <f ca="1">+'Maestro infraestructura'!V13</f>
        <v>AL DÍA</v>
      </c>
      <c r="G14" s="1" t="str">
        <f>+'Maestro infraestructura'!X13</f>
        <v>OPERACIÓN</v>
      </c>
      <c r="H14" s="1">
        <f>+'Maestro infraestructura'!Y13</f>
        <v>2</v>
      </c>
      <c r="I14" s="1"/>
      <c r="J14" s="6">
        <f>+'Maestro infraestructura'!T13</f>
        <v>46402</v>
      </c>
      <c r="K14" s="6">
        <f t="shared" ca="1" si="20"/>
        <v>46402</v>
      </c>
      <c r="L14" s="6"/>
    </row>
    <row r="15" spans="1:49" x14ac:dyDescent="0.2">
      <c r="A15" s="1" t="str">
        <f>+'Maestro infraestructura'!A14</f>
        <v>CASINO</v>
      </c>
      <c r="B15" s="1" t="str">
        <f>+'Maestro infraestructura'!B14</f>
        <v xml:space="preserve">Piso zócalo </v>
      </c>
      <c r="C15" s="1" t="str">
        <f>+'Maestro infraestructura'!C14</f>
        <v>Zócalo</v>
      </c>
      <c r="D15" s="1" t="str">
        <f>+'Maestro infraestructura'!F14</f>
        <v xml:space="preserve">Camarín Hombre </v>
      </c>
      <c r="E15" s="25" t="str">
        <f ca="1">+'Maestro infraestructura'!K14</f>
        <v>Activo</v>
      </c>
      <c r="F15" s="1" t="str">
        <f ca="1">+'Maestro infraestructura'!V14</f>
        <v>VENCIDO</v>
      </c>
      <c r="G15" s="1" t="str">
        <f>+'Maestro infraestructura'!X14</f>
        <v>LEGAL</v>
      </c>
      <c r="H15" s="1">
        <f>+'Maestro infraestructura'!Y14</f>
        <v>1</v>
      </c>
      <c r="I15" s="6">
        <f>+'Maestro infraestructura'!S14</f>
        <v>46228</v>
      </c>
      <c r="J15" s="6">
        <f>+'Maestro infraestructura'!T14</f>
        <v>46258</v>
      </c>
      <c r="K15" s="6">
        <f t="shared" ca="1" si="20"/>
        <v>46258</v>
      </c>
      <c r="L15" s="65" t="s">
        <v>393</v>
      </c>
    </row>
    <row r="16" spans="1:49" x14ac:dyDescent="0.2">
      <c r="A16" s="1" t="str">
        <f>+'Maestro infraestructura'!A15</f>
        <v>CASINO</v>
      </c>
      <c r="B16" s="1" t="str">
        <f>+'Maestro infraestructura'!B15</f>
        <v xml:space="preserve">Piso zócalo </v>
      </c>
      <c r="C16" s="1" t="str">
        <f>+'Maestro infraestructura'!C15</f>
        <v>Zócalo</v>
      </c>
      <c r="D16" s="1" t="str">
        <f>+'Maestro infraestructura'!F15</f>
        <v xml:space="preserve">Camarín Mujeres </v>
      </c>
      <c r="E16" s="25" t="str">
        <f ca="1">+'Maestro infraestructura'!K15</f>
        <v>Activo</v>
      </c>
      <c r="F16" s="1" t="str">
        <f ca="1">+'Maestro infraestructura'!V15</f>
        <v>VENCIDO</v>
      </c>
      <c r="G16" s="1" t="str">
        <f>+'Maestro infraestructura'!X15</f>
        <v>LEGAL</v>
      </c>
      <c r="H16" s="1">
        <f>+'Maestro infraestructura'!Y15</f>
        <v>1</v>
      </c>
      <c r="I16" s="6">
        <f>+'Maestro infraestructura'!S15</f>
        <v>46228</v>
      </c>
      <c r="J16" s="6">
        <f>+'Maestro infraestructura'!T15</f>
        <v>46258</v>
      </c>
      <c r="K16" s="6">
        <f t="shared" ca="1" si="20"/>
        <v>46258</v>
      </c>
      <c r="L16" s="65" t="s">
        <v>393</v>
      </c>
    </row>
    <row r="17" spans="1:12" x14ac:dyDescent="0.2">
      <c r="A17" s="1" t="str">
        <f>+'Maestro infraestructura'!A16</f>
        <v>CICLO INICIAL</v>
      </c>
      <c r="B17" s="1" t="str">
        <f>+'Maestro infraestructura'!B16</f>
        <v>1° Piso</v>
      </c>
      <c r="C17" s="1" t="str">
        <f>+'Maestro infraestructura'!C16</f>
        <v>Sala caldera NB</v>
      </c>
      <c r="D17" s="1" t="str">
        <f>+'Maestro infraestructura'!F16</f>
        <v>Caldera</v>
      </c>
      <c r="E17" s="25" t="str">
        <f ca="1">+'Maestro infraestructura'!K16</f>
        <v>Activo</v>
      </c>
      <c r="F17" s="1" t="str">
        <f ca="1">+'Maestro infraestructura'!V16</f>
        <v>AL DÍA</v>
      </c>
      <c r="G17" s="1" t="str">
        <f>+'Maestro infraestructura'!X16</f>
        <v>OPERACIÓN</v>
      </c>
      <c r="H17" s="1">
        <f>+'Maestro infraestructura'!Y16</f>
        <v>1</v>
      </c>
      <c r="I17" s="6">
        <f>+'Maestro infraestructura'!S16</f>
        <v>46198</v>
      </c>
      <c r="J17" s="6">
        <f>+'Maestro infraestructura'!T16</f>
        <v>46563</v>
      </c>
      <c r="K17" s="6">
        <f t="shared" ca="1" si="20"/>
        <v>46563</v>
      </c>
      <c r="L17" s="6"/>
    </row>
    <row r="18" spans="1:12" x14ac:dyDescent="0.2">
      <c r="A18" s="1" t="str">
        <f>+'Maestro infraestructura'!A17</f>
        <v>CICLO INICIAL</v>
      </c>
      <c r="B18" s="1" t="str">
        <f>+'Maestro infraestructura'!B17</f>
        <v>1° Piso</v>
      </c>
      <c r="C18" s="1">
        <f>+'Maestro infraestructura'!C17</f>
        <v>0</v>
      </c>
      <c r="D18" s="1" t="str">
        <f>+'Maestro infraestructura'!F17</f>
        <v>Radiadores</v>
      </c>
      <c r="E18" s="25" t="str">
        <f ca="1">+'Maestro infraestructura'!K17</f>
        <v>Activo</v>
      </c>
      <c r="F18" s="1" t="str">
        <f ca="1">+'Maestro infraestructura'!V17</f>
        <v>AL DÍA</v>
      </c>
      <c r="G18" s="1" t="str">
        <f>+'Maestro infraestructura'!X17</f>
        <v>GENERAL</v>
      </c>
      <c r="H18" s="1">
        <f>+'Maestro infraestructura'!Y17</f>
        <v>1</v>
      </c>
      <c r="I18" s="6">
        <f>+'Maestro infraestructura'!S17</f>
        <v>46198</v>
      </c>
      <c r="J18" s="6">
        <f>+'Maestro infraestructura'!T17</f>
        <v>46563</v>
      </c>
      <c r="K18" s="6">
        <f t="shared" ca="1" si="20"/>
        <v>46563</v>
      </c>
      <c r="L18" s="6"/>
    </row>
    <row r="19" spans="1:12" x14ac:dyDescent="0.2">
      <c r="A19" s="1" t="str">
        <f>+'Maestro infraestructura'!A18</f>
        <v>CICLO INICIAL</v>
      </c>
      <c r="B19" s="1" t="str">
        <f>+'Maestro infraestructura'!B18</f>
        <v>1° Piso</v>
      </c>
      <c r="C19" s="1" t="str">
        <f>+'Maestro infraestructura'!C18</f>
        <v>Patio principal</v>
      </c>
      <c r="D19" s="1" t="str">
        <f>+'Maestro infraestructura'!F18</f>
        <v>Techumbre metálica patio central CI</v>
      </c>
      <c r="E19" s="25" t="str">
        <f ca="1">+'Maestro infraestructura'!K18</f>
        <v>Activo</v>
      </c>
      <c r="F19" s="1" t="str">
        <f ca="1">+'Maestro infraestructura'!V18</f>
        <v>AL DÍA</v>
      </c>
      <c r="G19" s="1" t="str">
        <f>+'Maestro infraestructura'!X18</f>
        <v>SEGURIDAD</v>
      </c>
      <c r="H19" s="1">
        <f>+'Maestro infraestructura'!Y18</f>
        <v>1</v>
      </c>
      <c r="I19" s="6">
        <f>+'Maestro infraestructura'!S18</f>
        <v>46198</v>
      </c>
      <c r="J19" s="6">
        <f>+'Maestro infraestructura'!T18</f>
        <v>47475.5</v>
      </c>
      <c r="K19" s="6">
        <f t="shared" ca="1" si="20"/>
        <v>47475.5</v>
      </c>
      <c r="L19" s="6"/>
    </row>
    <row r="20" spans="1:12" x14ac:dyDescent="0.2">
      <c r="A20" s="1" t="str">
        <f>+'Maestro infraestructura'!A19</f>
        <v>CICLO INICIAL</v>
      </c>
      <c r="B20" s="1" t="str">
        <f>+'Maestro infraestructura'!B19</f>
        <v>1° Piso</v>
      </c>
      <c r="C20" s="1" t="str">
        <f>+'Maestro infraestructura'!C19</f>
        <v>Estac. Subterráneo</v>
      </c>
      <c r="D20" s="1" t="str">
        <f>+'Maestro infraestructura'!F19</f>
        <v>Tablero eléctrico principal</v>
      </c>
      <c r="E20" s="25" t="str">
        <f ca="1">+'Maestro infraestructura'!K19</f>
        <v>Activo</v>
      </c>
      <c r="F20" s="1" t="str">
        <f ca="1">+'Maestro infraestructura'!V19</f>
        <v>AL DÍA</v>
      </c>
      <c r="G20" s="1" t="str">
        <f>+'Maestro infraestructura'!X19</f>
        <v>SEGURIDAD</v>
      </c>
      <c r="H20" s="1">
        <f>+'Maestro infraestructura'!Y19</f>
        <v>1</v>
      </c>
      <c r="I20" s="6">
        <f>+'Maestro infraestructura'!S19</f>
        <v>46198</v>
      </c>
      <c r="J20" s="6">
        <f>+'Maestro infraestructura'!T19</f>
        <v>46563</v>
      </c>
      <c r="K20" s="6">
        <f t="shared" ca="1" si="20"/>
        <v>46563</v>
      </c>
      <c r="L20" s="6"/>
    </row>
    <row r="21" spans="1:12" x14ac:dyDescent="0.2">
      <c r="A21" s="1" t="str">
        <f>+'Maestro infraestructura'!A20</f>
        <v>CICLO INICIAL</v>
      </c>
      <c r="B21" s="1" t="str">
        <f>+'Maestro infraestructura'!B20</f>
        <v>1° Piso</v>
      </c>
      <c r="C21" s="1" t="str">
        <f>+'Maestro infraestructura'!C20</f>
        <v>Patio de Juegos</v>
      </c>
      <c r="D21" s="1" t="str">
        <f>+'Maestro infraestructura'!F20</f>
        <v>Tablero eléctrico de derivación</v>
      </c>
      <c r="E21" s="25" t="str">
        <f ca="1">+'Maestro infraestructura'!K20</f>
        <v>Activo</v>
      </c>
      <c r="F21" s="1" t="str">
        <f ca="1">+'Maestro infraestructura'!V20</f>
        <v>AL DÍA</v>
      </c>
      <c r="G21" s="1" t="str">
        <f>+'Maestro infraestructura'!X20</f>
        <v>SEGURIDAD</v>
      </c>
      <c r="H21" s="1">
        <f>+'Maestro infraestructura'!Y20</f>
        <v>1</v>
      </c>
      <c r="I21" s="6">
        <f>+'Maestro infraestructura'!S20</f>
        <v>46198</v>
      </c>
      <c r="J21" s="6">
        <f>+'Maestro infraestructura'!T20</f>
        <v>46563</v>
      </c>
      <c r="K21" s="6">
        <f t="shared" ca="1" si="20"/>
        <v>46563</v>
      </c>
      <c r="L21" s="6"/>
    </row>
    <row r="22" spans="1:12" x14ac:dyDescent="0.2">
      <c r="A22" s="1" t="str">
        <f>+'Maestro infraestructura'!A21</f>
        <v>CICLO INICIAL</v>
      </c>
      <c r="B22" s="1" t="str">
        <f>+'Maestro infraestructura'!B21</f>
        <v>1° Piso</v>
      </c>
      <c r="C22" s="1" t="str">
        <f>+'Maestro infraestructura'!C21</f>
        <v>1° Piso</v>
      </c>
      <c r="D22" s="1" t="str">
        <f>+'Maestro infraestructura'!F21</f>
        <v>Baño adultos funcionarios</v>
      </c>
      <c r="E22" s="25" t="str">
        <f ca="1">+'Maestro infraestructura'!K21</f>
        <v>Activo</v>
      </c>
      <c r="F22" s="1" t="str">
        <f ca="1">+'Maestro infraestructura'!V21</f>
        <v>VENCIDO</v>
      </c>
      <c r="G22" s="1" t="str">
        <f>+'Maestro infraestructura'!X21</f>
        <v>LEGAL</v>
      </c>
      <c r="H22" s="1">
        <f>+'Maestro infraestructura'!Y21</f>
        <v>1</v>
      </c>
      <c r="I22" s="6">
        <f>+'Maestro infraestructura'!S21</f>
        <v>46228</v>
      </c>
      <c r="J22" s="6">
        <f>+'Maestro infraestructura'!T21</f>
        <v>46258</v>
      </c>
      <c r="K22" s="6">
        <f t="shared" ca="1" si="20"/>
        <v>46258</v>
      </c>
      <c r="L22" s="65" t="s">
        <v>393</v>
      </c>
    </row>
    <row r="23" spans="1:12" x14ac:dyDescent="0.2">
      <c r="A23" s="1" t="str">
        <f>+'Maestro infraestructura'!A22</f>
        <v>CICLO INICIAL</v>
      </c>
      <c r="B23" s="1" t="str">
        <f>+'Maestro infraestructura'!B22</f>
        <v>1° Piso</v>
      </c>
      <c r="C23" s="1" t="str">
        <f>+'Maestro infraestructura'!C22</f>
        <v>1° Piso</v>
      </c>
      <c r="D23" s="1" t="str">
        <f>+'Maestro infraestructura'!F22</f>
        <v>Baño discapacitado</v>
      </c>
      <c r="E23" s="25" t="str">
        <f ca="1">+'Maestro infraestructura'!K22</f>
        <v>Activo</v>
      </c>
      <c r="F23" s="1" t="str">
        <f ca="1">+'Maestro infraestructura'!V22</f>
        <v>VENCIDO</v>
      </c>
      <c r="G23" s="1" t="str">
        <f>+'Maestro infraestructura'!X22</f>
        <v>LEGAL</v>
      </c>
      <c r="H23" s="1">
        <f>+'Maestro infraestructura'!Y22</f>
        <v>1</v>
      </c>
      <c r="I23" s="6">
        <f>+'Maestro infraestructura'!S22</f>
        <v>46228</v>
      </c>
      <c r="J23" s="6">
        <f>+'Maestro infraestructura'!T22</f>
        <v>46258</v>
      </c>
      <c r="K23" s="6">
        <f t="shared" ca="1" si="20"/>
        <v>46258</v>
      </c>
      <c r="L23" s="65" t="s">
        <v>393</v>
      </c>
    </row>
    <row r="24" spans="1:12" x14ac:dyDescent="0.2">
      <c r="A24" s="1" t="str">
        <f>+'Maestro infraestructura'!A23</f>
        <v>CICLO INICIAL</v>
      </c>
      <c r="B24" s="1" t="str">
        <f>+'Maestro infraestructura'!B23</f>
        <v>1° Piso</v>
      </c>
      <c r="C24" s="1" t="str">
        <f>+'Maestro infraestructura'!C23</f>
        <v>1° Piso</v>
      </c>
      <c r="D24" s="1" t="str">
        <f>+'Maestro infraestructura'!F23</f>
        <v>Baño alumnos varones</v>
      </c>
      <c r="E24" s="25" t="str">
        <f ca="1">+'Maestro infraestructura'!K23</f>
        <v>Activo</v>
      </c>
      <c r="F24" s="1" t="str">
        <f ca="1">+'Maestro infraestructura'!V23</f>
        <v>VENCIDO</v>
      </c>
      <c r="G24" s="1" t="str">
        <f>+'Maestro infraestructura'!X23</f>
        <v>LEGAL</v>
      </c>
      <c r="H24" s="1">
        <f>+'Maestro infraestructura'!Y23</f>
        <v>2</v>
      </c>
      <c r="I24" s="1"/>
      <c r="J24" s="6">
        <f>+'Maestro infraestructura'!T23</f>
        <v>46258</v>
      </c>
      <c r="K24" s="6">
        <f t="shared" ca="1" si="20"/>
        <v>46258</v>
      </c>
      <c r="L24" s="65" t="s">
        <v>393</v>
      </c>
    </row>
    <row r="25" spans="1:12" x14ac:dyDescent="0.2">
      <c r="A25" s="1" t="str">
        <f>+'Maestro infraestructura'!A24</f>
        <v>CICLO INICIAL</v>
      </c>
      <c r="B25" s="1" t="str">
        <f>+'Maestro infraestructura'!B24</f>
        <v>1° Piso</v>
      </c>
      <c r="C25" s="1" t="str">
        <f>+'Maestro infraestructura'!C24</f>
        <v>1° Piso</v>
      </c>
      <c r="D25" s="1" t="str">
        <f>+'Maestro infraestructura'!F24</f>
        <v>Baño alumnos mujeres</v>
      </c>
      <c r="E25" s="25" t="str">
        <f ca="1">+'Maestro infraestructura'!K24</f>
        <v>Activo</v>
      </c>
      <c r="F25" s="1" t="str">
        <f ca="1">+'Maestro infraestructura'!V24</f>
        <v>VENCIDO</v>
      </c>
      <c r="G25" s="1" t="str">
        <f>+'Maestro infraestructura'!X24</f>
        <v>LEGAL</v>
      </c>
      <c r="H25" s="1">
        <f>+'Maestro infraestructura'!Y24</f>
        <v>2</v>
      </c>
      <c r="I25" s="1"/>
      <c r="J25" s="6">
        <f>+'Maestro infraestructura'!T24</f>
        <v>46258</v>
      </c>
      <c r="K25" s="6">
        <f t="shared" ca="1" si="20"/>
        <v>46258</v>
      </c>
      <c r="L25" s="65" t="s">
        <v>393</v>
      </c>
    </row>
    <row r="26" spans="1:12" x14ac:dyDescent="0.2">
      <c r="A26" s="1" t="str">
        <f>+'Maestro infraestructura'!A25</f>
        <v>CICLO INICIAL</v>
      </c>
      <c r="B26" s="1" t="str">
        <f>+'Maestro infraestructura'!B25</f>
        <v>1° Piso</v>
      </c>
      <c r="C26" s="1" t="str">
        <f>+'Maestro infraestructura'!C25</f>
        <v>1° Piso</v>
      </c>
      <c r="D26" s="1" t="str">
        <f>+'Maestro infraestructura'!F25</f>
        <v xml:space="preserve">Pintura de paredes interior </v>
      </c>
      <c r="E26" s="25" t="str">
        <f ca="1">+'Maestro infraestructura'!K25</f>
        <v>Activo</v>
      </c>
      <c r="F26" s="1" t="str">
        <f ca="1">+'Maestro infraestructura'!V25</f>
        <v>AL DÍA</v>
      </c>
      <c r="G26" s="1" t="str">
        <f>+'Maestro infraestructura'!X25</f>
        <v>GENERAL</v>
      </c>
      <c r="H26" s="1">
        <f>+'Maestro infraestructura'!Y25</f>
        <v>3</v>
      </c>
      <c r="I26" s="1"/>
      <c r="J26" s="6">
        <f>+'Maestro infraestructura'!T25</f>
        <v>47293</v>
      </c>
      <c r="K26" s="6">
        <f t="shared" ca="1" si="20"/>
        <v>47293</v>
      </c>
      <c r="L26" s="65" t="s">
        <v>393</v>
      </c>
    </row>
    <row r="27" spans="1:12" x14ac:dyDescent="0.2">
      <c r="A27" s="1" t="str">
        <f>+'Maestro infraestructura'!A26</f>
        <v>CICLO INICIAL</v>
      </c>
      <c r="B27" s="1" t="str">
        <f>+'Maestro infraestructura'!B26</f>
        <v>1° Piso</v>
      </c>
      <c r="C27" s="1" t="str">
        <f>+'Maestro infraestructura'!C26</f>
        <v>1° Piso</v>
      </c>
      <c r="D27" s="1" t="str">
        <f>+'Maestro infraestructura'!F26</f>
        <v>Siding</v>
      </c>
      <c r="E27" s="25" t="str">
        <f ca="1">+'Maestro infraestructura'!K26</f>
        <v>Activo</v>
      </c>
      <c r="F27" s="1" t="str">
        <f ca="1">+'Maestro infraestructura'!V26</f>
        <v>AL DÍA</v>
      </c>
      <c r="G27" s="1" t="str">
        <f>+'Maestro infraestructura'!X26</f>
        <v>GENERAL</v>
      </c>
      <c r="H27" s="1">
        <f>+'Maestro infraestructura'!Y26</f>
        <v>2</v>
      </c>
      <c r="I27" s="1"/>
      <c r="J27" s="6">
        <f>+'Maestro infraestructura'!T26</f>
        <v>48023</v>
      </c>
      <c r="K27" s="6">
        <f t="shared" ca="1" si="20"/>
        <v>48023</v>
      </c>
      <c r="L27" s="6"/>
    </row>
    <row r="28" spans="1:12" x14ac:dyDescent="0.2">
      <c r="A28" s="1" t="str">
        <f>+'Maestro infraestructura'!A27</f>
        <v>CICLO INICIAL</v>
      </c>
      <c r="B28" s="1" t="str">
        <f>+'Maestro infraestructura'!B27</f>
        <v>1° Piso</v>
      </c>
      <c r="C28" s="1" t="str">
        <f>+'Maestro infraestructura'!C27</f>
        <v xml:space="preserve">Edificio </v>
      </c>
      <c r="D28" s="1" t="str">
        <f>+'Maestro infraestructura'!F27</f>
        <v>Techumbre Ciclo Inicial</v>
      </c>
      <c r="E28" s="25" t="str">
        <f ca="1">+'Maestro infraestructura'!K27</f>
        <v>Activo</v>
      </c>
      <c r="F28" s="1" t="str">
        <f ca="1">+'Maestro infraestructura'!V27</f>
        <v>AL DÍA</v>
      </c>
      <c r="G28" s="1" t="str">
        <f>+'Maestro infraestructura'!X27</f>
        <v>SEGURIDAD</v>
      </c>
      <c r="H28" s="1">
        <f>+'Maestro infraestructura'!Y27</f>
        <v>1</v>
      </c>
      <c r="I28" s="6">
        <f>+'Maestro infraestructura'!S27</f>
        <v>46198</v>
      </c>
      <c r="J28" s="6">
        <f>+'Maestro infraestructura'!T27</f>
        <v>47475.5</v>
      </c>
      <c r="K28" s="6">
        <f t="shared" ca="1" si="20"/>
        <v>47475.5</v>
      </c>
      <c r="L28" s="6"/>
    </row>
    <row r="29" spans="1:12" x14ac:dyDescent="0.2">
      <c r="A29" s="1" t="str">
        <f>+'Maestro infraestructura'!A28</f>
        <v>CICLO INICIAL</v>
      </c>
      <c r="B29" s="1" t="str">
        <f>+'Maestro infraestructura'!B28</f>
        <v>1° Piso</v>
      </c>
      <c r="C29" s="1" t="str">
        <f>+'Maestro infraestructura'!C28</f>
        <v>K1A</v>
      </c>
      <c r="D29" s="1" t="str">
        <f>+'Maestro infraestructura'!F28</f>
        <v>Ventanas</v>
      </c>
      <c r="E29" s="25" t="str">
        <f ca="1">+'Maestro infraestructura'!K28</f>
        <v>Activo</v>
      </c>
      <c r="F29" s="1" t="str">
        <f ca="1">+'Maestro infraestructura'!V28</f>
        <v>AL DÍA</v>
      </c>
      <c r="G29" s="1" t="str">
        <f>+'Maestro infraestructura'!X28</f>
        <v>SEGURIDAD</v>
      </c>
      <c r="H29" s="1">
        <f>+'Maestro infraestructura'!Y28</f>
        <v>2</v>
      </c>
      <c r="I29" s="1"/>
      <c r="J29" s="6">
        <f>+'Maestro infraestructura'!T28</f>
        <v>46563</v>
      </c>
      <c r="K29" s="6">
        <f t="shared" ca="1" si="20"/>
        <v>46563</v>
      </c>
      <c r="L29" s="65" t="s">
        <v>393</v>
      </c>
    </row>
    <row r="30" spans="1:12" x14ac:dyDescent="0.2">
      <c r="A30" s="1" t="str">
        <f>+'Maestro infraestructura'!A29</f>
        <v>CICLO INICIAL</v>
      </c>
      <c r="B30" s="1" t="str">
        <f>+'Maestro infraestructura'!B29</f>
        <v>1° Piso</v>
      </c>
      <c r="C30" s="1" t="str">
        <f>+'Maestro infraestructura'!C29</f>
        <v>K1A</v>
      </c>
      <c r="D30" s="1" t="str">
        <f>+'Maestro infraestructura'!F29</f>
        <v>Radiadores</v>
      </c>
      <c r="E30" s="25" t="str">
        <f ca="1">+'Maestro infraestructura'!K29</f>
        <v>Activo</v>
      </c>
      <c r="F30" s="1" t="str">
        <f ca="1">+'Maestro infraestructura'!V29</f>
        <v>AL DÍA</v>
      </c>
      <c r="G30" s="1" t="str">
        <f>+'Maestro infraestructura'!X29</f>
        <v>GENERAL</v>
      </c>
      <c r="H30" s="1">
        <f>+'Maestro infraestructura'!Y29</f>
        <v>1</v>
      </c>
      <c r="I30" s="1"/>
      <c r="J30" s="6">
        <f>+'Maestro infraestructura'!T29</f>
        <v>46563</v>
      </c>
      <c r="K30" s="6">
        <f t="shared" ca="1" si="20"/>
        <v>46563</v>
      </c>
      <c r="L30" s="6"/>
    </row>
    <row r="31" spans="1:12" x14ac:dyDescent="0.2">
      <c r="A31" s="1" t="str">
        <f>+'Maestro infraestructura'!A30</f>
        <v>CICLO INICIAL</v>
      </c>
      <c r="B31" s="1" t="str">
        <f>+'Maestro infraestructura'!B30</f>
        <v>1° Piso</v>
      </c>
      <c r="C31" s="1" t="str">
        <f>+'Maestro infraestructura'!C30</f>
        <v>K1A</v>
      </c>
      <c r="D31" s="1" t="str">
        <f>+'Maestro infraestructura'!F30</f>
        <v>Piso</v>
      </c>
      <c r="E31" s="25" t="str">
        <f ca="1">+'Maestro infraestructura'!K30</f>
        <v>Activo</v>
      </c>
      <c r="F31" s="1" t="str">
        <f ca="1">+'Maestro infraestructura'!V30</f>
        <v>AL DÍA</v>
      </c>
      <c r="G31" s="1" t="str">
        <f>+'Maestro infraestructura'!X30</f>
        <v>GENERAL</v>
      </c>
      <c r="H31" s="1">
        <f>+'Maestro infraestructura'!Y30</f>
        <v>2</v>
      </c>
      <c r="I31" s="1"/>
      <c r="J31" s="6">
        <f>+'Maestro infraestructura'!T30</f>
        <v>46563</v>
      </c>
      <c r="K31" s="6">
        <f t="shared" ca="1" si="20"/>
        <v>46563</v>
      </c>
      <c r="L31" s="65" t="s">
        <v>393</v>
      </c>
    </row>
    <row r="32" spans="1:12" x14ac:dyDescent="0.2">
      <c r="A32" s="1" t="str">
        <f>+'Maestro infraestructura'!A31</f>
        <v>CICLO INICIAL</v>
      </c>
      <c r="B32" s="1" t="str">
        <f>+'Maestro infraestructura'!B31</f>
        <v>1° Piso</v>
      </c>
      <c r="C32" s="1" t="str">
        <f>+'Maestro infraestructura'!C31</f>
        <v>K1A</v>
      </c>
      <c r="D32" s="1" t="str">
        <f>+'Maestro infraestructura'!F31</f>
        <v>Enchufes</v>
      </c>
      <c r="E32" s="25" t="str">
        <f ca="1">+'Maestro infraestructura'!K31</f>
        <v>Activo</v>
      </c>
      <c r="F32" s="1" t="str">
        <f ca="1">+'Maestro infraestructura'!V31</f>
        <v>AL DÍA</v>
      </c>
      <c r="G32" s="1" t="str">
        <f>+'Maestro infraestructura'!X31</f>
        <v>GENERAL</v>
      </c>
      <c r="H32" s="1">
        <f>+'Maestro infraestructura'!Y31</f>
        <v>2</v>
      </c>
      <c r="I32" s="6">
        <f>+'Maestro infraestructura'!S31</f>
        <v>46198</v>
      </c>
      <c r="J32" s="6">
        <f>+'Maestro infraestructura'!T31</f>
        <v>46563</v>
      </c>
      <c r="K32" s="6">
        <f t="shared" ca="1" si="20"/>
        <v>46563</v>
      </c>
      <c r="L32" s="65" t="s">
        <v>393</v>
      </c>
    </row>
    <row r="33" spans="1:12" x14ac:dyDescent="0.2">
      <c r="A33" s="1" t="str">
        <f>+'Maestro infraestructura'!A32</f>
        <v>CICLO INICIAL</v>
      </c>
      <c r="B33" s="1" t="str">
        <f>+'Maestro infraestructura'!B32</f>
        <v>1° Piso</v>
      </c>
      <c r="C33" s="1" t="str">
        <f>+'Maestro infraestructura'!C32</f>
        <v>K1A</v>
      </c>
      <c r="D33" s="1" t="str">
        <f>+'Maestro infraestructura'!F32</f>
        <v>TV</v>
      </c>
      <c r="E33" s="25" t="str">
        <f ca="1">+'Maestro infraestructura'!K32</f>
        <v>Activo</v>
      </c>
      <c r="F33" s="1" t="str">
        <f ca="1">+'Maestro infraestructura'!V32</f>
        <v>AL DÍA</v>
      </c>
      <c r="G33" s="1" t="str">
        <f>+'Maestro infraestructura'!X32</f>
        <v>OPERACIÓN</v>
      </c>
      <c r="H33" s="1">
        <f>+'Maestro infraestructura'!Y32</f>
        <v>2</v>
      </c>
      <c r="I33" s="6">
        <f>+'Maestro infraestructura'!S32</f>
        <v>46198</v>
      </c>
      <c r="J33" s="6">
        <f>+'Maestro infraestructura'!T32</f>
        <v>46563</v>
      </c>
      <c r="K33" s="6">
        <f t="shared" ca="1" si="20"/>
        <v>46563</v>
      </c>
      <c r="L33" s="65" t="s">
        <v>393</v>
      </c>
    </row>
    <row r="34" spans="1:12" x14ac:dyDescent="0.2">
      <c r="A34" s="1" t="str">
        <f>+'Maestro infraestructura'!A33</f>
        <v>CICLO INICIAL</v>
      </c>
      <c r="B34" s="1" t="str">
        <f>+'Maestro infraestructura'!B33</f>
        <v>1° Piso</v>
      </c>
      <c r="C34" s="1" t="str">
        <f>+'Maestro infraestructura'!C33</f>
        <v>K1A</v>
      </c>
      <c r="D34" s="1" t="str">
        <f>+'Maestro infraestructura'!F33</f>
        <v>Pizarra</v>
      </c>
      <c r="E34" s="25" t="str">
        <f ca="1">+'Maestro infraestructura'!K33</f>
        <v>Activo</v>
      </c>
      <c r="F34" s="1" t="str">
        <f ca="1">+'Maestro infraestructura'!V33</f>
        <v>AL DÍA</v>
      </c>
      <c r="G34" s="1" t="str">
        <f>+'Maestro infraestructura'!X33</f>
        <v>OPERACIÓN</v>
      </c>
      <c r="H34" s="1">
        <f>+'Maestro infraestructura'!Y33</f>
        <v>2</v>
      </c>
      <c r="I34" s="1"/>
      <c r="J34" s="6">
        <f>+'Maestro infraestructura'!T33</f>
        <v>46563</v>
      </c>
      <c r="K34" s="6">
        <f t="shared" ca="1" si="20"/>
        <v>46563</v>
      </c>
      <c r="L34" s="65" t="s">
        <v>393</v>
      </c>
    </row>
    <row r="35" spans="1:12" x14ac:dyDescent="0.2">
      <c r="A35" s="1" t="str">
        <f>+'Maestro infraestructura'!A34</f>
        <v>CICLO INICIAL</v>
      </c>
      <c r="B35" s="1" t="str">
        <f>+'Maestro infraestructura'!B34</f>
        <v>1° Piso</v>
      </c>
      <c r="C35" s="1" t="str">
        <f>+'Maestro infraestructura'!C34</f>
        <v>K1A</v>
      </c>
      <c r="D35" s="1" t="str">
        <f>+'Maestro infraestructura'!F34</f>
        <v>Puertas</v>
      </c>
      <c r="E35" s="25" t="str">
        <f ca="1">+'Maestro infraestructura'!K34</f>
        <v>Activo</v>
      </c>
      <c r="F35" s="1" t="str">
        <f ca="1">+'Maestro infraestructura'!V34</f>
        <v>AL DÍA</v>
      </c>
      <c r="G35" s="1" t="str">
        <f>+'Maestro infraestructura'!X34</f>
        <v>GENERAL</v>
      </c>
      <c r="H35" s="1">
        <f>+'Maestro infraestructura'!Y34</f>
        <v>2</v>
      </c>
      <c r="I35" s="1"/>
      <c r="J35" s="6">
        <f>+'Maestro infraestructura'!T34</f>
        <v>46563</v>
      </c>
      <c r="K35" s="6">
        <f t="shared" ca="1" si="20"/>
        <v>46563</v>
      </c>
      <c r="L35" s="65" t="s">
        <v>393</v>
      </c>
    </row>
    <row r="36" spans="1:12" x14ac:dyDescent="0.2">
      <c r="A36" s="1" t="str">
        <f>+'Maestro infraestructura'!A35</f>
        <v>CICLO INICIAL</v>
      </c>
      <c r="B36" s="1" t="str">
        <f>+'Maestro infraestructura'!B35</f>
        <v>1° Piso</v>
      </c>
      <c r="C36" s="1" t="str">
        <f>+'Maestro infraestructura'!C35</f>
        <v>K1B</v>
      </c>
      <c r="D36" s="1" t="str">
        <f>+'Maestro infraestructura'!F35</f>
        <v>Ventanas</v>
      </c>
      <c r="E36" s="25" t="str">
        <f ca="1">+'Maestro infraestructura'!K35</f>
        <v>Activo</v>
      </c>
      <c r="F36" s="1" t="str">
        <f ca="1">+'Maestro infraestructura'!V35</f>
        <v>AL DÍA</v>
      </c>
      <c r="G36" s="1" t="str">
        <f>+'Maestro infraestructura'!X35</f>
        <v>SEGURIDAD</v>
      </c>
      <c r="H36" s="1">
        <f>+'Maestro infraestructura'!Y35</f>
        <v>2</v>
      </c>
      <c r="I36" s="1"/>
      <c r="J36" s="6">
        <f>+'Maestro infraestructura'!T35</f>
        <v>46563</v>
      </c>
      <c r="K36" s="6">
        <f t="shared" ca="1" si="20"/>
        <v>46563</v>
      </c>
      <c r="L36" s="65" t="s">
        <v>393</v>
      </c>
    </row>
    <row r="37" spans="1:12" x14ac:dyDescent="0.2">
      <c r="A37" s="1" t="str">
        <f>+'Maestro infraestructura'!A36</f>
        <v>CICLO INICIAL</v>
      </c>
      <c r="B37" s="1" t="str">
        <f>+'Maestro infraestructura'!B36</f>
        <v>1° Piso</v>
      </c>
      <c r="C37" s="1" t="str">
        <f>+'Maestro infraestructura'!C36</f>
        <v>K1B</v>
      </c>
      <c r="D37" s="1" t="str">
        <f>+'Maestro infraestructura'!F36</f>
        <v>Radiadores</v>
      </c>
      <c r="E37" s="25" t="str">
        <f ca="1">+'Maestro infraestructura'!K36</f>
        <v>Activo</v>
      </c>
      <c r="F37" s="1" t="str">
        <f ca="1">+'Maestro infraestructura'!V36</f>
        <v>AL DÍA</v>
      </c>
      <c r="G37" s="1" t="str">
        <f>+'Maestro infraestructura'!X36</f>
        <v>GENERAL</v>
      </c>
      <c r="H37" s="1">
        <f>+'Maestro infraestructura'!Y36</f>
        <v>1</v>
      </c>
      <c r="I37" s="1"/>
      <c r="J37" s="6">
        <f>+'Maestro infraestructura'!T36</f>
        <v>46563</v>
      </c>
      <c r="K37" s="6">
        <f t="shared" ca="1" si="20"/>
        <v>46563</v>
      </c>
      <c r="L37" s="65" t="s">
        <v>393</v>
      </c>
    </row>
    <row r="38" spans="1:12" x14ac:dyDescent="0.2">
      <c r="A38" s="1" t="str">
        <f>+'Maestro infraestructura'!A37</f>
        <v>CICLO INICIAL</v>
      </c>
      <c r="B38" s="1" t="str">
        <f>+'Maestro infraestructura'!B37</f>
        <v>1° Piso</v>
      </c>
      <c r="C38" s="1" t="str">
        <f>+'Maestro infraestructura'!C37</f>
        <v>K1B</v>
      </c>
      <c r="D38" s="1" t="str">
        <f>+'Maestro infraestructura'!F37</f>
        <v>Piso</v>
      </c>
      <c r="E38" s="25" t="str">
        <f ca="1">+'Maestro infraestructura'!K37</f>
        <v>Activo</v>
      </c>
      <c r="F38" s="1" t="str">
        <f ca="1">+'Maestro infraestructura'!V37</f>
        <v>AL DÍA</v>
      </c>
      <c r="G38" s="1" t="str">
        <f>+'Maestro infraestructura'!X37</f>
        <v>GENERAL</v>
      </c>
      <c r="H38" s="1">
        <f>+'Maestro infraestructura'!Y37</f>
        <v>2</v>
      </c>
      <c r="I38" s="6">
        <f>+'Maestro infraestructura'!S37</f>
        <v>46198</v>
      </c>
      <c r="J38" s="6">
        <f>+'Maestro infraestructura'!T37</f>
        <v>46563</v>
      </c>
      <c r="K38" s="6">
        <f t="shared" ca="1" si="20"/>
        <v>46563</v>
      </c>
      <c r="L38" s="65" t="s">
        <v>392</v>
      </c>
    </row>
    <row r="39" spans="1:12" x14ac:dyDescent="0.2">
      <c r="A39" s="1" t="str">
        <f>+'Maestro infraestructura'!A38</f>
        <v>CICLO INICIAL</v>
      </c>
      <c r="B39" s="1" t="str">
        <f>+'Maestro infraestructura'!B38</f>
        <v>1° Piso</v>
      </c>
      <c r="C39" s="1" t="str">
        <f>+'Maestro infraestructura'!C38</f>
        <v>K1B</v>
      </c>
      <c r="D39" s="1" t="str">
        <f>+'Maestro infraestructura'!F38</f>
        <v>Enchufes</v>
      </c>
      <c r="E39" s="25" t="str">
        <f ca="1">+'Maestro infraestructura'!K38</f>
        <v>Activo</v>
      </c>
      <c r="F39" s="1" t="str">
        <f ca="1">+'Maestro infraestructura'!V38</f>
        <v>AL DÍA</v>
      </c>
      <c r="G39" s="1" t="str">
        <f>+'Maestro infraestructura'!X38</f>
        <v>GENERAL</v>
      </c>
      <c r="H39" s="1">
        <f>+'Maestro infraestructura'!Y38</f>
        <v>2</v>
      </c>
      <c r="I39" s="6">
        <f>+'Maestro infraestructura'!S38</f>
        <v>46198</v>
      </c>
      <c r="J39" s="6">
        <f>+'Maestro infraestructura'!T38</f>
        <v>46563</v>
      </c>
      <c r="K39" s="6">
        <f t="shared" ca="1" si="20"/>
        <v>46563</v>
      </c>
      <c r="L39" s="65" t="s">
        <v>392</v>
      </c>
    </row>
    <row r="40" spans="1:12" x14ac:dyDescent="0.2">
      <c r="A40" s="1" t="str">
        <f>+'Maestro infraestructura'!A39</f>
        <v>CICLO INICIAL</v>
      </c>
      <c r="B40" s="1" t="str">
        <f>+'Maestro infraestructura'!B39</f>
        <v>1° Piso</v>
      </c>
      <c r="C40" s="1" t="str">
        <f>+'Maestro infraestructura'!C39</f>
        <v>K1B</v>
      </c>
      <c r="D40" s="1" t="str">
        <f>+'Maestro infraestructura'!F39</f>
        <v>TV</v>
      </c>
      <c r="E40" s="25" t="str">
        <f ca="1">+'Maestro infraestructura'!K39</f>
        <v>Activo</v>
      </c>
      <c r="F40" s="1" t="str">
        <f ca="1">+'Maestro infraestructura'!V39</f>
        <v>AL DÍA</v>
      </c>
      <c r="G40" s="1" t="str">
        <f>+'Maestro infraestructura'!X39</f>
        <v>OPERACIÓN</v>
      </c>
      <c r="H40" s="1">
        <f>+'Maestro infraestructura'!Y39</f>
        <v>2</v>
      </c>
      <c r="I40" s="1"/>
      <c r="J40" s="6">
        <f>+'Maestro infraestructura'!T39</f>
        <v>46563</v>
      </c>
      <c r="K40" s="6">
        <f t="shared" ca="1" si="20"/>
        <v>46563</v>
      </c>
      <c r="L40" s="6"/>
    </row>
    <row r="41" spans="1:12" x14ac:dyDescent="0.2">
      <c r="A41" s="1" t="str">
        <f>+'Maestro infraestructura'!A40</f>
        <v>CICLO INICIAL</v>
      </c>
      <c r="B41" s="1" t="str">
        <f>+'Maestro infraestructura'!B40</f>
        <v>1° Piso</v>
      </c>
      <c r="C41" s="1" t="str">
        <f>+'Maestro infraestructura'!C40</f>
        <v>K1B</v>
      </c>
      <c r="D41" s="1" t="str">
        <f>+'Maestro infraestructura'!F40</f>
        <v>Pizarra</v>
      </c>
      <c r="E41" s="25" t="str">
        <f ca="1">+'Maestro infraestructura'!K40</f>
        <v>Activo</v>
      </c>
      <c r="F41" s="1" t="str">
        <f ca="1">+'Maestro infraestructura'!V40</f>
        <v>AL DÍA</v>
      </c>
      <c r="G41" s="1" t="str">
        <f>+'Maestro infraestructura'!X40</f>
        <v>OPERACIÓN</v>
      </c>
      <c r="H41" s="1">
        <f>+'Maestro infraestructura'!Y40</f>
        <v>2</v>
      </c>
      <c r="I41" s="1"/>
      <c r="J41" s="6">
        <f>+'Maestro infraestructura'!T40</f>
        <v>46563</v>
      </c>
      <c r="K41" s="6">
        <f t="shared" ca="1" si="20"/>
        <v>46563</v>
      </c>
      <c r="L41" s="6"/>
    </row>
    <row r="42" spans="1:12" x14ac:dyDescent="0.2">
      <c r="A42" s="1" t="str">
        <f>+'Maestro infraestructura'!A41</f>
        <v>CICLO INICIAL</v>
      </c>
      <c r="B42" s="1" t="str">
        <f>+'Maestro infraestructura'!B41</f>
        <v>1° Piso</v>
      </c>
      <c r="C42" s="1" t="str">
        <f>+'Maestro infraestructura'!C41</f>
        <v>K1B</v>
      </c>
      <c r="D42" s="1" t="str">
        <f>+'Maestro infraestructura'!F41</f>
        <v>Puertas</v>
      </c>
      <c r="E42" s="25" t="str">
        <f ca="1">+'Maestro infraestructura'!K41</f>
        <v>Activo</v>
      </c>
      <c r="F42" s="1" t="str">
        <f ca="1">+'Maestro infraestructura'!V41</f>
        <v>AL DÍA</v>
      </c>
      <c r="G42" s="1" t="str">
        <f>+'Maestro infraestructura'!X41</f>
        <v>GENERAL</v>
      </c>
      <c r="H42" s="1">
        <f>+'Maestro infraestructura'!Y41</f>
        <v>2</v>
      </c>
      <c r="I42" s="1"/>
      <c r="J42" s="6">
        <f>+'Maestro infraestructura'!T41</f>
        <v>46563</v>
      </c>
      <c r="K42" s="6">
        <f t="shared" ca="1" si="20"/>
        <v>46563</v>
      </c>
      <c r="L42" s="6"/>
    </row>
    <row r="43" spans="1:12" x14ac:dyDescent="0.2">
      <c r="A43" s="1" t="str">
        <f>+'Maestro infraestructura'!A42</f>
        <v>CICLO INICIAL</v>
      </c>
      <c r="B43" s="1" t="str">
        <f>+'Maestro infraestructura'!B42</f>
        <v>1° Piso</v>
      </c>
      <c r="C43" s="1" t="str">
        <f>+'Maestro infraestructura'!C42</f>
        <v>K1C</v>
      </c>
      <c r="D43" s="1" t="str">
        <f>+'Maestro infraestructura'!F42</f>
        <v>Ventanas</v>
      </c>
      <c r="E43" s="25" t="str">
        <f ca="1">+'Maestro infraestructura'!K42</f>
        <v>Activo</v>
      </c>
      <c r="F43" s="1" t="str">
        <f ca="1">+'Maestro infraestructura'!V42</f>
        <v>AL DÍA</v>
      </c>
      <c r="G43" s="1" t="str">
        <f>+'Maestro infraestructura'!X42</f>
        <v>SEGURIDAD</v>
      </c>
      <c r="H43" s="1">
        <f>+'Maestro infraestructura'!Y42</f>
        <v>2</v>
      </c>
      <c r="I43" s="1"/>
      <c r="J43" s="6">
        <f>+'Maestro infraestructura'!T42</f>
        <v>46563</v>
      </c>
      <c r="K43" s="6">
        <f t="shared" ca="1" si="20"/>
        <v>46563</v>
      </c>
      <c r="L43" s="6"/>
    </row>
    <row r="44" spans="1:12" x14ac:dyDescent="0.2">
      <c r="A44" s="1" t="str">
        <f>+'Maestro infraestructura'!A43</f>
        <v>CICLO INICIAL</v>
      </c>
      <c r="B44" s="1" t="str">
        <f>+'Maestro infraestructura'!B43</f>
        <v>1° Piso</v>
      </c>
      <c r="C44" s="1" t="str">
        <f>+'Maestro infraestructura'!C43</f>
        <v>K1C</v>
      </c>
      <c r="D44" s="1" t="str">
        <f>+'Maestro infraestructura'!F43</f>
        <v>Radiadores</v>
      </c>
      <c r="E44" s="25" t="str">
        <f ca="1">+'Maestro infraestructura'!K43</f>
        <v>Activo</v>
      </c>
      <c r="F44" s="1" t="str">
        <f ca="1">+'Maestro infraestructura'!V43</f>
        <v>AL DÍA</v>
      </c>
      <c r="G44" s="1" t="str">
        <f>+'Maestro infraestructura'!X43</f>
        <v>GENERAL</v>
      </c>
      <c r="H44" s="1">
        <f>+'Maestro infraestructura'!Y43</f>
        <v>1</v>
      </c>
      <c r="I44" s="1"/>
      <c r="J44" s="6">
        <f>+'Maestro infraestructura'!T43</f>
        <v>46563</v>
      </c>
      <c r="K44" s="6">
        <f t="shared" ca="1" si="20"/>
        <v>46563</v>
      </c>
      <c r="L44" s="6"/>
    </row>
    <row r="45" spans="1:12" x14ac:dyDescent="0.2">
      <c r="A45" s="1" t="str">
        <f>+'Maestro infraestructura'!A44</f>
        <v>CICLO INICIAL</v>
      </c>
      <c r="B45" s="1" t="str">
        <f>+'Maestro infraestructura'!B44</f>
        <v>1° Piso</v>
      </c>
      <c r="C45" s="1" t="str">
        <f>+'Maestro infraestructura'!C44</f>
        <v>K1C</v>
      </c>
      <c r="D45" s="1" t="str">
        <f>+'Maestro infraestructura'!F44</f>
        <v>Piso</v>
      </c>
      <c r="E45" s="25" t="str">
        <f ca="1">+'Maestro infraestructura'!K44</f>
        <v>Activo</v>
      </c>
      <c r="F45" s="1" t="str">
        <f ca="1">+'Maestro infraestructura'!V44</f>
        <v>AL DÍA</v>
      </c>
      <c r="G45" s="1" t="str">
        <f>+'Maestro infraestructura'!X44</f>
        <v>GENERAL</v>
      </c>
      <c r="H45" s="1">
        <f>+'Maestro infraestructura'!Y44</f>
        <v>2</v>
      </c>
      <c r="I45" s="1"/>
      <c r="J45" s="6">
        <f>+'Maestro infraestructura'!T44</f>
        <v>46563</v>
      </c>
      <c r="K45" s="6">
        <f t="shared" ca="1" si="20"/>
        <v>46563</v>
      </c>
      <c r="L45" s="6"/>
    </row>
    <row r="46" spans="1:12" x14ac:dyDescent="0.2">
      <c r="A46" s="1" t="str">
        <f>+'Maestro infraestructura'!A45</f>
        <v>CICLO INICIAL</v>
      </c>
      <c r="B46" s="1" t="str">
        <f>+'Maestro infraestructura'!B45</f>
        <v>1° Piso</v>
      </c>
      <c r="C46" s="1" t="str">
        <f>+'Maestro infraestructura'!C45</f>
        <v>K1C</v>
      </c>
      <c r="D46" s="1" t="str">
        <f>+'Maestro infraestructura'!F45</f>
        <v>Enchufes</v>
      </c>
      <c r="E46" s="25" t="str">
        <f ca="1">+'Maestro infraestructura'!K45</f>
        <v>Activo</v>
      </c>
      <c r="F46" s="1" t="str">
        <f ca="1">+'Maestro infraestructura'!V45</f>
        <v>AL DÍA</v>
      </c>
      <c r="G46" s="1" t="str">
        <f>+'Maestro infraestructura'!X45</f>
        <v>GENERAL</v>
      </c>
      <c r="H46" s="1">
        <f>+'Maestro infraestructura'!Y45</f>
        <v>2</v>
      </c>
      <c r="I46" s="1"/>
      <c r="J46" s="6">
        <f>+'Maestro infraestructura'!T45</f>
        <v>46563</v>
      </c>
      <c r="K46" s="6">
        <f t="shared" ca="1" si="20"/>
        <v>46563</v>
      </c>
      <c r="L46" s="6"/>
    </row>
    <row r="47" spans="1:12" x14ac:dyDescent="0.2">
      <c r="A47" s="1" t="str">
        <f>+'Maestro infraestructura'!A46</f>
        <v>CICLO INICIAL</v>
      </c>
      <c r="B47" s="1" t="str">
        <f>+'Maestro infraestructura'!B46</f>
        <v>1° Piso</v>
      </c>
      <c r="C47" s="1" t="str">
        <f>+'Maestro infraestructura'!C46</f>
        <v>K1C</v>
      </c>
      <c r="D47" s="1" t="str">
        <f>+'Maestro infraestructura'!F46</f>
        <v>TV</v>
      </c>
      <c r="E47" s="25" t="str">
        <f ca="1">+'Maestro infraestructura'!K46</f>
        <v>Activo</v>
      </c>
      <c r="F47" s="1" t="str">
        <f ca="1">+'Maestro infraestructura'!V46</f>
        <v>AL DÍA</v>
      </c>
      <c r="G47" s="1" t="str">
        <f>+'Maestro infraestructura'!X46</f>
        <v>OPERACIÓN</v>
      </c>
      <c r="H47" s="1">
        <f>+'Maestro infraestructura'!Y46</f>
        <v>2</v>
      </c>
      <c r="I47" s="6">
        <f>+'Maestro infraestructura'!S46</f>
        <v>46198</v>
      </c>
      <c r="J47" s="6">
        <f>+'Maestro infraestructura'!T46</f>
        <v>46563</v>
      </c>
      <c r="K47" s="6">
        <f t="shared" ca="1" si="20"/>
        <v>46563</v>
      </c>
      <c r="L47" s="6"/>
    </row>
    <row r="48" spans="1:12" x14ac:dyDescent="0.2">
      <c r="A48" s="1" t="str">
        <f>+'Maestro infraestructura'!A47</f>
        <v>CICLO INICIAL</v>
      </c>
      <c r="B48" s="1" t="str">
        <f>+'Maestro infraestructura'!B47</f>
        <v>1° Piso</v>
      </c>
      <c r="C48" s="1" t="str">
        <f>+'Maestro infraestructura'!C47</f>
        <v>K1C</v>
      </c>
      <c r="D48" s="1" t="str">
        <f>+'Maestro infraestructura'!F47</f>
        <v>Pizarra</v>
      </c>
      <c r="E48" s="25" t="str">
        <f ca="1">+'Maestro infraestructura'!K47</f>
        <v>Activo</v>
      </c>
      <c r="F48" s="1" t="str">
        <f ca="1">+'Maestro infraestructura'!V47</f>
        <v>AL DÍA</v>
      </c>
      <c r="G48" s="1" t="str">
        <f>+'Maestro infraestructura'!X47</f>
        <v>OPERACIÓN</v>
      </c>
      <c r="H48" s="1">
        <f>+'Maestro infraestructura'!Y47</f>
        <v>2</v>
      </c>
      <c r="I48" s="6">
        <f>+'Maestro infraestructura'!S47</f>
        <v>46198</v>
      </c>
      <c r="J48" s="6">
        <f>+'Maestro infraestructura'!T47</f>
        <v>46563</v>
      </c>
      <c r="K48" s="6">
        <f t="shared" ca="1" si="20"/>
        <v>46563</v>
      </c>
      <c r="L48" s="65" t="s">
        <v>392</v>
      </c>
    </row>
    <row r="49" spans="1:12" x14ac:dyDescent="0.2">
      <c r="A49" s="1" t="str">
        <f>+'Maestro infraestructura'!A48</f>
        <v>CICLO INICIAL</v>
      </c>
      <c r="B49" s="1" t="str">
        <f>+'Maestro infraestructura'!B48</f>
        <v>1° Piso</v>
      </c>
      <c r="C49" s="1" t="str">
        <f>+'Maestro infraestructura'!C48</f>
        <v>K1C</v>
      </c>
      <c r="D49" s="1" t="str">
        <f>+'Maestro infraestructura'!F48</f>
        <v>Puertas</v>
      </c>
      <c r="E49" s="25" t="str">
        <f ca="1">+'Maestro infraestructura'!K48</f>
        <v>Activo</v>
      </c>
      <c r="F49" s="1" t="str">
        <f ca="1">+'Maestro infraestructura'!V48</f>
        <v>AL DÍA</v>
      </c>
      <c r="G49" s="1" t="str">
        <f>+'Maestro infraestructura'!X48</f>
        <v>GENERAL</v>
      </c>
      <c r="H49" s="1">
        <f>+'Maestro infraestructura'!Y48</f>
        <v>2</v>
      </c>
      <c r="I49" s="1"/>
      <c r="J49" s="6">
        <f>+'Maestro infraestructura'!T48</f>
        <v>46563</v>
      </c>
      <c r="K49" s="6">
        <f t="shared" ca="1" si="20"/>
        <v>46563</v>
      </c>
      <c r="L49" s="6"/>
    </row>
    <row r="50" spans="1:12" x14ac:dyDescent="0.2">
      <c r="A50" s="1" t="str">
        <f>+'Maestro infraestructura'!A49</f>
        <v>CICLO INICIAL</v>
      </c>
      <c r="B50" s="1" t="str">
        <f>+'Maestro infraestructura'!B49</f>
        <v>1° Piso</v>
      </c>
      <c r="C50" s="1" t="str">
        <f>+'Maestro infraestructura'!C49</f>
        <v>K1D</v>
      </c>
      <c r="D50" s="1" t="str">
        <f>+'Maestro infraestructura'!F49</f>
        <v>Ventanas</v>
      </c>
      <c r="E50" s="25" t="str">
        <f ca="1">+'Maestro infraestructura'!K49</f>
        <v>Activo</v>
      </c>
      <c r="F50" s="1" t="str">
        <f ca="1">+'Maestro infraestructura'!V49</f>
        <v>AL DÍA</v>
      </c>
      <c r="G50" s="1" t="str">
        <f>+'Maestro infraestructura'!X49</f>
        <v>SEGURIDAD</v>
      </c>
      <c r="H50" s="1">
        <f>+'Maestro infraestructura'!Y49</f>
        <v>2</v>
      </c>
      <c r="I50" s="1"/>
      <c r="J50" s="6">
        <f>+'Maestro infraestructura'!T49</f>
        <v>46563</v>
      </c>
      <c r="K50" s="6">
        <f t="shared" ca="1" si="20"/>
        <v>46563</v>
      </c>
      <c r="L50" s="6"/>
    </row>
    <row r="51" spans="1:12" x14ac:dyDescent="0.2">
      <c r="A51" s="1" t="str">
        <f>+'Maestro infraestructura'!A50</f>
        <v>CICLO INICIAL</v>
      </c>
      <c r="B51" s="1" t="str">
        <f>+'Maestro infraestructura'!B50</f>
        <v>1° Piso</v>
      </c>
      <c r="C51" s="1" t="str">
        <f>+'Maestro infraestructura'!C50</f>
        <v>K1D</v>
      </c>
      <c r="D51" s="1" t="str">
        <f>+'Maestro infraestructura'!F50</f>
        <v>Radiadores</v>
      </c>
      <c r="E51" s="25" t="str">
        <f ca="1">+'Maestro infraestructura'!K50</f>
        <v>Activo</v>
      </c>
      <c r="F51" s="1" t="str">
        <f ca="1">+'Maestro infraestructura'!V50</f>
        <v>AL DÍA</v>
      </c>
      <c r="G51" s="1" t="str">
        <f>+'Maestro infraestructura'!X50</f>
        <v>GENERAL</v>
      </c>
      <c r="H51" s="1">
        <f>+'Maestro infraestructura'!Y50</f>
        <v>1</v>
      </c>
      <c r="I51" s="1"/>
      <c r="J51" s="6">
        <f>+'Maestro infraestructura'!T50</f>
        <v>46563</v>
      </c>
      <c r="K51" s="6">
        <f t="shared" ca="1" si="20"/>
        <v>46563</v>
      </c>
      <c r="L51" s="6"/>
    </row>
    <row r="52" spans="1:12" x14ac:dyDescent="0.2">
      <c r="A52" s="1" t="str">
        <f>+'Maestro infraestructura'!A51</f>
        <v>CICLO INICIAL</v>
      </c>
      <c r="B52" s="1" t="str">
        <f>+'Maestro infraestructura'!B51</f>
        <v>1° Piso</v>
      </c>
      <c r="C52" s="1" t="str">
        <f>+'Maestro infraestructura'!C51</f>
        <v>K1D</v>
      </c>
      <c r="D52" s="1" t="str">
        <f>+'Maestro infraestructura'!F51</f>
        <v>Piso</v>
      </c>
      <c r="E52" s="25" t="str">
        <f ca="1">+'Maestro infraestructura'!K51</f>
        <v>Activo</v>
      </c>
      <c r="F52" s="1" t="str">
        <f ca="1">+'Maestro infraestructura'!V51</f>
        <v>AL DÍA</v>
      </c>
      <c r="G52" s="1" t="str">
        <f>+'Maestro infraestructura'!X51</f>
        <v>GENERAL</v>
      </c>
      <c r="H52" s="1">
        <f>+'Maestro infraestructura'!Y51</f>
        <v>2</v>
      </c>
      <c r="I52" s="1"/>
      <c r="J52" s="6">
        <f>+'Maestro infraestructura'!T51</f>
        <v>46563</v>
      </c>
      <c r="K52" s="6">
        <f t="shared" ca="1" si="20"/>
        <v>46563</v>
      </c>
      <c r="L52" s="6"/>
    </row>
    <row r="53" spans="1:12" x14ac:dyDescent="0.2">
      <c r="A53" s="1" t="str">
        <f>+'Maestro infraestructura'!A52</f>
        <v>CICLO INICIAL</v>
      </c>
      <c r="B53" s="1" t="str">
        <f>+'Maestro infraestructura'!B52</f>
        <v>1° Piso</v>
      </c>
      <c r="C53" s="1" t="str">
        <f>+'Maestro infraestructura'!C52</f>
        <v>K1D</v>
      </c>
      <c r="D53" s="1" t="str">
        <f>+'Maestro infraestructura'!F52</f>
        <v>Enchufes</v>
      </c>
      <c r="E53" s="25" t="str">
        <f ca="1">+'Maestro infraestructura'!K52</f>
        <v>Activo</v>
      </c>
      <c r="F53" s="1" t="str">
        <f ca="1">+'Maestro infraestructura'!V52</f>
        <v>AL DÍA</v>
      </c>
      <c r="G53" s="1" t="str">
        <f>+'Maestro infraestructura'!X52</f>
        <v>GENERAL</v>
      </c>
      <c r="H53" s="1">
        <f>+'Maestro infraestructura'!Y52</f>
        <v>2</v>
      </c>
      <c r="I53" s="1"/>
      <c r="J53" s="6">
        <f>+'Maestro infraestructura'!T52</f>
        <v>46563</v>
      </c>
      <c r="K53" s="6">
        <f t="shared" ca="1" si="20"/>
        <v>46563</v>
      </c>
      <c r="L53" s="6"/>
    </row>
    <row r="54" spans="1:12" x14ac:dyDescent="0.2">
      <c r="A54" s="1" t="str">
        <f>+'Maestro infraestructura'!A53</f>
        <v>CICLO INICIAL</v>
      </c>
      <c r="B54" s="1" t="str">
        <f>+'Maestro infraestructura'!B53</f>
        <v>1° Piso</v>
      </c>
      <c r="C54" s="1" t="str">
        <f>+'Maestro infraestructura'!C53</f>
        <v>K1D</v>
      </c>
      <c r="D54" s="1" t="str">
        <f>+'Maestro infraestructura'!F53</f>
        <v>TV</v>
      </c>
      <c r="E54" s="25" t="str">
        <f ca="1">+'Maestro infraestructura'!K53</f>
        <v>Activo</v>
      </c>
      <c r="F54" s="1" t="str">
        <f ca="1">+'Maestro infraestructura'!V53</f>
        <v>AL DÍA</v>
      </c>
      <c r="G54" s="1" t="str">
        <f>+'Maestro infraestructura'!X53</f>
        <v>OPERACIÓN</v>
      </c>
      <c r="H54" s="1">
        <f>+'Maestro infraestructura'!Y53</f>
        <v>2</v>
      </c>
      <c r="I54" s="1"/>
      <c r="J54" s="6">
        <f>+'Maestro infraestructura'!T53</f>
        <v>46563</v>
      </c>
      <c r="K54" s="6">
        <f t="shared" ca="1" si="20"/>
        <v>46563</v>
      </c>
      <c r="L54" s="65" t="s">
        <v>393</v>
      </c>
    </row>
    <row r="55" spans="1:12" x14ac:dyDescent="0.2">
      <c r="A55" s="1" t="str">
        <f>+'Maestro infraestructura'!A54</f>
        <v>CICLO INICIAL</v>
      </c>
      <c r="B55" s="1" t="str">
        <f>+'Maestro infraestructura'!B54</f>
        <v>1° Piso</v>
      </c>
      <c r="C55" s="1" t="str">
        <f>+'Maestro infraestructura'!C54</f>
        <v>K1D</v>
      </c>
      <c r="D55" s="1" t="str">
        <f>+'Maestro infraestructura'!F54</f>
        <v>Pizarra</v>
      </c>
      <c r="E55" s="25" t="str">
        <f ca="1">+'Maestro infraestructura'!K54</f>
        <v>Activo</v>
      </c>
      <c r="F55" s="1" t="str">
        <f ca="1">+'Maestro infraestructura'!V54</f>
        <v>AL DÍA</v>
      </c>
      <c r="G55" s="1" t="str">
        <f>+'Maestro infraestructura'!X54</f>
        <v>OPERACIÓN</v>
      </c>
      <c r="H55" s="1">
        <f>+'Maestro infraestructura'!Y54</f>
        <v>2</v>
      </c>
      <c r="I55" s="6">
        <f>+'Maestro infraestructura'!S54</f>
        <v>46198</v>
      </c>
      <c r="J55" s="6">
        <f>+'Maestro infraestructura'!T54</f>
        <v>46563</v>
      </c>
      <c r="K55" s="6">
        <f t="shared" ca="1" si="20"/>
        <v>46563</v>
      </c>
      <c r="L55" s="65" t="s">
        <v>392</v>
      </c>
    </row>
    <row r="56" spans="1:12" x14ac:dyDescent="0.2">
      <c r="A56" s="1" t="str">
        <f>+'Maestro infraestructura'!A55</f>
        <v>CICLO INICIAL</v>
      </c>
      <c r="B56" s="1" t="str">
        <f>+'Maestro infraestructura'!B55</f>
        <v>1° Piso</v>
      </c>
      <c r="C56" s="1" t="str">
        <f>+'Maestro infraestructura'!C55</f>
        <v>K1D</v>
      </c>
      <c r="D56" s="1" t="str">
        <f>+'Maestro infraestructura'!F55</f>
        <v>Puertas</v>
      </c>
      <c r="E56" s="25" t="str">
        <f ca="1">+'Maestro infraestructura'!K55</f>
        <v>Activo</v>
      </c>
      <c r="F56" s="1" t="str">
        <f ca="1">+'Maestro infraestructura'!V55</f>
        <v>AL DÍA</v>
      </c>
      <c r="G56" s="1" t="str">
        <f>+'Maestro infraestructura'!X55</f>
        <v>GENERAL</v>
      </c>
      <c r="H56" s="1">
        <f>+'Maestro infraestructura'!Y55</f>
        <v>2</v>
      </c>
      <c r="I56" s="1"/>
      <c r="J56" s="6">
        <f>+'Maestro infraestructura'!T55</f>
        <v>46563</v>
      </c>
      <c r="K56" s="6">
        <f t="shared" ca="1" si="20"/>
        <v>46563</v>
      </c>
      <c r="L56" s="6"/>
    </row>
    <row r="57" spans="1:12" x14ac:dyDescent="0.2">
      <c r="A57" s="1" t="str">
        <f>+'Maestro infraestructura'!A56</f>
        <v>CICLO INICIAL</v>
      </c>
      <c r="B57" s="1" t="str">
        <f>+'Maestro infraestructura'!B56</f>
        <v>1° Piso</v>
      </c>
      <c r="C57" s="1" t="str">
        <f>+'Maestro infraestructura'!C56</f>
        <v>K2A</v>
      </c>
      <c r="D57" s="1" t="str">
        <f>+'Maestro infraestructura'!F56</f>
        <v>Ventanas</v>
      </c>
      <c r="E57" s="25" t="str">
        <f ca="1">+'Maestro infraestructura'!K56</f>
        <v>Activo</v>
      </c>
      <c r="F57" s="1" t="str">
        <f ca="1">+'Maestro infraestructura'!V56</f>
        <v>AL DÍA</v>
      </c>
      <c r="G57" s="1" t="str">
        <f>+'Maestro infraestructura'!X56</f>
        <v>SEGURIDAD</v>
      </c>
      <c r="H57" s="1">
        <f>+'Maestro infraestructura'!Y56</f>
        <v>2</v>
      </c>
      <c r="I57" s="1"/>
      <c r="J57" s="6">
        <f>+'Maestro infraestructura'!T56</f>
        <v>46563</v>
      </c>
      <c r="K57" s="6">
        <f t="shared" ca="1" si="20"/>
        <v>46563</v>
      </c>
      <c r="L57" s="6"/>
    </row>
    <row r="58" spans="1:12" x14ac:dyDescent="0.2">
      <c r="A58" s="1" t="str">
        <f>+'Maestro infraestructura'!A57</f>
        <v>CICLO INICIAL</v>
      </c>
      <c r="B58" s="1" t="str">
        <f>+'Maestro infraestructura'!B57</f>
        <v>1° Piso</v>
      </c>
      <c r="C58" s="1" t="str">
        <f>+'Maestro infraestructura'!C57</f>
        <v>K2A</v>
      </c>
      <c r="D58" s="1" t="str">
        <f>+'Maestro infraestructura'!F57</f>
        <v>Radiadores</v>
      </c>
      <c r="E58" s="25" t="str">
        <f ca="1">+'Maestro infraestructura'!K57</f>
        <v>Activo</v>
      </c>
      <c r="F58" s="1" t="str">
        <f ca="1">+'Maestro infraestructura'!V57</f>
        <v>AL DÍA</v>
      </c>
      <c r="G58" s="1" t="str">
        <f>+'Maestro infraestructura'!X57</f>
        <v>GENERAL</v>
      </c>
      <c r="H58" s="1">
        <f>+'Maestro infraestructura'!Y57</f>
        <v>1</v>
      </c>
      <c r="I58" s="1"/>
      <c r="J58" s="6">
        <f>+'Maestro infraestructura'!T57</f>
        <v>46563</v>
      </c>
      <c r="K58" s="6">
        <f t="shared" ca="1" si="20"/>
        <v>46563</v>
      </c>
      <c r="L58" s="6"/>
    </row>
    <row r="59" spans="1:12" x14ac:dyDescent="0.2">
      <c r="A59" s="1" t="str">
        <f>+'Maestro infraestructura'!A58</f>
        <v>CICLO INICIAL</v>
      </c>
      <c r="B59" s="1" t="str">
        <f>+'Maestro infraestructura'!B58</f>
        <v>1° Piso</v>
      </c>
      <c r="C59" s="1" t="str">
        <f>+'Maestro infraestructura'!C58</f>
        <v>K2A</v>
      </c>
      <c r="D59" s="1" t="str">
        <f>+'Maestro infraestructura'!F58</f>
        <v>Piso</v>
      </c>
      <c r="E59" s="25" t="str">
        <f ca="1">+'Maestro infraestructura'!K58</f>
        <v>Activo</v>
      </c>
      <c r="F59" s="1" t="str">
        <f ca="1">+'Maestro infraestructura'!V58</f>
        <v>AL DÍA</v>
      </c>
      <c r="G59" s="1" t="str">
        <f>+'Maestro infraestructura'!X58</f>
        <v>GENERAL</v>
      </c>
      <c r="H59" s="1">
        <f>+'Maestro infraestructura'!Y58</f>
        <v>2</v>
      </c>
      <c r="I59" s="1"/>
      <c r="J59" s="6">
        <f>+'Maestro infraestructura'!T58</f>
        <v>46563</v>
      </c>
      <c r="K59" s="6">
        <f t="shared" ca="1" si="20"/>
        <v>46563</v>
      </c>
      <c r="L59" s="6"/>
    </row>
    <row r="60" spans="1:12" x14ac:dyDescent="0.2">
      <c r="A60" s="1" t="str">
        <f>+'Maestro infraestructura'!A59</f>
        <v>CICLO INICIAL</v>
      </c>
      <c r="B60" s="1" t="str">
        <f>+'Maestro infraestructura'!B59</f>
        <v>1° Piso</v>
      </c>
      <c r="C60" s="1" t="str">
        <f>+'Maestro infraestructura'!C59</f>
        <v>K2A</v>
      </c>
      <c r="D60" s="1" t="str">
        <f>+'Maestro infraestructura'!F59</f>
        <v>Enchufes</v>
      </c>
      <c r="E60" s="25" t="str">
        <f ca="1">+'Maestro infraestructura'!K59</f>
        <v>Activo</v>
      </c>
      <c r="F60" s="1" t="str">
        <f ca="1">+'Maestro infraestructura'!V59</f>
        <v>AL DÍA</v>
      </c>
      <c r="G60" s="1" t="str">
        <f>+'Maestro infraestructura'!X59</f>
        <v>GENERAL</v>
      </c>
      <c r="H60" s="1">
        <f>+'Maestro infraestructura'!Y59</f>
        <v>2</v>
      </c>
      <c r="I60" s="1"/>
      <c r="J60" s="6">
        <f>+'Maestro infraestructura'!T59</f>
        <v>46563</v>
      </c>
      <c r="K60" s="6">
        <f t="shared" ca="1" si="20"/>
        <v>46563</v>
      </c>
      <c r="L60" s="6"/>
    </row>
    <row r="61" spans="1:12" x14ac:dyDescent="0.2">
      <c r="A61" s="1" t="str">
        <f>+'Maestro infraestructura'!A60</f>
        <v>CICLO INICIAL</v>
      </c>
      <c r="B61" s="1" t="str">
        <f>+'Maestro infraestructura'!B60</f>
        <v>1° Piso</v>
      </c>
      <c r="C61" s="1" t="str">
        <f>+'Maestro infraestructura'!C60</f>
        <v>K2A</v>
      </c>
      <c r="D61" s="1" t="str">
        <f>+'Maestro infraestructura'!F60</f>
        <v>TV</v>
      </c>
      <c r="E61" s="25" t="str">
        <f ca="1">+'Maestro infraestructura'!K60</f>
        <v>Activo</v>
      </c>
      <c r="F61" s="1" t="str">
        <f ca="1">+'Maestro infraestructura'!V60</f>
        <v>AL DÍA</v>
      </c>
      <c r="G61" s="1" t="str">
        <f>+'Maestro infraestructura'!X60</f>
        <v>OPERACIÓN</v>
      </c>
      <c r="H61" s="1">
        <f>+'Maestro infraestructura'!Y60</f>
        <v>2</v>
      </c>
      <c r="I61" s="1"/>
      <c r="J61" s="6">
        <f>+'Maestro infraestructura'!T60</f>
        <v>46563</v>
      </c>
      <c r="K61" s="6">
        <f t="shared" ca="1" si="20"/>
        <v>46563</v>
      </c>
      <c r="L61" s="65" t="s">
        <v>393</v>
      </c>
    </row>
    <row r="62" spans="1:12" x14ac:dyDescent="0.2">
      <c r="A62" s="1" t="str">
        <f>+'Maestro infraestructura'!A61</f>
        <v>CICLO INICIAL</v>
      </c>
      <c r="B62" s="1" t="str">
        <f>+'Maestro infraestructura'!B61</f>
        <v>1° Piso</v>
      </c>
      <c r="C62" s="1" t="str">
        <f>+'Maestro infraestructura'!C61</f>
        <v>K2A</v>
      </c>
      <c r="D62" s="1" t="str">
        <f>+'Maestro infraestructura'!F61</f>
        <v>Pizarra</v>
      </c>
      <c r="E62" s="25" t="str">
        <f ca="1">+'Maestro infraestructura'!K61</f>
        <v>Activo</v>
      </c>
      <c r="F62" s="1" t="str">
        <f ca="1">+'Maestro infraestructura'!V61</f>
        <v>AL DÍA</v>
      </c>
      <c r="G62" s="1" t="str">
        <f>+'Maestro infraestructura'!X61</f>
        <v>OPERACIÓN</v>
      </c>
      <c r="H62" s="1">
        <f>+'Maestro infraestructura'!Y61</f>
        <v>2</v>
      </c>
      <c r="I62" s="1"/>
      <c r="J62" s="6">
        <f>+'Maestro infraestructura'!T61</f>
        <v>46563</v>
      </c>
      <c r="K62" s="6">
        <f t="shared" ca="1" si="20"/>
        <v>46563</v>
      </c>
      <c r="L62" s="65" t="s">
        <v>393</v>
      </c>
    </row>
    <row r="63" spans="1:12" x14ac:dyDescent="0.2">
      <c r="A63" s="1" t="str">
        <f>+'Maestro infraestructura'!A62</f>
        <v>CICLO INICIAL</v>
      </c>
      <c r="B63" s="1" t="str">
        <f>+'Maestro infraestructura'!B62</f>
        <v>1° Piso</v>
      </c>
      <c r="C63" s="1" t="str">
        <f>+'Maestro infraestructura'!C62</f>
        <v>K2A</v>
      </c>
      <c r="D63" s="1" t="str">
        <f>+'Maestro infraestructura'!F62</f>
        <v>Puertas</v>
      </c>
      <c r="E63" s="25" t="str">
        <f ca="1">+'Maestro infraestructura'!K62</f>
        <v>Activo</v>
      </c>
      <c r="F63" s="1" t="str">
        <f ca="1">+'Maestro infraestructura'!V62</f>
        <v>AL DÍA</v>
      </c>
      <c r="G63" s="1" t="str">
        <f>+'Maestro infraestructura'!X62</f>
        <v>GENERAL</v>
      </c>
      <c r="H63" s="1">
        <f>+'Maestro infraestructura'!Y62</f>
        <v>2</v>
      </c>
      <c r="I63" s="1"/>
      <c r="J63" s="6">
        <f>+'Maestro infraestructura'!T62</f>
        <v>46563</v>
      </c>
      <c r="K63" s="6">
        <f t="shared" ca="1" si="20"/>
        <v>46563</v>
      </c>
      <c r="L63" s="65" t="s">
        <v>393</v>
      </c>
    </row>
    <row r="64" spans="1:12" x14ac:dyDescent="0.2">
      <c r="A64" s="1" t="str">
        <f>+'Maestro infraestructura'!A63</f>
        <v>CICLO INICIAL</v>
      </c>
      <c r="B64" s="1" t="str">
        <f>+'Maestro infraestructura'!B63</f>
        <v>1° Piso</v>
      </c>
      <c r="C64" s="1" t="str">
        <f>+'Maestro infraestructura'!C63</f>
        <v>K2B</v>
      </c>
      <c r="D64" s="1" t="str">
        <f>+'Maestro infraestructura'!F63</f>
        <v>Ventanas</v>
      </c>
      <c r="E64" s="25" t="str">
        <f ca="1">+'Maestro infraestructura'!K63</f>
        <v>Activo</v>
      </c>
      <c r="F64" s="1" t="str">
        <f ca="1">+'Maestro infraestructura'!V63</f>
        <v>AL DÍA</v>
      </c>
      <c r="G64" s="1" t="str">
        <f>+'Maestro infraestructura'!X63</f>
        <v>SEGURIDAD</v>
      </c>
      <c r="H64" s="1">
        <f>+'Maestro infraestructura'!Y63</f>
        <v>2</v>
      </c>
      <c r="I64" s="1"/>
      <c r="J64" s="6">
        <f>+'Maestro infraestructura'!T63</f>
        <v>46563</v>
      </c>
      <c r="K64" s="6">
        <f t="shared" ca="1" si="20"/>
        <v>46563</v>
      </c>
      <c r="L64" s="65" t="s">
        <v>393</v>
      </c>
    </row>
    <row r="65" spans="1:12" x14ac:dyDescent="0.2">
      <c r="A65" s="1" t="str">
        <f>+'Maestro infraestructura'!A64</f>
        <v>CICLO INICIAL</v>
      </c>
      <c r="B65" s="1" t="str">
        <f>+'Maestro infraestructura'!B64</f>
        <v>1° Piso</v>
      </c>
      <c r="C65" s="1" t="str">
        <f>+'Maestro infraestructura'!C64</f>
        <v>K2B</v>
      </c>
      <c r="D65" s="1" t="str">
        <f>+'Maestro infraestructura'!F64</f>
        <v>Radiadores</v>
      </c>
      <c r="E65" s="25" t="str">
        <f ca="1">+'Maestro infraestructura'!K64</f>
        <v>Activo</v>
      </c>
      <c r="F65" s="1" t="str">
        <f ca="1">+'Maestro infraestructura'!V64</f>
        <v>AL DÍA</v>
      </c>
      <c r="G65" s="1" t="str">
        <f>+'Maestro infraestructura'!X64</f>
        <v>GENERAL</v>
      </c>
      <c r="H65" s="1">
        <f>+'Maestro infraestructura'!Y64</f>
        <v>1</v>
      </c>
      <c r="I65" s="1"/>
      <c r="J65" s="6">
        <f>+'Maestro infraestructura'!T64</f>
        <v>46563</v>
      </c>
      <c r="K65" s="6">
        <f t="shared" ca="1" si="20"/>
        <v>46563</v>
      </c>
      <c r="L65" s="65" t="s">
        <v>393</v>
      </c>
    </row>
    <row r="66" spans="1:12" x14ac:dyDescent="0.2">
      <c r="A66" s="1" t="str">
        <f>+'Maestro infraestructura'!A65</f>
        <v>CICLO INICIAL</v>
      </c>
      <c r="B66" s="1" t="str">
        <f>+'Maestro infraestructura'!B65</f>
        <v>1° Piso</v>
      </c>
      <c r="C66" s="1" t="str">
        <f>+'Maestro infraestructura'!C65</f>
        <v>K2B</v>
      </c>
      <c r="D66" s="1" t="str">
        <f>+'Maestro infraestructura'!F65</f>
        <v>Piso</v>
      </c>
      <c r="E66" s="25" t="str">
        <f ca="1">+'Maestro infraestructura'!K65</f>
        <v>Activo</v>
      </c>
      <c r="F66" s="1" t="str">
        <f ca="1">+'Maestro infraestructura'!V65</f>
        <v>AL DÍA</v>
      </c>
      <c r="G66" s="1" t="str">
        <f>+'Maestro infraestructura'!X65</f>
        <v>GENERAL</v>
      </c>
      <c r="H66" s="1">
        <f>+'Maestro infraestructura'!Y65</f>
        <v>2</v>
      </c>
      <c r="I66" s="6">
        <f>+'Maestro infraestructura'!S65</f>
        <v>46198</v>
      </c>
      <c r="J66" s="6">
        <f>+'Maestro infraestructura'!T65</f>
        <v>46563</v>
      </c>
      <c r="K66" s="6">
        <f t="shared" ca="1" si="20"/>
        <v>46563</v>
      </c>
      <c r="L66" s="65" t="s">
        <v>393</v>
      </c>
    </row>
    <row r="67" spans="1:12" x14ac:dyDescent="0.2">
      <c r="A67" s="1" t="str">
        <f>+'Maestro infraestructura'!A66</f>
        <v>CICLO INICIAL</v>
      </c>
      <c r="B67" s="1" t="str">
        <f>+'Maestro infraestructura'!B66</f>
        <v>1° Piso</v>
      </c>
      <c r="C67" s="1" t="str">
        <f>+'Maestro infraestructura'!C66</f>
        <v>K2B</v>
      </c>
      <c r="D67" s="1" t="str">
        <f>+'Maestro infraestructura'!F66</f>
        <v>Enchufes</v>
      </c>
      <c r="E67" s="25" t="str">
        <f ca="1">+'Maestro infraestructura'!K66</f>
        <v>Activo</v>
      </c>
      <c r="F67" s="1" t="str">
        <f ca="1">+'Maestro infraestructura'!V66</f>
        <v>AL DÍA</v>
      </c>
      <c r="G67" s="1" t="str">
        <f>+'Maestro infraestructura'!X66</f>
        <v>GENERAL</v>
      </c>
      <c r="H67" s="1">
        <f>+'Maestro infraestructura'!Y66</f>
        <v>2</v>
      </c>
      <c r="I67" s="6">
        <f>+'Maestro infraestructura'!S66</f>
        <v>46198</v>
      </c>
      <c r="J67" s="6">
        <f>+'Maestro infraestructura'!T66</f>
        <v>46563</v>
      </c>
      <c r="K67" s="6">
        <f t="shared" ca="1" si="20"/>
        <v>46563</v>
      </c>
      <c r="L67" s="65" t="s">
        <v>393</v>
      </c>
    </row>
    <row r="68" spans="1:12" x14ac:dyDescent="0.2">
      <c r="A68" s="1" t="str">
        <f>+'Maestro infraestructura'!A67</f>
        <v>CICLO INICIAL</v>
      </c>
      <c r="B68" s="1" t="str">
        <f>+'Maestro infraestructura'!B67</f>
        <v>1° Piso</v>
      </c>
      <c r="C68" s="1" t="str">
        <f>+'Maestro infraestructura'!C67</f>
        <v>K2B</v>
      </c>
      <c r="D68" s="1" t="str">
        <f>+'Maestro infraestructura'!F67</f>
        <v>TV</v>
      </c>
      <c r="E68" s="25" t="str">
        <f ca="1">+'Maestro infraestructura'!K67</f>
        <v>Activo</v>
      </c>
      <c r="F68" s="1" t="str">
        <f ca="1">+'Maestro infraestructura'!V67</f>
        <v>AL DÍA</v>
      </c>
      <c r="G68" s="1" t="str">
        <f>+'Maestro infraestructura'!X67</f>
        <v>OPERACIÓN</v>
      </c>
      <c r="H68" s="1">
        <f>+'Maestro infraestructura'!Y67</f>
        <v>2</v>
      </c>
      <c r="I68" s="6">
        <f>+'Maestro infraestructura'!S67</f>
        <v>46198</v>
      </c>
      <c r="J68" s="6">
        <f>+'Maestro infraestructura'!T67</f>
        <v>46563</v>
      </c>
      <c r="K68" s="6">
        <f t="shared" ref="K68:K131" ca="1" si="21">IF(E68="Cambiar o Inspección externa",1/1/2027,IF(E68="cambiar",1/1/2027,J68))</f>
        <v>46563</v>
      </c>
      <c r="L68" s="65" t="s">
        <v>393</v>
      </c>
    </row>
    <row r="69" spans="1:12" x14ac:dyDescent="0.2">
      <c r="A69" s="1" t="str">
        <f>+'Maestro infraestructura'!A68</f>
        <v>CICLO INICIAL</v>
      </c>
      <c r="B69" s="1" t="str">
        <f>+'Maestro infraestructura'!B68</f>
        <v>1° Piso</v>
      </c>
      <c r="C69" s="1" t="str">
        <f>+'Maestro infraestructura'!C68</f>
        <v>K2B</v>
      </c>
      <c r="D69" s="1" t="str">
        <f>+'Maestro infraestructura'!F68</f>
        <v>Pizarra</v>
      </c>
      <c r="E69" s="25" t="str">
        <f ca="1">+'Maestro infraestructura'!K68</f>
        <v>Activo</v>
      </c>
      <c r="F69" s="1" t="str">
        <f ca="1">+'Maestro infraestructura'!V68</f>
        <v>AL DÍA</v>
      </c>
      <c r="G69" s="1" t="str">
        <f>+'Maestro infraestructura'!X68</f>
        <v>OPERACIÓN</v>
      </c>
      <c r="H69" s="1">
        <f>+'Maestro infraestructura'!Y68</f>
        <v>2</v>
      </c>
      <c r="I69" s="6">
        <f>+'Maestro infraestructura'!S68</f>
        <v>46198</v>
      </c>
      <c r="J69" s="6">
        <f>+'Maestro infraestructura'!T68</f>
        <v>46563</v>
      </c>
      <c r="K69" s="6">
        <f t="shared" ca="1" si="21"/>
        <v>46563</v>
      </c>
      <c r="L69" s="65" t="s">
        <v>393</v>
      </c>
    </row>
    <row r="70" spans="1:12" x14ac:dyDescent="0.2">
      <c r="A70" s="1" t="str">
        <f>+'Maestro infraestructura'!A69</f>
        <v>CICLO INICIAL</v>
      </c>
      <c r="B70" s="1" t="str">
        <f>+'Maestro infraestructura'!B69</f>
        <v>1° Piso</v>
      </c>
      <c r="C70" s="1" t="str">
        <f>+'Maestro infraestructura'!C69</f>
        <v>K2B</v>
      </c>
      <c r="D70" s="1" t="str">
        <f>+'Maestro infraestructura'!F69</f>
        <v>Puertas</v>
      </c>
      <c r="E70" s="25" t="str">
        <f ca="1">+'Maestro infraestructura'!K69</f>
        <v>Activo</v>
      </c>
      <c r="F70" s="1" t="str">
        <f ca="1">+'Maestro infraestructura'!V69</f>
        <v>AL DÍA</v>
      </c>
      <c r="G70" s="1" t="str">
        <f>+'Maestro infraestructura'!X69</f>
        <v>GENERAL</v>
      </c>
      <c r="H70" s="1">
        <f>+'Maestro infraestructura'!Y69</f>
        <v>2</v>
      </c>
      <c r="I70" s="6">
        <f>+'Maestro infraestructura'!S69</f>
        <v>46198</v>
      </c>
      <c r="J70" s="6">
        <f>+'Maestro infraestructura'!T69</f>
        <v>46563</v>
      </c>
      <c r="K70" s="6">
        <f t="shared" ca="1" si="21"/>
        <v>46563</v>
      </c>
      <c r="L70" s="65" t="s">
        <v>392</v>
      </c>
    </row>
    <row r="71" spans="1:12" x14ac:dyDescent="0.2">
      <c r="A71" s="1" t="str">
        <f>+'Maestro infraestructura'!A70</f>
        <v>CICLO INICIAL</v>
      </c>
      <c r="B71" s="1" t="str">
        <f>+'Maestro infraestructura'!B70</f>
        <v>1° Piso</v>
      </c>
      <c r="C71" s="1" t="str">
        <f>+'Maestro infraestructura'!C70</f>
        <v>K2C</v>
      </c>
      <c r="D71" s="1" t="str">
        <f>+'Maestro infraestructura'!F70</f>
        <v>Ventanas</v>
      </c>
      <c r="E71" s="25" t="str">
        <f ca="1">+'Maestro infraestructura'!K70</f>
        <v>Activo</v>
      </c>
      <c r="F71" s="1" t="str">
        <f ca="1">+'Maestro infraestructura'!V70</f>
        <v>AL DÍA</v>
      </c>
      <c r="G71" s="1" t="str">
        <f>+'Maestro infraestructura'!X70</f>
        <v>SEGURIDAD</v>
      </c>
      <c r="H71" s="1">
        <f>+'Maestro infraestructura'!Y70</f>
        <v>2</v>
      </c>
      <c r="I71" s="1"/>
      <c r="J71" s="6">
        <f>+'Maestro infraestructura'!T70</f>
        <v>46563</v>
      </c>
      <c r="K71" s="6">
        <f t="shared" ca="1" si="21"/>
        <v>46563</v>
      </c>
      <c r="L71" s="6"/>
    </row>
    <row r="72" spans="1:12" x14ac:dyDescent="0.2">
      <c r="A72" s="1" t="str">
        <f>+'Maestro infraestructura'!A71</f>
        <v>CICLO INICIAL</v>
      </c>
      <c r="B72" s="1" t="str">
        <f>+'Maestro infraestructura'!B71</f>
        <v>1° Piso</v>
      </c>
      <c r="C72" s="1" t="str">
        <f>+'Maestro infraestructura'!C71</f>
        <v>K2C</v>
      </c>
      <c r="D72" s="1" t="str">
        <f>+'Maestro infraestructura'!F71</f>
        <v>Radiadores</v>
      </c>
      <c r="E72" s="25" t="str">
        <f ca="1">+'Maestro infraestructura'!K71</f>
        <v>Activo</v>
      </c>
      <c r="F72" s="1" t="str">
        <f ca="1">+'Maestro infraestructura'!V71</f>
        <v>AL DÍA</v>
      </c>
      <c r="G72" s="1" t="str">
        <f>+'Maestro infraestructura'!X71</f>
        <v>GENERAL</v>
      </c>
      <c r="H72" s="1">
        <f>+'Maestro infraestructura'!Y71</f>
        <v>1</v>
      </c>
      <c r="I72" s="1"/>
      <c r="J72" s="6">
        <f>+'Maestro infraestructura'!T71</f>
        <v>46563</v>
      </c>
      <c r="K72" s="6">
        <f t="shared" ca="1" si="21"/>
        <v>46563</v>
      </c>
      <c r="L72" s="6"/>
    </row>
    <row r="73" spans="1:12" x14ac:dyDescent="0.2">
      <c r="A73" s="1" t="str">
        <f>+'Maestro infraestructura'!A72</f>
        <v>CICLO INICIAL</v>
      </c>
      <c r="B73" s="1" t="str">
        <f>+'Maestro infraestructura'!B72</f>
        <v>1° Piso</v>
      </c>
      <c r="C73" s="1" t="str">
        <f>+'Maestro infraestructura'!C72</f>
        <v>K2C</v>
      </c>
      <c r="D73" s="1" t="str">
        <f>+'Maestro infraestructura'!F72</f>
        <v>Piso</v>
      </c>
      <c r="E73" s="25" t="str">
        <f ca="1">+'Maestro infraestructura'!K72</f>
        <v>Activo</v>
      </c>
      <c r="F73" s="1" t="str">
        <f ca="1">+'Maestro infraestructura'!V72</f>
        <v>AL DÍA</v>
      </c>
      <c r="G73" s="1" t="str">
        <f>+'Maestro infraestructura'!X72</f>
        <v>GENERAL</v>
      </c>
      <c r="H73" s="1">
        <f>+'Maestro infraestructura'!Y72</f>
        <v>2</v>
      </c>
      <c r="I73" s="1"/>
      <c r="J73" s="6">
        <f>+'Maestro infraestructura'!T72</f>
        <v>46563</v>
      </c>
      <c r="K73" s="6">
        <f t="shared" ca="1" si="21"/>
        <v>46563</v>
      </c>
      <c r="L73" s="6"/>
    </row>
    <row r="74" spans="1:12" x14ac:dyDescent="0.2">
      <c r="A74" s="1" t="str">
        <f>+'Maestro infraestructura'!A73</f>
        <v>CICLO INICIAL</v>
      </c>
      <c r="B74" s="1" t="str">
        <f>+'Maestro infraestructura'!B73</f>
        <v>1° Piso</v>
      </c>
      <c r="C74" s="1" t="str">
        <f>+'Maestro infraestructura'!C73</f>
        <v>K2C</v>
      </c>
      <c r="D74" s="1" t="str">
        <f>+'Maestro infraestructura'!F73</f>
        <v>Enchufes</v>
      </c>
      <c r="E74" s="25" t="str">
        <f ca="1">+'Maestro infraestructura'!K73</f>
        <v>Activo</v>
      </c>
      <c r="F74" s="1" t="str">
        <f ca="1">+'Maestro infraestructura'!V73</f>
        <v>AL DÍA</v>
      </c>
      <c r="G74" s="1" t="str">
        <f>+'Maestro infraestructura'!X73</f>
        <v>GENERAL</v>
      </c>
      <c r="H74" s="1">
        <f>+'Maestro infraestructura'!Y73</f>
        <v>2</v>
      </c>
      <c r="I74" s="6">
        <f>+'Maestro infraestructura'!S73</f>
        <v>46198</v>
      </c>
      <c r="J74" s="6">
        <f>+'Maestro infraestructura'!T73</f>
        <v>46563</v>
      </c>
      <c r="K74" s="6">
        <f t="shared" ca="1" si="21"/>
        <v>46563</v>
      </c>
      <c r="L74" s="6"/>
    </row>
    <row r="75" spans="1:12" x14ac:dyDescent="0.2">
      <c r="A75" s="1" t="str">
        <f>+'Maestro infraestructura'!A74</f>
        <v>CICLO INICIAL</v>
      </c>
      <c r="B75" s="1" t="str">
        <f>+'Maestro infraestructura'!B74</f>
        <v>1° Piso</v>
      </c>
      <c r="C75" s="1" t="str">
        <f>+'Maestro infraestructura'!C74</f>
        <v>K2C</v>
      </c>
      <c r="D75" s="1" t="str">
        <f>+'Maestro infraestructura'!F74</f>
        <v>TV</v>
      </c>
      <c r="E75" s="25" t="str">
        <f ca="1">+'Maestro infraestructura'!K74</f>
        <v>Activo</v>
      </c>
      <c r="F75" s="1" t="str">
        <f ca="1">+'Maestro infraestructura'!V74</f>
        <v>AL DÍA</v>
      </c>
      <c r="G75" s="1" t="str">
        <f>+'Maestro infraestructura'!X74</f>
        <v>OPERACIÓN</v>
      </c>
      <c r="H75" s="1">
        <f>+'Maestro infraestructura'!Y74</f>
        <v>2</v>
      </c>
      <c r="I75" s="1"/>
      <c r="J75" s="6">
        <f>+'Maestro infraestructura'!T74</f>
        <v>46563</v>
      </c>
      <c r="K75" s="6">
        <f t="shared" ca="1" si="21"/>
        <v>46563</v>
      </c>
      <c r="L75" s="6"/>
    </row>
    <row r="76" spans="1:12" x14ac:dyDescent="0.2">
      <c r="A76" s="1" t="str">
        <f>+'Maestro infraestructura'!A75</f>
        <v>CICLO INICIAL</v>
      </c>
      <c r="B76" s="1" t="str">
        <f>+'Maestro infraestructura'!B75</f>
        <v>1° Piso</v>
      </c>
      <c r="C76" s="1" t="str">
        <f>+'Maestro infraestructura'!C75</f>
        <v>K2C</v>
      </c>
      <c r="D76" s="1" t="str">
        <f>+'Maestro infraestructura'!F75</f>
        <v>Pizarra</v>
      </c>
      <c r="E76" s="25" t="str">
        <f ca="1">+'Maestro infraestructura'!K75</f>
        <v>Activo</v>
      </c>
      <c r="F76" s="1" t="str">
        <f ca="1">+'Maestro infraestructura'!V75</f>
        <v>AL DÍA</v>
      </c>
      <c r="G76" s="1" t="str">
        <f>+'Maestro infraestructura'!X75</f>
        <v>OPERACIÓN</v>
      </c>
      <c r="H76" s="1">
        <f>+'Maestro infraestructura'!Y75</f>
        <v>2</v>
      </c>
      <c r="I76" s="1"/>
      <c r="J76" s="6">
        <f>+'Maestro infraestructura'!T75</f>
        <v>46563</v>
      </c>
      <c r="K76" s="6">
        <f t="shared" ca="1" si="21"/>
        <v>46563</v>
      </c>
      <c r="L76" s="6"/>
    </row>
    <row r="77" spans="1:12" x14ac:dyDescent="0.2">
      <c r="A77" s="1" t="str">
        <f>+'Maestro infraestructura'!A76</f>
        <v>CICLO INICIAL</v>
      </c>
      <c r="B77" s="1" t="str">
        <f>+'Maestro infraestructura'!B76</f>
        <v>1° Piso</v>
      </c>
      <c r="C77" s="1" t="str">
        <f>+'Maestro infraestructura'!C76</f>
        <v>K2C</v>
      </c>
      <c r="D77" s="1" t="str">
        <f>+'Maestro infraestructura'!F76</f>
        <v>Puertas</v>
      </c>
      <c r="E77" s="25" t="str">
        <f ca="1">+'Maestro infraestructura'!K76</f>
        <v>Activo</v>
      </c>
      <c r="F77" s="1" t="str">
        <f ca="1">+'Maestro infraestructura'!V76</f>
        <v>AL DÍA</v>
      </c>
      <c r="G77" s="1" t="str">
        <f>+'Maestro infraestructura'!X76</f>
        <v>GENERAL</v>
      </c>
      <c r="H77" s="1">
        <f>+'Maestro infraestructura'!Y76</f>
        <v>2</v>
      </c>
      <c r="I77" s="6">
        <f>+'Maestro infraestructura'!S76</f>
        <v>46198</v>
      </c>
      <c r="J77" s="6">
        <f>+'Maestro infraestructura'!T76</f>
        <v>46563</v>
      </c>
      <c r="K77" s="6">
        <f t="shared" ca="1" si="21"/>
        <v>46563</v>
      </c>
      <c r="L77" s="6"/>
    </row>
    <row r="78" spans="1:12" x14ac:dyDescent="0.2">
      <c r="A78" s="1" t="str">
        <f>+'Maestro infraestructura'!A77</f>
        <v>CICLO INICIAL</v>
      </c>
      <c r="B78" s="1" t="str">
        <f>+'Maestro infraestructura'!B77</f>
        <v>1° Piso</v>
      </c>
      <c r="C78" s="1" t="str">
        <f>+'Maestro infraestructura'!C77</f>
        <v>K2D</v>
      </c>
      <c r="D78" s="1" t="str">
        <f>+'Maestro infraestructura'!F77</f>
        <v>Ventanas</v>
      </c>
      <c r="E78" s="25" t="str">
        <f ca="1">+'Maestro infraestructura'!K77</f>
        <v>Activo</v>
      </c>
      <c r="F78" s="1" t="str">
        <f ca="1">+'Maestro infraestructura'!V77</f>
        <v>AL DÍA</v>
      </c>
      <c r="G78" s="1" t="str">
        <f>+'Maestro infraestructura'!X77</f>
        <v>SEGURIDAD</v>
      </c>
      <c r="H78" s="1">
        <f>+'Maestro infraestructura'!Y77</f>
        <v>2</v>
      </c>
      <c r="I78" s="1"/>
      <c r="J78" s="6">
        <f>+'Maestro infraestructura'!T77</f>
        <v>46563</v>
      </c>
      <c r="K78" s="6">
        <f t="shared" ca="1" si="21"/>
        <v>46563</v>
      </c>
      <c r="L78" s="6"/>
    </row>
    <row r="79" spans="1:12" x14ac:dyDescent="0.2">
      <c r="A79" s="1" t="str">
        <f>+'Maestro infraestructura'!A78</f>
        <v>CICLO INICIAL</v>
      </c>
      <c r="B79" s="1" t="str">
        <f>+'Maestro infraestructura'!B78</f>
        <v>1° Piso</v>
      </c>
      <c r="C79" s="1" t="str">
        <f>+'Maestro infraestructura'!C78</f>
        <v>K2D</v>
      </c>
      <c r="D79" s="1" t="str">
        <f>+'Maestro infraestructura'!F78</f>
        <v>Radiadores</v>
      </c>
      <c r="E79" s="25" t="str">
        <f ca="1">+'Maestro infraestructura'!K78</f>
        <v>Activo</v>
      </c>
      <c r="F79" s="1" t="str">
        <f ca="1">+'Maestro infraestructura'!V78</f>
        <v>AL DÍA</v>
      </c>
      <c r="G79" s="1" t="str">
        <f>+'Maestro infraestructura'!X78</f>
        <v>GENERAL</v>
      </c>
      <c r="H79" s="1">
        <f>+'Maestro infraestructura'!Y78</f>
        <v>1</v>
      </c>
      <c r="I79" s="1"/>
      <c r="J79" s="6">
        <f>+'Maestro infraestructura'!T78</f>
        <v>46563</v>
      </c>
      <c r="K79" s="6">
        <f t="shared" ca="1" si="21"/>
        <v>46563</v>
      </c>
      <c r="L79" s="6"/>
    </row>
    <row r="80" spans="1:12" x14ac:dyDescent="0.2">
      <c r="A80" s="1" t="str">
        <f>+'Maestro infraestructura'!A79</f>
        <v>CICLO INICIAL</v>
      </c>
      <c r="B80" s="1" t="str">
        <f>+'Maestro infraestructura'!B79</f>
        <v>1° Piso</v>
      </c>
      <c r="C80" s="1" t="str">
        <f>+'Maestro infraestructura'!C79</f>
        <v>K2D</v>
      </c>
      <c r="D80" s="1" t="str">
        <f>+'Maestro infraestructura'!F79</f>
        <v>Piso</v>
      </c>
      <c r="E80" s="25" t="str">
        <f ca="1">+'Maestro infraestructura'!K79</f>
        <v>Activo</v>
      </c>
      <c r="F80" s="1" t="str">
        <f ca="1">+'Maestro infraestructura'!V79</f>
        <v>AL DÍA</v>
      </c>
      <c r="G80" s="1" t="str">
        <f>+'Maestro infraestructura'!X79</f>
        <v>GENERAL</v>
      </c>
      <c r="H80" s="1">
        <f>+'Maestro infraestructura'!Y79</f>
        <v>2</v>
      </c>
      <c r="I80" s="1"/>
      <c r="J80" s="6">
        <f>+'Maestro infraestructura'!T79</f>
        <v>46563</v>
      </c>
      <c r="K80" s="6">
        <f t="shared" ca="1" si="21"/>
        <v>46563</v>
      </c>
      <c r="L80" s="6"/>
    </row>
    <row r="81" spans="1:12" x14ac:dyDescent="0.2">
      <c r="A81" s="1" t="str">
        <f>+'Maestro infraestructura'!A80</f>
        <v>CICLO INICIAL</v>
      </c>
      <c r="B81" s="1" t="str">
        <f>+'Maestro infraestructura'!B80</f>
        <v>1° Piso</v>
      </c>
      <c r="C81" s="1" t="str">
        <f>+'Maestro infraestructura'!C80</f>
        <v>K2D</v>
      </c>
      <c r="D81" s="1" t="str">
        <f>+'Maestro infraestructura'!F80</f>
        <v>Enchufes</v>
      </c>
      <c r="E81" s="25" t="str">
        <f ca="1">+'Maestro infraestructura'!K80</f>
        <v>Activo</v>
      </c>
      <c r="F81" s="1" t="str">
        <f ca="1">+'Maestro infraestructura'!V80</f>
        <v>AL DÍA</v>
      </c>
      <c r="G81" s="1" t="str">
        <f>+'Maestro infraestructura'!X80</f>
        <v>GENERAL</v>
      </c>
      <c r="H81" s="1">
        <f>+'Maestro infraestructura'!Y80</f>
        <v>2</v>
      </c>
      <c r="I81" s="1"/>
      <c r="J81" s="6">
        <f>+'Maestro infraestructura'!T80</f>
        <v>46563</v>
      </c>
      <c r="K81" s="6">
        <f t="shared" ca="1" si="21"/>
        <v>46563</v>
      </c>
      <c r="L81" s="6"/>
    </row>
    <row r="82" spans="1:12" x14ac:dyDescent="0.2">
      <c r="A82" s="1" t="str">
        <f>+'Maestro infraestructura'!A81</f>
        <v>CICLO INICIAL</v>
      </c>
      <c r="B82" s="1" t="str">
        <f>+'Maestro infraestructura'!B81</f>
        <v>1° Piso</v>
      </c>
      <c r="C82" s="1" t="str">
        <f>+'Maestro infraestructura'!C81</f>
        <v>K2D</v>
      </c>
      <c r="D82" s="1" t="str">
        <f>+'Maestro infraestructura'!F81</f>
        <v>TV</v>
      </c>
      <c r="E82" s="25" t="str">
        <f ca="1">+'Maestro infraestructura'!K81</f>
        <v>Activo</v>
      </c>
      <c r="F82" s="1" t="str">
        <f ca="1">+'Maestro infraestructura'!V81</f>
        <v>AL DÍA</v>
      </c>
      <c r="G82" s="1" t="str">
        <f>+'Maestro infraestructura'!X81</f>
        <v>OPERACIÓN</v>
      </c>
      <c r="H82" s="1">
        <f>+'Maestro infraestructura'!Y81</f>
        <v>2</v>
      </c>
      <c r="I82" s="1"/>
      <c r="J82" s="6">
        <f>+'Maestro infraestructura'!T81</f>
        <v>46563</v>
      </c>
      <c r="K82" s="6">
        <f t="shared" ca="1" si="21"/>
        <v>46563</v>
      </c>
      <c r="L82" s="6"/>
    </row>
    <row r="83" spans="1:12" x14ac:dyDescent="0.2">
      <c r="A83" s="1" t="str">
        <f>+'Maestro infraestructura'!A82</f>
        <v>CICLO INICIAL</v>
      </c>
      <c r="B83" s="1" t="str">
        <f>+'Maestro infraestructura'!B82</f>
        <v>1° Piso</v>
      </c>
      <c r="C83" s="1" t="str">
        <f>+'Maestro infraestructura'!C82</f>
        <v>K2D</v>
      </c>
      <c r="D83" s="1" t="str">
        <f>+'Maestro infraestructura'!F82</f>
        <v>Pizarra</v>
      </c>
      <c r="E83" s="25" t="str">
        <f ca="1">+'Maestro infraestructura'!K82</f>
        <v>Activo</v>
      </c>
      <c r="F83" s="1" t="str">
        <f ca="1">+'Maestro infraestructura'!V82</f>
        <v>AL DÍA</v>
      </c>
      <c r="G83" s="1" t="str">
        <f>+'Maestro infraestructura'!X82</f>
        <v>OPERACIÓN</v>
      </c>
      <c r="H83" s="1">
        <f>+'Maestro infraestructura'!Y82</f>
        <v>2</v>
      </c>
      <c r="I83" s="1"/>
      <c r="J83" s="6">
        <f>+'Maestro infraestructura'!T82</f>
        <v>46563</v>
      </c>
      <c r="K83" s="6">
        <f t="shared" ca="1" si="21"/>
        <v>46563</v>
      </c>
      <c r="L83" s="6"/>
    </row>
    <row r="84" spans="1:12" x14ac:dyDescent="0.2">
      <c r="A84" s="1" t="str">
        <f>+'Maestro infraestructura'!A83</f>
        <v>CICLO INICIAL</v>
      </c>
      <c r="B84" s="1" t="str">
        <f>+'Maestro infraestructura'!B83</f>
        <v>1° Piso</v>
      </c>
      <c r="C84" s="1" t="str">
        <f>+'Maestro infraestructura'!C83</f>
        <v>K2D</v>
      </c>
      <c r="D84" s="1" t="str">
        <f>+'Maestro infraestructura'!F83</f>
        <v>Puertas</v>
      </c>
      <c r="E84" s="25" t="str">
        <f ca="1">+'Maestro infraestructura'!K83</f>
        <v>Activo</v>
      </c>
      <c r="F84" s="1" t="str">
        <f ca="1">+'Maestro infraestructura'!V83</f>
        <v>AL DÍA</v>
      </c>
      <c r="G84" s="1" t="str">
        <f>+'Maestro infraestructura'!X83</f>
        <v>GENERAL</v>
      </c>
      <c r="H84" s="1">
        <f>+'Maestro infraestructura'!Y83</f>
        <v>2</v>
      </c>
      <c r="I84" s="1"/>
      <c r="J84" s="6">
        <f>+'Maestro infraestructura'!T83</f>
        <v>46563</v>
      </c>
      <c r="K84" s="6">
        <f t="shared" ca="1" si="21"/>
        <v>46563</v>
      </c>
      <c r="L84" s="65" t="s">
        <v>393</v>
      </c>
    </row>
    <row r="85" spans="1:12" x14ac:dyDescent="0.2">
      <c r="A85" s="1" t="str">
        <f>+'Maestro infraestructura'!A84</f>
        <v>CICLO INICIAL</v>
      </c>
      <c r="B85" s="1" t="str">
        <f>+'Maestro infraestructura'!B84</f>
        <v>1° Piso</v>
      </c>
      <c r="C85" s="1" t="str">
        <f>+'Maestro infraestructura'!C84</f>
        <v>S17</v>
      </c>
      <c r="D85" s="1" t="str">
        <f>+'Maestro infraestructura'!F84</f>
        <v>Ventanas</v>
      </c>
      <c r="E85" s="25" t="str">
        <f ca="1">+'Maestro infraestructura'!K84</f>
        <v>Activo</v>
      </c>
      <c r="F85" s="1" t="str">
        <f ca="1">+'Maestro infraestructura'!V84</f>
        <v>AL DÍA</v>
      </c>
      <c r="G85" s="1" t="str">
        <f>+'Maestro infraestructura'!X84</f>
        <v>SEGURIDAD</v>
      </c>
      <c r="H85" s="1">
        <f>+'Maestro infraestructura'!Y84</f>
        <v>2</v>
      </c>
      <c r="I85" s="1"/>
      <c r="J85" s="6">
        <f>+'Maestro infraestructura'!T84</f>
        <v>46563</v>
      </c>
      <c r="K85" s="6">
        <f t="shared" ca="1" si="21"/>
        <v>46563</v>
      </c>
      <c r="L85" s="65" t="s">
        <v>393</v>
      </c>
    </row>
    <row r="86" spans="1:12" x14ac:dyDescent="0.2">
      <c r="A86" s="1" t="str">
        <f>+'Maestro infraestructura'!A85</f>
        <v>CICLO INICIAL</v>
      </c>
      <c r="B86" s="1" t="str">
        <f>+'Maestro infraestructura'!B85</f>
        <v>1° Piso</v>
      </c>
      <c r="C86" s="1" t="str">
        <f>+'Maestro infraestructura'!C85</f>
        <v>S17</v>
      </c>
      <c r="D86" s="1" t="str">
        <f>+'Maestro infraestructura'!F85</f>
        <v>Radiadores</v>
      </c>
      <c r="E86" s="25" t="str">
        <f ca="1">+'Maestro infraestructura'!K85</f>
        <v>Activo</v>
      </c>
      <c r="F86" s="1" t="str">
        <f ca="1">+'Maestro infraestructura'!V85</f>
        <v>AL DÍA</v>
      </c>
      <c r="G86" s="1" t="str">
        <f>+'Maestro infraestructura'!X85</f>
        <v>GENERAL</v>
      </c>
      <c r="H86" s="1">
        <f>+'Maestro infraestructura'!Y85</f>
        <v>1</v>
      </c>
      <c r="I86" s="1"/>
      <c r="J86" s="6">
        <f>+'Maestro infraestructura'!T85</f>
        <v>46563</v>
      </c>
      <c r="K86" s="6">
        <f t="shared" ca="1" si="21"/>
        <v>46563</v>
      </c>
      <c r="L86" s="6"/>
    </row>
    <row r="87" spans="1:12" x14ac:dyDescent="0.2">
      <c r="A87" s="1" t="str">
        <f>+'Maestro infraestructura'!A86</f>
        <v>CICLO INICIAL</v>
      </c>
      <c r="B87" s="1" t="str">
        <f>+'Maestro infraestructura'!B86</f>
        <v>1° Piso</v>
      </c>
      <c r="C87" s="1" t="str">
        <f>+'Maestro infraestructura'!C86</f>
        <v>S17</v>
      </c>
      <c r="D87" s="1" t="str">
        <f>+'Maestro infraestructura'!F86</f>
        <v>Piso</v>
      </c>
      <c r="E87" s="25" t="str">
        <f ca="1">+'Maestro infraestructura'!K86</f>
        <v>Activo</v>
      </c>
      <c r="F87" s="1" t="str">
        <f ca="1">+'Maestro infraestructura'!V86</f>
        <v>AL DÍA</v>
      </c>
      <c r="G87" s="1" t="str">
        <f>+'Maestro infraestructura'!X86</f>
        <v>GENERAL</v>
      </c>
      <c r="H87" s="1">
        <f>+'Maestro infraestructura'!Y86</f>
        <v>2</v>
      </c>
      <c r="I87" s="6">
        <f>+'Maestro infraestructura'!S86</f>
        <v>46198</v>
      </c>
      <c r="J87" s="6">
        <f>+'Maestro infraestructura'!T86</f>
        <v>46563</v>
      </c>
      <c r="K87" s="6">
        <f t="shared" ca="1" si="21"/>
        <v>46563</v>
      </c>
      <c r="L87" s="6"/>
    </row>
    <row r="88" spans="1:12" x14ac:dyDescent="0.2">
      <c r="A88" s="1" t="str">
        <f>+'Maestro infraestructura'!A87</f>
        <v>CICLO INICIAL</v>
      </c>
      <c r="B88" s="1" t="str">
        <f>+'Maestro infraestructura'!B87</f>
        <v>1° Piso</v>
      </c>
      <c r="C88" s="1" t="str">
        <f>+'Maestro infraestructura'!C87</f>
        <v>S17</v>
      </c>
      <c r="D88" s="1" t="str">
        <f>+'Maestro infraestructura'!F87</f>
        <v>Enchufes</v>
      </c>
      <c r="E88" s="25" t="str">
        <f ca="1">+'Maestro infraestructura'!K87</f>
        <v>Activo</v>
      </c>
      <c r="F88" s="1" t="str">
        <f ca="1">+'Maestro infraestructura'!V87</f>
        <v>AL DÍA</v>
      </c>
      <c r="G88" s="1" t="str">
        <f>+'Maestro infraestructura'!X87</f>
        <v>GENERAL</v>
      </c>
      <c r="H88" s="1">
        <f>+'Maestro infraestructura'!Y87</f>
        <v>2</v>
      </c>
      <c r="I88" s="1"/>
      <c r="J88" s="6">
        <f>+'Maestro infraestructura'!T87</f>
        <v>46563</v>
      </c>
      <c r="K88" s="6">
        <f t="shared" ca="1" si="21"/>
        <v>46563</v>
      </c>
      <c r="L88" s="6"/>
    </row>
    <row r="89" spans="1:12" x14ac:dyDescent="0.2">
      <c r="A89" s="1" t="str">
        <f>+'Maestro infraestructura'!A88</f>
        <v>CICLO INICIAL</v>
      </c>
      <c r="B89" s="1" t="str">
        <f>+'Maestro infraestructura'!B88</f>
        <v>1° Piso</v>
      </c>
      <c r="C89" s="1" t="str">
        <f>+'Maestro infraestructura'!C88</f>
        <v>S17</v>
      </c>
      <c r="D89" s="1" t="str">
        <f>+'Maestro infraestructura'!F88</f>
        <v>TV</v>
      </c>
      <c r="E89" s="25" t="str">
        <f ca="1">+'Maestro infraestructura'!K88</f>
        <v>Activo</v>
      </c>
      <c r="F89" s="1" t="str">
        <f ca="1">+'Maestro infraestructura'!V88</f>
        <v>AL DÍA</v>
      </c>
      <c r="G89" s="1" t="str">
        <f>+'Maestro infraestructura'!X88</f>
        <v>OPERACIÓN</v>
      </c>
      <c r="H89" s="1">
        <f>+'Maestro infraestructura'!Y88</f>
        <v>2</v>
      </c>
      <c r="I89" s="1"/>
      <c r="J89" s="6">
        <f>+'Maestro infraestructura'!T88</f>
        <v>46563</v>
      </c>
      <c r="K89" s="6">
        <f t="shared" ca="1" si="21"/>
        <v>46563</v>
      </c>
      <c r="L89" s="6"/>
    </row>
    <row r="90" spans="1:12" x14ac:dyDescent="0.2">
      <c r="A90" s="1" t="str">
        <f>+'Maestro infraestructura'!A89</f>
        <v>CICLO INICIAL</v>
      </c>
      <c r="B90" s="1" t="str">
        <f>+'Maestro infraestructura'!B89</f>
        <v>1° Piso</v>
      </c>
      <c r="C90" s="1" t="str">
        <f>+'Maestro infraestructura'!C89</f>
        <v>S17</v>
      </c>
      <c r="D90" s="1" t="str">
        <f>+'Maestro infraestructura'!F89</f>
        <v>Pizarra</v>
      </c>
      <c r="E90" s="25" t="str">
        <f ca="1">+'Maestro infraestructura'!K89</f>
        <v>Activo</v>
      </c>
      <c r="F90" s="1" t="str">
        <f ca="1">+'Maestro infraestructura'!V89</f>
        <v>AL DÍA</v>
      </c>
      <c r="G90" s="1" t="str">
        <f>+'Maestro infraestructura'!X89</f>
        <v>OPERACIÓN</v>
      </c>
      <c r="H90" s="1">
        <f>+'Maestro infraestructura'!Y89</f>
        <v>2</v>
      </c>
      <c r="I90" s="1"/>
      <c r="J90" s="6">
        <f>+'Maestro infraestructura'!T89</f>
        <v>46563</v>
      </c>
      <c r="K90" s="6">
        <f t="shared" ca="1" si="21"/>
        <v>46563</v>
      </c>
      <c r="L90" s="6"/>
    </row>
    <row r="91" spans="1:12" x14ac:dyDescent="0.2">
      <c r="A91" s="1" t="str">
        <f>+'Maestro infraestructura'!A90</f>
        <v>CICLO INICIAL</v>
      </c>
      <c r="B91" s="1" t="str">
        <f>+'Maestro infraestructura'!B90</f>
        <v>1° Piso</v>
      </c>
      <c r="C91" s="1" t="str">
        <f>+'Maestro infraestructura'!C90</f>
        <v>S17</v>
      </c>
      <c r="D91" s="1" t="str">
        <f>+'Maestro infraestructura'!F90</f>
        <v>Puertas</v>
      </c>
      <c r="E91" s="25" t="str">
        <f ca="1">+'Maestro infraestructura'!K90</f>
        <v>Activo</v>
      </c>
      <c r="F91" s="1" t="str">
        <f ca="1">+'Maestro infraestructura'!V90</f>
        <v>AL DÍA</v>
      </c>
      <c r="G91" s="1" t="str">
        <f>+'Maestro infraestructura'!X90</f>
        <v>GENERAL</v>
      </c>
      <c r="H91" s="1">
        <f>+'Maestro infraestructura'!Y90</f>
        <v>2</v>
      </c>
      <c r="I91" s="1"/>
      <c r="J91" s="6">
        <f>+'Maestro infraestructura'!T90</f>
        <v>46563</v>
      </c>
      <c r="K91" s="6">
        <f t="shared" ca="1" si="21"/>
        <v>46563</v>
      </c>
      <c r="L91" s="6"/>
    </row>
    <row r="92" spans="1:12" x14ac:dyDescent="0.2">
      <c r="A92" s="1" t="str">
        <f>+'Maestro infraestructura'!A91</f>
        <v>CICLO INICIAL</v>
      </c>
      <c r="B92" s="1" t="str">
        <f>+'Maestro infraestructura'!B91</f>
        <v>1° Piso</v>
      </c>
      <c r="C92" s="1" t="str">
        <f>+'Maestro infraestructura'!C91</f>
        <v>S18</v>
      </c>
      <c r="D92" s="1" t="str">
        <f>+'Maestro infraestructura'!F91</f>
        <v>Ventanas</v>
      </c>
      <c r="E92" s="25" t="str">
        <f ca="1">+'Maestro infraestructura'!K91</f>
        <v>Activo</v>
      </c>
      <c r="F92" s="1" t="str">
        <f ca="1">+'Maestro infraestructura'!V91</f>
        <v>AL DÍA</v>
      </c>
      <c r="G92" s="1" t="str">
        <f>+'Maestro infraestructura'!X91</f>
        <v>SEGURIDAD</v>
      </c>
      <c r="H92" s="1">
        <f>+'Maestro infraestructura'!Y91</f>
        <v>2</v>
      </c>
      <c r="I92" s="1"/>
      <c r="J92" s="6">
        <f>+'Maestro infraestructura'!T91</f>
        <v>46563</v>
      </c>
      <c r="K92" s="6">
        <f t="shared" ca="1" si="21"/>
        <v>46563</v>
      </c>
      <c r="L92" s="6"/>
    </row>
    <row r="93" spans="1:12" x14ac:dyDescent="0.2">
      <c r="A93" s="1" t="str">
        <f>+'Maestro infraestructura'!A92</f>
        <v>CICLO INICIAL</v>
      </c>
      <c r="B93" s="1" t="str">
        <f>+'Maestro infraestructura'!B92</f>
        <v>1° Piso</v>
      </c>
      <c r="C93" s="1" t="str">
        <f>+'Maestro infraestructura'!C92</f>
        <v>S18</v>
      </c>
      <c r="D93" s="1" t="str">
        <f>+'Maestro infraestructura'!F92</f>
        <v>Radiadores</v>
      </c>
      <c r="E93" s="25" t="str">
        <f ca="1">+'Maestro infraestructura'!K92</f>
        <v>Activo</v>
      </c>
      <c r="F93" s="1" t="str">
        <f ca="1">+'Maestro infraestructura'!V92</f>
        <v>AL DÍA</v>
      </c>
      <c r="G93" s="1" t="str">
        <f>+'Maestro infraestructura'!X92</f>
        <v>GENERAL</v>
      </c>
      <c r="H93" s="1">
        <f>+'Maestro infraestructura'!Y92</f>
        <v>1</v>
      </c>
      <c r="I93" s="1"/>
      <c r="J93" s="6">
        <f>+'Maestro infraestructura'!T92</f>
        <v>46563</v>
      </c>
      <c r="K93" s="6">
        <f t="shared" ca="1" si="21"/>
        <v>46563</v>
      </c>
      <c r="L93" s="6"/>
    </row>
    <row r="94" spans="1:12" x14ac:dyDescent="0.2">
      <c r="A94" s="1" t="str">
        <f>+'Maestro infraestructura'!A93</f>
        <v>CICLO INICIAL</v>
      </c>
      <c r="B94" s="1" t="str">
        <f>+'Maestro infraestructura'!B93</f>
        <v>1° Piso</v>
      </c>
      <c r="C94" s="1" t="str">
        <f>+'Maestro infraestructura'!C93</f>
        <v>S18</v>
      </c>
      <c r="D94" s="1" t="str">
        <f>+'Maestro infraestructura'!F93</f>
        <v>Piso</v>
      </c>
      <c r="E94" s="25" t="str">
        <f ca="1">+'Maestro infraestructura'!K93</f>
        <v>Activo</v>
      </c>
      <c r="F94" s="1" t="str">
        <f ca="1">+'Maestro infraestructura'!V93</f>
        <v>AL DÍA</v>
      </c>
      <c r="G94" s="1" t="str">
        <f>+'Maestro infraestructura'!X93</f>
        <v>GENERAL</v>
      </c>
      <c r="H94" s="1">
        <f>+'Maestro infraestructura'!Y93</f>
        <v>2</v>
      </c>
      <c r="I94" s="6">
        <f>+'Maestro infraestructura'!S93</f>
        <v>46198</v>
      </c>
      <c r="J94" s="6">
        <f>+'Maestro infraestructura'!T93</f>
        <v>46563</v>
      </c>
      <c r="K94" s="6">
        <f t="shared" ca="1" si="21"/>
        <v>46563</v>
      </c>
      <c r="L94" s="6"/>
    </row>
    <row r="95" spans="1:12" x14ac:dyDescent="0.2">
      <c r="A95" s="1" t="str">
        <f>+'Maestro infraestructura'!A94</f>
        <v>CICLO INICIAL</v>
      </c>
      <c r="B95" s="1" t="str">
        <f>+'Maestro infraestructura'!B94</f>
        <v>1° Piso</v>
      </c>
      <c r="C95" s="1" t="str">
        <f>+'Maestro infraestructura'!C94</f>
        <v>S18</v>
      </c>
      <c r="D95" s="1" t="str">
        <f>+'Maestro infraestructura'!F94</f>
        <v>Enchufes</v>
      </c>
      <c r="E95" s="25" t="str">
        <f ca="1">+'Maestro infraestructura'!K94</f>
        <v>Activo</v>
      </c>
      <c r="F95" s="1" t="str">
        <f ca="1">+'Maestro infraestructura'!V94</f>
        <v>AL DÍA</v>
      </c>
      <c r="G95" s="1" t="str">
        <f>+'Maestro infraestructura'!X94</f>
        <v>GENERAL</v>
      </c>
      <c r="H95" s="1">
        <f>+'Maestro infraestructura'!Y94</f>
        <v>2</v>
      </c>
      <c r="I95" s="1"/>
      <c r="J95" s="6">
        <f>+'Maestro infraestructura'!T94</f>
        <v>46563</v>
      </c>
      <c r="K95" s="6">
        <f t="shared" ca="1" si="21"/>
        <v>46563</v>
      </c>
      <c r="L95" s="6"/>
    </row>
    <row r="96" spans="1:12" x14ac:dyDescent="0.2">
      <c r="A96" s="1" t="str">
        <f>+'Maestro infraestructura'!A95</f>
        <v>CICLO INICIAL</v>
      </c>
      <c r="B96" s="1" t="str">
        <f>+'Maestro infraestructura'!B95</f>
        <v>1° Piso</v>
      </c>
      <c r="C96" s="1" t="str">
        <f>+'Maestro infraestructura'!C95</f>
        <v>S18</v>
      </c>
      <c r="D96" s="1" t="str">
        <f>+'Maestro infraestructura'!F95</f>
        <v>TV</v>
      </c>
      <c r="E96" s="25" t="str">
        <f ca="1">+'Maestro infraestructura'!K95</f>
        <v>Activo</v>
      </c>
      <c r="F96" s="1" t="str">
        <f ca="1">+'Maestro infraestructura'!V95</f>
        <v>AL DÍA</v>
      </c>
      <c r="G96" s="1" t="str">
        <f>+'Maestro infraestructura'!X95</f>
        <v>OPERACIÓN</v>
      </c>
      <c r="H96" s="1">
        <f>+'Maestro infraestructura'!Y95</f>
        <v>2</v>
      </c>
      <c r="I96" s="1"/>
      <c r="J96" s="6">
        <f>+'Maestro infraestructura'!T95</f>
        <v>46563</v>
      </c>
      <c r="K96" s="6">
        <f t="shared" ca="1" si="21"/>
        <v>46563</v>
      </c>
      <c r="L96" s="6"/>
    </row>
    <row r="97" spans="1:12" x14ac:dyDescent="0.2">
      <c r="A97" s="1" t="str">
        <f>+'Maestro infraestructura'!A96</f>
        <v>CICLO INICIAL</v>
      </c>
      <c r="B97" s="1" t="str">
        <f>+'Maestro infraestructura'!B96</f>
        <v>1° Piso</v>
      </c>
      <c r="C97" s="1" t="str">
        <f>+'Maestro infraestructura'!C96</f>
        <v>S18</v>
      </c>
      <c r="D97" s="1" t="str">
        <f>+'Maestro infraestructura'!F96</f>
        <v>Pizarra</v>
      </c>
      <c r="E97" s="25" t="str">
        <f ca="1">+'Maestro infraestructura'!K96</f>
        <v>Activo</v>
      </c>
      <c r="F97" s="1" t="str">
        <f ca="1">+'Maestro infraestructura'!V96</f>
        <v>AL DÍA</v>
      </c>
      <c r="G97" s="1" t="str">
        <f>+'Maestro infraestructura'!X96</f>
        <v>OPERACIÓN</v>
      </c>
      <c r="H97" s="1">
        <f>+'Maestro infraestructura'!Y96</f>
        <v>2</v>
      </c>
      <c r="I97" s="1"/>
      <c r="J97" s="6">
        <f>+'Maestro infraestructura'!T96</f>
        <v>46563</v>
      </c>
      <c r="K97" s="6">
        <f t="shared" ca="1" si="21"/>
        <v>46563</v>
      </c>
      <c r="L97" s="6"/>
    </row>
    <row r="98" spans="1:12" x14ac:dyDescent="0.2">
      <c r="A98" s="1" t="str">
        <f>+'Maestro infraestructura'!A97</f>
        <v>CICLO INICIAL</v>
      </c>
      <c r="B98" s="1" t="str">
        <f>+'Maestro infraestructura'!B97</f>
        <v>1° Piso</v>
      </c>
      <c r="C98" s="1" t="str">
        <f>+'Maestro infraestructura'!C97</f>
        <v>S18</v>
      </c>
      <c r="D98" s="1" t="str">
        <f>+'Maestro infraestructura'!F97</f>
        <v>Puertas</v>
      </c>
      <c r="E98" s="25" t="str">
        <f ca="1">+'Maestro infraestructura'!K97</f>
        <v>Activo</v>
      </c>
      <c r="F98" s="1" t="str">
        <f ca="1">+'Maestro infraestructura'!V97</f>
        <v>AL DÍA</v>
      </c>
      <c r="G98" s="1" t="str">
        <f>+'Maestro infraestructura'!X97</f>
        <v>GENERAL</v>
      </c>
      <c r="H98" s="1">
        <f>+'Maestro infraestructura'!Y97</f>
        <v>2</v>
      </c>
      <c r="I98" s="1"/>
      <c r="J98" s="6">
        <f>+'Maestro infraestructura'!T97</f>
        <v>46563</v>
      </c>
      <c r="K98" s="6">
        <f t="shared" ca="1" si="21"/>
        <v>46563</v>
      </c>
      <c r="L98" s="6"/>
    </row>
    <row r="99" spans="1:12" x14ac:dyDescent="0.2">
      <c r="A99" s="1" t="str">
        <f>+'Maestro infraestructura'!A98</f>
        <v>CICLO INICIAL</v>
      </c>
      <c r="B99" s="1" t="str">
        <f>+'Maestro infraestructura'!B98</f>
        <v>1° Piso</v>
      </c>
      <c r="C99" s="1" t="str">
        <f>+'Maestro infraestructura'!C98</f>
        <v>COCINA</v>
      </c>
      <c r="D99" s="1" t="str">
        <f>+'Maestro infraestructura'!F98</f>
        <v>Ventanas</v>
      </c>
      <c r="E99" s="25" t="str">
        <f ca="1">+'Maestro infraestructura'!K98</f>
        <v>Activo</v>
      </c>
      <c r="F99" s="1" t="str">
        <f ca="1">+'Maestro infraestructura'!V98</f>
        <v>AL DÍA</v>
      </c>
      <c r="G99" s="1" t="str">
        <f>+'Maestro infraestructura'!X98</f>
        <v>SEGURIDAD</v>
      </c>
      <c r="H99" s="1">
        <f>+'Maestro infraestructura'!Y98</f>
        <v>2</v>
      </c>
      <c r="I99" s="1"/>
      <c r="J99" s="6">
        <f>+'Maestro infraestructura'!T98</f>
        <v>46563</v>
      </c>
      <c r="K99" s="6">
        <f t="shared" ca="1" si="21"/>
        <v>46563</v>
      </c>
      <c r="L99" s="6"/>
    </row>
    <row r="100" spans="1:12" x14ac:dyDescent="0.2">
      <c r="A100" s="1" t="str">
        <f>+'Maestro infraestructura'!A99</f>
        <v>CICLO INICIAL</v>
      </c>
      <c r="B100" s="1" t="str">
        <f>+'Maestro infraestructura'!B99</f>
        <v>1° Piso</v>
      </c>
      <c r="C100" s="1" t="str">
        <f>+'Maestro infraestructura'!C99</f>
        <v>COCINA</v>
      </c>
      <c r="D100" s="1" t="str">
        <f>+'Maestro infraestructura'!F99</f>
        <v>Radiadores</v>
      </c>
      <c r="E100" s="25" t="str">
        <f ca="1">+'Maestro infraestructura'!K99</f>
        <v>Activo</v>
      </c>
      <c r="F100" s="1" t="str">
        <f ca="1">+'Maestro infraestructura'!V99</f>
        <v>AL DÍA</v>
      </c>
      <c r="G100" s="1" t="str">
        <f>+'Maestro infraestructura'!X99</f>
        <v>GENERAL</v>
      </c>
      <c r="H100" s="1">
        <f>+'Maestro infraestructura'!Y99</f>
        <v>1</v>
      </c>
      <c r="I100" s="1"/>
      <c r="J100" s="6">
        <f>+'Maestro infraestructura'!T99</f>
        <v>46563</v>
      </c>
      <c r="K100" s="6">
        <f t="shared" ca="1" si="21"/>
        <v>46563</v>
      </c>
      <c r="L100" s="6"/>
    </row>
    <row r="101" spans="1:12" x14ac:dyDescent="0.2">
      <c r="A101" s="1" t="str">
        <f>+'Maestro infraestructura'!A100</f>
        <v>CICLO INICIAL</v>
      </c>
      <c r="B101" s="1" t="str">
        <f>+'Maestro infraestructura'!B100</f>
        <v>1° Piso</v>
      </c>
      <c r="C101" s="1" t="str">
        <f>+'Maestro infraestructura'!C100</f>
        <v>COCINA</v>
      </c>
      <c r="D101" s="1" t="str">
        <f>+'Maestro infraestructura'!F100</f>
        <v>Piso</v>
      </c>
      <c r="E101" s="25" t="str">
        <f ca="1">+'Maestro infraestructura'!K100</f>
        <v>Activo</v>
      </c>
      <c r="F101" s="1" t="str">
        <f ca="1">+'Maestro infraestructura'!V100</f>
        <v>AL DÍA</v>
      </c>
      <c r="G101" s="1" t="str">
        <f>+'Maestro infraestructura'!X100</f>
        <v>GENERAL</v>
      </c>
      <c r="H101" s="1">
        <f>+'Maestro infraestructura'!Y100</f>
        <v>2</v>
      </c>
      <c r="I101" s="6">
        <f>+'Maestro infraestructura'!S100</f>
        <v>46198</v>
      </c>
      <c r="J101" s="6">
        <f>+'Maestro infraestructura'!T100</f>
        <v>46563</v>
      </c>
      <c r="K101" s="6">
        <f t="shared" ca="1" si="21"/>
        <v>46563</v>
      </c>
      <c r="L101" s="6"/>
    </row>
    <row r="102" spans="1:12" x14ac:dyDescent="0.2">
      <c r="A102" s="1" t="str">
        <f>+'Maestro infraestructura'!A101</f>
        <v>CICLO INICIAL</v>
      </c>
      <c r="B102" s="1" t="str">
        <f>+'Maestro infraestructura'!B101</f>
        <v>1° Piso</v>
      </c>
      <c r="C102" s="1" t="str">
        <f>+'Maestro infraestructura'!C101</f>
        <v>COCINA</v>
      </c>
      <c r="D102" s="1" t="str">
        <f>+'Maestro infraestructura'!F101</f>
        <v>Enchufes</v>
      </c>
      <c r="E102" s="25" t="str">
        <f ca="1">+'Maestro infraestructura'!K101</f>
        <v>Activo</v>
      </c>
      <c r="F102" s="1" t="str">
        <f ca="1">+'Maestro infraestructura'!V101</f>
        <v>AL DÍA</v>
      </c>
      <c r="G102" s="1" t="str">
        <f>+'Maestro infraestructura'!X101</f>
        <v>GENERAL</v>
      </c>
      <c r="H102" s="1">
        <f>+'Maestro infraestructura'!Y101</f>
        <v>2</v>
      </c>
      <c r="I102" s="1"/>
      <c r="J102" s="6">
        <f>+'Maestro infraestructura'!T101</f>
        <v>46563</v>
      </c>
      <c r="K102" s="6">
        <f t="shared" ca="1" si="21"/>
        <v>46563</v>
      </c>
      <c r="L102" s="6"/>
    </row>
    <row r="103" spans="1:12" x14ac:dyDescent="0.2">
      <c r="A103" s="1" t="str">
        <f>+'Maestro infraestructura'!A102</f>
        <v>CICLO INICIAL</v>
      </c>
      <c r="B103" s="1" t="str">
        <f>+'Maestro infraestructura'!B102</f>
        <v>1° Piso</v>
      </c>
      <c r="C103" s="1" t="str">
        <f>+'Maestro infraestructura'!C102</f>
        <v>COCINA</v>
      </c>
      <c r="D103" s="1" t="str">
        <f>+'Maestro infraestructura'!F102</f>
        <v>Pizarra</v>
      </c>
      <c r="E103" s="25" t="str">
        <f ca="1">+'Maestro infraestructura'!K102</f>
        <v>Activo</v>
      </c>
      <c r="F103" s="1" t="str">
        <f ca="1">+'Maestro infraestructura'!V102</f>
        <v>AL DÍA</v>
      </c>
      <c r="G103" s="1" t="str">
        <f>+'Maestro infraestructura'!X102</f>
        <v>OPERACIÓN</v>
      </c>
      <c r="H103" s="1">
        <f>+'Maestro infraestructura'!Y102</f>
        <v>2</v>
      </c>
      <c r="I103" s="1"/>
      <c r="J103" s="6">
        <f>+'Maestro infraestructura'!T102</f>
        <v>46563</v>
      </c>
      <c r="K103" s="6">
        <f t="shared" ca="1" si="21"/>
        <v>46563</v>
      </c>
      <c r="L103" s="6"/>
    </row>
    <row r="104" spans="1:12" x14ac:dyDescent="0.2">
      <c r="A104" s="1" t="str">
        <f>+'Maestro infraestructura'!A103</f>
        <v>CICLO INICIAL</v>
      </c>
      <c r="B104" s="1" t="str">
        <f>+'Maestro infraestructura'!B103</f>
        <v>1° Piso</v>
      </c>
      <c r="C104" s="1" t="str">
        <f>+'Maestro infraestructura'!C103</f>
        <v>COCINA</v>
      </c>
      <c r="D104" s="1" t="str">
        <f>+'Maestro infraestructura'!F103</f>
        <v>Puertas</v>
      </c>
      <c r="E104" s="25" t="str">
        <f ca="1">+'Maestro infraestructura'!K103</f>
        <v>Activo</v>
      </c>
      <c r="F104" s="1" t="str">
        <f ca="1">+'Maestro infraestructura'!V103</f>
        <v>AL DÍA</v>
      </c>
      <c r="G104" s="1" t="str">
        <f>+'Maestro infraestructura'!X103</f>
        <v>GENERAL</v>
      </c>
      <c r="H104" s="1">
        <f>+'Maestro infraestructura'!Y103</f>
        <v>2</v>
      </c>
      <c r="I104" s="1"/>
      <c r="J104" s="6">
        <f>+'Maestro infraestructura'!T103</f>
        <v>46563</v>
      </c>
      <c r="K104" s="6">
        <f t="shared" ca="1" si="21"/>
        <v>46563</v>
      </c>
      <c r="L104" s="6"/>
    </row>
    <row r="105" spans="1:12" x14ac:dyDescent="0.2">
      <c r="A105" s="1" t="str">
        <f>+'Maestro infraestructura'!A104</f>
        <v>CICLO INICIAL</v>
      </c>
      <c r="B105" s="1" t="str">
        <f>+'Maestro infraestructura'!B104</f>
        <v>1° Piso</v>
      </c>
      <c r="C105" s="1" t="str">
        <f>+'Maestro infraestructura'!C104</f>
        <v>SPORT</v>
      </c>
      <c r="D105" s="1" t="str">
        <f>+'Maestro infraestructura'!F104</f>
        <v>Ventanas</v>
      </c>
      <c r="E105" s="25" t="str">
        <f ca="1">+'Maestro infraestructura'!K104</f>
        <v>Activo</v>
      </c>
      <c r="F105" s="1" t="str">
        <f ca="1">+'Maestro infraestructura'!V104</f>
        <v>AL DÍA</v>
      </c>
      <c r="G105" s="1" t="str">
        <f>+'Maestro infraestructura'!X104</f>
        <v>SEGURIDAD</v>
      </c>
      <c r="H105" s="1">
        <f>+'Maestro infraestructura'!Y104</f>
        <v>2</v>
      </c>
      <c r="I105" s="1"/>
      <c r="J105" s="6">
        <f>+'Maestro infraestructura'!T104</f>
        <v>46563</v>
      </c>
      <c r="K105" s="6">
        <f t="shared" ca="1" si="21"/>
        <v>46563</v>
      </c>
      <c r="L105" s="6"/>
    </row>
    <row r="106" spans="1:12" x14ac:dyDescent="0.2">
      <c r="A106" s="1" t="str">
        <f>+'Maestro infraestructura'!A105</f>
        <v>CICLO INICIAL</v>
      </c>
      <c r="B106" s="1" t="str">
        <f>+'Maestro infraestructura'!B105</f>
        <v>1° Piso</v>
      </c>
      <c r="C106" s="1" t="str">
        <f>+'Maestro infraestructura'!C105</f>
        <v>SPORT</v>
      </c>
      <c r="D106" s="1" t="str">
        <f>+'Maestro infraestructura'!F105</f>
        <v>Radiadores</v>
      </c>
      <c r="E106" s="25" t="str">
        <f ca="1">+'Maestro infraestructura'!K105</f>
        <v>Activo</v>
      </c>
      <c r="F106" s="1" t="str">
        <f ca="1">+'Maestro infraestructura'!V105</f>
        <v>AL DÍA</v>
      </c>
      <c r="G106" s="1" t="str">
        <f>+'Maestro infraestructura'!X105</f>
        <v>GENERAL</v>
      </c>
      <c r="H106" s="1">
        <f>+'Maestro infraestructura'!Y105</f>
        <v>1</v>
      </c>
      <c r="I106" s="1"/>
      <c r="J106" s="6">
        <f>+'Maestro infraestructura'!T105</f>
        <v>46563</v>
      </c>
      <c r="K106" s="6">
        <f t="shared" ca="1" si="21"/>
        <v>46563</v>
      </c>
      <c r="L106" s="6"/>
    </row>
    <row r="107" spans="1:12" x14ac:dyDescent="0.2">
      <c r="A107" s="1" t="str">
        <f>+'Maestro infraestructura'!A106</f>
        <v>CICLO INICIAL</v>
      </c>
      <c r="B107" s="1" t="str">
        <f>+'Maestro infraestructura'!B106</f>
        <v>1° Piso</v>
      </c>
      <c r="C107" s="1" t="str">
        <f>+'Maestro infraestructura'!C106</f>
        <v>SPORT</v>
      </c>
      <c r="D107" s="1" t="str">
        <f>+'Maestro infraestructura'!F106</f>
        <v>Piso</v>
      </c>
      <c r="E107" s="25" t="str">
        <f ca="1">+'Maestro infraestructura'!K106</f>
        <v>Activo</v>
      </c>
      <c r="F107" s="1" t="str">
        <f ca="1">+'Maestro infraestructura'!V106</f>
        <v>AL DÍA</v>
      </c>
      <c r="G107" s="1" t="str">
        <f>+'Maestro infraestructura'!X106</f>
        <v>GENERAL</v>
      </c>
      <c r="H107" s="1">
        <f>+'Maestro infraestructura'!Y106</f>
        <v>2</v>
      </c>
      <c r="I107" s="1"/>
      <c r="J107" s="6">
        <f>+'Maestro infraestructura'!T106</f>
        <v>46563</v>
      </c>
      <c r="K107" s="6">
        <f t="shared" ca="1" si="21"/>
        <v>46563</v>
      </c>
      <c r="L107" s="6"/>
    </row>
    <row r="108" spans="1:12" x14ac:dyDescent="0.2">
      <c r="A108" s="1" t="str">
        <f>+'Maestro infraestructura'!A107</f>
        <v>CICLO INICIAL</v>
      </c>
      <c r="B108" s="1" t="str">
        <f>+'Maestro infraestructura'!B107</f>
        <v>1° Piso</v>
      </c>
      <c r="C108" s="1" t="str">
        <f>+'Maestro infraestructura'!C107</f>
        <v>SPORT</v>
      </c>
      <c r="D108" s="1" t="str">
        <f>+'Maestro infraestructura'!F107</f>
        <v>Enchufes</v>
      </c>
      <c r="E108" s="25" t="str">
        <f ca="1">+'Maestro infraestructura'!K107</f>
        <v>Activo</v>
      </c>
      <c r="F108" s="1" t="str">
        <f ca="1">+'Maestro infraestructura'!V107</f>
        <v>AL DÍA</v>
      </c>
      <c r="G108" s="1" t="str">
        <f>+'Maestro infraestructura'!X107</f>
        <v>GENERAL</v>
      </c>
      <c r="H108" s="1">
        <f>+'Maestro infraestructura'!Y107</f>
        <v>2</v>
      </c>
      <c r="I108" s="1"/>
      <c r="J108" s="6">
        <f>+'Maestro infraestructura'!T107</f>
        <v>46563</v>
      </c>
      <c r="K108" s="6">
        <f t="shared" ca="1" si="21"/>
        <v>46563</v>
      </c>
      <c r="L108" s="6"/>
    </row>
    <row r="109" spans="1:12" x14ac:dyDescent="0.2">
      <c r="A109" s="1" t="str">
        <f>+'Maestro infraestructura'!A108</f>
        <v>CICLO INICIAL</v>
      </c>
      <c r="B109" s="1" t="str">
        <f>+'Maestro infraestructura'!B108</f>
        <v>1° Piso</v>
      </c>
      <c r="C109" s="1" t="str">
        <f>+'Maestro infraestructura'!C108</f>
        <v>SPORT</v>
      </c>
      <c r="D109" s="1" t="str">
        <f>+'Maestro infraestructura'!F108</f>
        <v>Pizarra</v>
      </c>
      <c r="E109" s="25" t="str">
        <f ca="1">+'Maestro infraestructura'!K108</f>
        <v>Activo</v>
      </c>
      <c r="F109" s="1" t="str">
        <f ca="1">+'Maestro infraestructura'!V108</f>
        <v>AL DÍA</v>
      </c>
      <c r="G109" s="1" t="str">
        <f>+'Maestro infraestructura'!X108</f>
        <v>OPERACIÓN</v>
      </c>
      <c r="H109" s="1">
        <f>+'Maestro infraestructura'!Y108</f>
        <v>2</v>
      </c>
      <c r="I109" s="1"/>
      <c r="J109" s="6">
        <f>+'Maestro infraestructura'!T108</f>
        <v>46563</v>
      </c>
      <c r="K109" s="6">
        <f t="shared" ca="1" si="21"/>
        <v>46563</v>
      </c>
      <c r="L109" s="6"/>
    </row>
    <row r="110" spans="1:12" x14ac:dyDescent="0.2">
      <c r="A110" s="1" t="str">
        <f>+'Maestro infraestructura'!A109</f>
        <v>CICLO INICIAL</v>
      </c>
      <c r="B110" s="1" t="str">
        <f>+'Maestro infraestructura'!B109</f>
        <v>1° Piso</v>
      </c>
      <c r="C110" s="1" t="str">
        <f>+'Maestro infraestructura'!C109</f>
        <v>SPORT</v>
      </c>
      <c r="D110" s="1" t="str">
        <f>+'Maestro infraestructura'!F109</f>
        <v>Puertas</v>
      </c>
      <c r="E110" s="25" t="str">
        <f ca="1">+'Maestro infraestructura'!K109</f>
        <v>Activo</v>
      </c>
      <c r="F110" s="1" t="str">
        <f ca="1">+'Maestro infraestructura'!V109</f>
        <v>AL DÍA</v>
      </c>
      <c r="G110" s="1" t="str">
        <f>+'Maestro infraestructura'!X109</f>
        <v>GENERAL</v>
      </c>
      <c r="H110" s="1">
        <f>+'Maestro infraestructura'!Y109</f>
        <v>2</v>
      </c>
      <c r="I110" s="1"/>
      <c r="J110" s="6">
        <f>+'Maestro infraestructura'!T109</f>
        <v>46563</v>
      </c>
      <c r="K110" s="6">
        <f t="shared" ca="1" si="21"/>
        <v>46563</v>
      </c>
      <c r="L110" s="6"/>
    </row>
    <row r="111" spans="1:12" x14ac:dyDescent="0.2">
      <c r="A111" s="1" t="str">
        <f>+'Maestro infraestructura'!A110</f>
        <v>CICLO INICIAL</v>
      </c>
      <c r="B111" s="1" t="str">
        <f>+'Maestro infraestructura'!B110</f>
        <v>1° Piso</v>
      </c>
      <c r="C111" s="1" t="str">
        <f>+'Maestro infraestructura'!C110</f>
        <v>WARTEKLASSE</v>
      </c>
      <c r="D111" s="1" t="str">
        <f>+'Maestro infraestructura'!F110</f>
        <v>Ventanas</v>
      </c>
      <c r="E111" s="25" t="str">
        <f ca="1">+'Maestro infraestructura'!K110</f>
        <v>Activo</v>
      </c>
      <c r="F111" s="1" t="str">
        <f ca="1">+'Maestro infraestructura'!V110</f>
        <v>AL DÍA</v>
      </c>
      <c r="G111" s="1" t="str">
        <f>+'Maestro infraestructura'!X110</f>
        <v>SEGURIDAD</v>
      </c>
      <c r="H111" s="1">
        <f>+'Maestro infraestructura'!Y110</f>
        <v>2</v>
      </c>
      <c r="I111" s="1"/>
      <c r="J111" s="6">
        <f>+'Maestro infraestructura'!T110</f>
        <v>46563</v>
      </c>
      <c r="K111" s="6">
        <f t="shared" ca="1" si="21"/>
        <v>46563</v>
      </c>
      <c r="L111" s="6"/>
    </row>
    <row r="112" spans="1:12" x14ac:dyDescent="0.2">
      <c r="A112" s="1" t="str">
        <f>+'Maestro infraestructura'!A111</f>
        <v>CICLO INICIAL</v>
      </c>
      <c r="B112" s="1" t="str">
        <f>+'Maestro infraestructura'!B111</f>
        <v>1° Piso</v>
      </c>
      <c r="C112" s="1" t="str">
        <f>+'Maestro infraestructura'!C111</f>
        <v>WARTEKLASSE</v>
      </c>
      <c r="D112" s="1" t="str">
        <f>+'Maestro infraestructura'!F111</f>
        <v>Radiadores</v>
      </c>
      <c r="E112" s="25" t="str">
        <f ca="1">+'Maestro infraestructura'!K111</f>
        <v>Activo</v>
      </c>
      <c r="F112" s="1" t="str">
        <f ca="1">+'Maestro infraestructura'!V111</f>
        <v>AL DÍA</v>
      </c>
      <c r="G112" s="1" t="str">
        <f>+'Maestro infraestructura'!X111</f>
        <v>GENERAL</v>
      </c>
      <c r="H112" s="1">
        <f>+'Maestro infraestructura'!Y111</f>
        <v>1</v>
      </c>
      <c r="I112" s="1"/>
      <c r="J112" s="6">
        <f>+'Maestro infraestructura'!T111</f>
        <v>46563</v>
      </c>
      <c r="K112" s="6">
        <f t="shared" ca="1" si="21"/>
        <v>46563</v>
      </c>
      <c r="L112" s="6"/>
    </row>
    <row r="113" spans="1:12" x14ac:dyDescent="0.2">
      <c r="A113" s="1" t="str">
        <f>+'Maestro infraestructura'!A112</f>
        <v>CICLO INICIAL</v>
      </c>
      <c r="B113" s="1" t="str">
        <f>+'Maestro infraestructura'!B112</f>
        <v>1° Piso</v>
      </c>
      <c r="C113" s="1" t="str">
        <f>+'Maestro infraestructura'!C112</f>
        <v>WARTEKLASSE</v>
      </c>
      <c r="D113" s="1" t="str">
        <f>+'Maestro infraestructura'!F112</f>
        <v>Piso</v>
      </c>
      <c r="E113" s="25" t="str">
        <f ca="1">+'Maestro infraestructura'!K112</f>
        <v>Activo</v>
      </c>
      <c r="F113" s="1" t="str">
        <f ca="1">+'Maestro infraestructura'!V112</f>
        <v>AL DÍA</v>
      </c>
      <c r="G113" s="1" t="str">
        <f>+'Maestro infraestructura'!X112</f>
        <v>GENERAL</v>
      </c>
      <c r="H113" s="1">
        <f>+'Maestro infraestructura'!Y112</f>
        <v>2</v>
      </c>
      <c r="I113" s="1"/>
      <c r="J113" s="6">
        <f>+'Maestro infraestructura'!T112</f>
        <v>46563</v>
      </c>
      <c r="K113" s="6">
        <f t="shared" ca="1" si="21"/>
        <v>46563</v>
      </c>
      <c r="L113" s="6"/>
    </row>
    <row r="114" spans="1:12" x14ac:dyDescent="0.2">
      <c r="A114" s="1" t="str">
        <f>+'Maestro infraestructura'!A113</f>
        <v>CICLO INICIAL</v>
      </c>
      <c r="B114" s="1" t="str">
        <f>+'Maestro infraestructura'!B113</f>
        <v>1° Piso</v>
      </c>
      <c r="C114" s="1" t="str">
        <f>+'Maestro infraestructura'!C113</f>
        <v>WARTEKLASSE</v>
      </c>
      <c r="D114" s="1" t="str">
        <f>+'Maestro infraestructura'!F113</f>
        <v>Enchufes</v>
      </c>
      <c r="E114" s="25" t="str">
        <f ca="1">+'Maestro infraestructura'!K113</f>
        <v>Activo</v>
      </c>
      <c r="F114" s="1" t="str">
        <f ca="1">+'Maestro infraestructura'!V113</f>
        <v>AL DÍA</v>
      </c>
      <c r="G114" s="1" t="str">
        <f>+'Maestro infraestructura'!X113</f>
        <v>GENERAL</v>
      </c>
      <c r="H114" s="1">
        <f>+'Maestro infraestructura'!Y113</f>
        <v>2</v>
      </c>
      <c r="I114" s="1"/>
      <c r="J114" s="6">
        <f>+'Maestro infraestructura'!T113</f>
        <v>46563</v>
      </c>
      <c r="K114" s="6">
        <f t="shared" ca="1" si="21"/>
        <v>46563</v>
      </c>
      <c r="L114" s="6"/>
    </row>
    <row r="115" spans="1:12" x14ac:dyDescent="0.2">
      <c r="A115" s="1" t="str">
        <f>+'Maestro infraestructura'!A114</f>
        <v>CICLO INICIAL</v>
      </c>
      <c r="B115" s="1" t="str">
        <f>+'Maestro infraestructura'!B114</f>
        <v>1° Piso</v>
      </c>
      <c r="C115" s="1" t="str">
        <f>+'Maestro infraestructura'!C114</f>
        <v>WARTEKLASSE</v>
      </c>
      <c r="D115" s="1" t="str">
        <f>+'Maestro infraestructura'!F114</f>
        <v>TV</v>
      </c>
      <c r="E115" s="25" t="str">
        <f ca="1">+'Maestro infraestructura'!K114</f>
        <v>Activo</v>
      </c>
      <c r="F115" s="1" t="str">
        <f ca="1">+'Maestro infraestructura'!V114</f>
        <v>AL DÍA</v>
      </c>
      <c r="G115" s="1" t="str">
        <f>+'Maestro infraestructura'!X114</f>
        <v>OPERACIÓN</v>
      </c>
      <c r="H115" s="1">
        <f>+'Maestro infraestructura'!Y114</f>
        <v>2</v>
      </c>
      <c r="I115" s="1"/>
      <c r="J115" s="6">
        <f>+'Maestro infraestructura'!T114</f>
        <v>46563</v>
      </c>
      <c r="K115" s="6">
        <f t="shared" ca="1" si="21"/>
        <v>46563</v>
      </c>
      <c r="L115" s="6"/>
    </row>
    <row r="116" spans="1:12" x14ac:dyDescent="0.2">
      <c r="A116" s="1" t="str">
        <f>+'Maestro infraestructura'!A115</f>
        <v>CICLO INICIAL</v>
      </c>
      <c r="B116" s="1" t="str">
        <f>+'Maestro infraestructura'!B115</f>
        <v>1° Piso</v>
      </c>
      <c r="C116" s="1" t="str">
        <f>+'Maestro infraestructura'!C115</f>
        <v>WARTEKLASSE</v>
      </c>
      <c r="D116" s="1" t="str">
        <f>+'Maestro infraestructura'!F115</f>
        <v>Pizarra</v>
      </c>
      <c r="E116" s="25" t="str">
        <f ca="1">+'Maestro infraestructura'!K115</f>
        <v>Activo</v>
      </c>
      <c r="F116" s="1" t="str">
        <f ca="1">+'Maestro infraestructura'!V115</f>
        <v>AL DÍA</v>
      </c>
      <c r="G116" s="1" t="str">
        <f>+'Maestro infraestructura'!X115</f>
        <v>OPERACIÓN</v>
      </c>
      <c r="H116" s="1">
        <f>+'Maestro infraestructura'!Y115</f>
        <v>2</v>
      </c>
      <c r="I116" s="1"/>
      <c r="J116" s="6">
        <f>+'Maestro infraestructura'!T115</f>
        <v>46563</v>
      </c>
      <c r="K116" s="6">
        <f t="shared" ca="1" si="21"/>
        <v>46563</v>
      </c>
      <c r="L116" s="6"/>
    </row>
    <row r="117" spans="1:12" x14ac:dyDescent="0.2">
      <c r="A117" s="1" t="str">
        <f>+'Maestro infraestructura'!A116</f>
        <v>CICLO INICIAL</v>
      </c>
      <c r="B117" s="1" t="str">
        <f>+'Maestro infraestructura'!B116</f>
        <v>1° Piso</v>
      </c>
      <c r="C117" s="1" t="str">
        <f>+'Maestro infraestructura'!C116</f>
        <v>WARTEKLASSE</v>
      </c>
      <c r="D117" s="1" t="str">
        <f>+'Maestro infraestructura'!F116</f>
        <v>Puertas</v>
      </c>
      <c r="E117" s="25" t="str">
        <f ca="1">+'Maestro infraestructura'!K116</f>
        <v>Activo</v>
      </c>
      <c r="F117" s="1" t="str">
        <f ca="1">+'Maestro infraestructura'!V116</f>
        <v>AL DÍA</v>
      </c>
      <c r="G117" s="1" t="str">
        <f>+'Maestro infraestructura'!X116</f>
        <v>GENERAL</v>
      </c>
      <c r="H117" s="1">
        <f>+'Maestro infraestructura'!Y116</f>
        <v>2</v>
      </c>
      <c r="I117" s="1"/>
      <c r="J117" s="6">
        <f>+'Maestro infraestructura'!T116</f>
        <v>46563</v>
      </c>
      <c r="K117" s="6">
        <f t="shared" ca="1" si="21"/>
        <v>46563</v>
      </c>
      <c r="L117" s="6"/>
    </row>
    <row r="118" spans="1:12" x14ac:dyDescent="0.2">
      <c r="A118" s="1" t="str">
        <f>+'Maestro infraestructura'!A117</f>
        <v>CICLO INICIAL</v>
      </c>
      <c r="B118" s="1" t="str">
        <f>+'Maestro infraestructura'!B117</f>
        <v>1° Piso</v>
      </c>
      <c r="C118" s="1" t="str">
        <f>+'Maestro infraestructura'!C117</f>
        <v>K1A</v>
      </c>
      <c r="D118" s="1" t="str">
        <f>+'Maestro infraestructura'!F117</f>
        <v>Sillas alumnos</v>
      </c>
      <c r="E118" s="25" t="str">
        <f ca="1">+'Maestro infraestructura'!K117</f>
        <v>Activo</v>
      </c>
      <c r="F118" s="1" t="str">
        <f ca="1">+'Maestro infraestructura'!V117</f>
        <v>AL DÍA</v>
      </c>
      <c r="G118" s="1" t="str">
        <f>+'Maestro infraestructura'!X117</f>
        <v>OPERACIÓN</v>
      </c>
      <c r="H118" s="1">
        <f>+'Maestro infraestructura'!Y117</f>
        <v>2</v>
      </c>
      <c r="I118" s="1"/>
      <c r="J118" s="6">
        <f>+'Maestro infraestructura'!T117</f>
        <v>46378</v>
      </c>
      <c r="K118" s="6">
        <f t="shared" ca="1" si="21"/>
        <v>46378</v>
      </c>
      <c r="L118" s="6"/>
    </row>
    <row r="119" spans="1:12" x14ac:dyDescent="0.2">
      <c r="A119" s="1" t="str">
        <f>+'Maestro infraestructura'!A118</f>
        <v>CICLO INICIAL</v>
      </c>
      <c r="B119" s="1" t="str">
        <f>+'Maestro infraestructura'!B118</f>
        <v>1° Piso</v>
      </c>
      <c r="C119" s="1" t="str">
        <f>+'Maestro infraestructura'!C118</f>
        <v>K1B</v>
      </c>
      <c r="D119" s="1" t="str">
        <f>+'Maestro infraestructura'!F118</f>
        <v>Sillas alumnos</v>
      </c>
      <c r="E119" s="25" t="str">
        <f ca="1">+'Maestro infraestructura'!K118</f>
        <v>Activo</v>
      </c>
      <c r="F119" s="1" t="str">
        <f ca="1">+'Maestro infraestructura'!V118</f>
        <v>AL DÍA</v>
      </c>
      <c r="G119" s="1" t="str">
        <f>+'Maestro infraestructura'!X118</f>
        <v>OPERACIÓN</v>
      </c>
      <c r="H119" s="1">
        <f>+'Maestro infraestructura'!Y118</f>
        <v>2</v>
      </c>
      <c r="I119" s="1"/>
      <c r="J119" s="6">
        <f>+'Maestro infraestructura'!T118</f>
        <v>46378</v>
      </c>
      <c r="K119" s="6">
        <f t="shared" ca="1" si="21"/>
        <v>46378</v>
      </c>
      <c r="L119" s="6"/>
    </row>
    <row r="120" spans="1:12" x14ac:dyDescent="0.2">
      <c r="A120" s="1" t="str">
        <f>+'Maestro infraestructura'!A119</f>
        <v>CICLO INICIAL</v>
      </c>
      <c r="B120" s="1" t="str">
        <f>+'Maestro infraestructura'!B119</f>
        <v>1° Piso</v>
      </c>
      <c r="C120" s="1" t="str">
        <f>+'Maestro infraestructura'!C119</f>
        <v>K1C</v>
      </c>
      <c r="D120" s="1" t="str">
        <f>+'Maestro infraestructura'!F119</f>
        <v>Sillas alumnos</v>
      </c>
      <c r="E120" s="25" t="str">
        <f ca="1">+'Maestro infraestructura'!K119</f>
        <v>Activo</v>
      </c>
      <c r="F120" s="1" t="str">
        <f ca="1">+'Maestro infraestructura'!V119</f>
        <v>AL DÍA</v>
      </c>
      <c r="G120" s="1" t="str">
        <f>+'Maestro infraestructura'!X119</f>
        <v>OPERACIÓN</v>
      </c>
      <c r="H120" s="1">
        <f>+'Maestro infraestructura'!Y119</f>
        <v>2</v>
      </c>
      <c r="I120" s="1"/>
      <c r="J120" s="6">
        <f>+'Maestro infraestructura'!T119</f>
        <v>46378</v>
      </c>
      <c r="K120" s="6">
        <f t="shared" ca="1" si="21"/>
        <v>46378</v>
      </c>
      <c r="L120" s="6"/>
    </row>
    <row r="121" spans="1:12" x14ac:dyDescent="0.2">
      <c r="A121" s="1" t="str">
        <f>+'Maestro infraestructura'!A120</f>
        <v>CICLO INICIAL</v>
      </c>
      <c r="B121" s="1" t="str">
        <f>+'Maestro infraestructura'!B120</f>
        <v>1° Piso</v>
      </c>
      <c r="C121" s="1" t="str">
        <f>+'Maestro infraestructura'!C120</f>
        <v>K1D</v>
      </c>
      <c r="D121" s="1" t="str">
        <f>+'Maestro infraestructura'!F120</f>
        <v>Sillas alumnos</v>
      </c>
      <c r="E121" s="25" t="str">
        <f ca="1">+'Maestro infraestructura'!K120</f>
        <v>Activo</v>
      </c>
      <c r="F121" s="1" t="str">
        <f ca="1">+'Maestro infraestructura'!V120</f>
        <v>AL DÍA</v>
      </c>
      <c r="G121" s="1" t="str">
        <f>+'Maestro infraestructura'!X120</f>
        <v>OPERACIÓN</v>
      </c>
      <c r="H121" s="1">
        <f>+'Maestro infraestructura'!Y120</f>
        <v>2</v>
      </c>
      <c r="I121" s="1"/>
      <c r="J121" s="6">
        <f>+'Maestro infraestructura'!T120</f>
        <v>46378</v>
      </c>
      <c r="K121" s="6">
        <f t="shared" ca="1" si="21"/>
        <v>46378</v>
      </c>
      <c r="L121" s="6"/>
    </row>
    <row r="122" spans="1:12" x14ac:dyDescent="0.2">
      <c r="A122" s="1" t="str">
        <f>+'Maestro infraestructura'!A121</f>
        <v>CICLO INICIAL</v>
      </c>
      <c r="B122" s="1" t="str">
        <f>+'Maestro infraestructura'!B121</f>
        <v>1° Piso</v>
      </c>
      <c r="C122" s="1" t="str">
        <f>+'Maestro infraestructura'!C121</f>
        <v>K2A</v>
      </c>
      <c r="D122" s="1" t="str">
        <f>+'Maestro infraestructura'!F121</f>
        <v>Sillas alumnos</v>
      </c>
      <c r="E122" s="25" t="str">
        <f ca="1">+'Maestro infraestructura'!K121</f>
        <v>Activo</v>
      </c>
      <c r="F122" s="1" t="str">
        <f ca="1">+'Maestro infraestructura'!V121</f>
        <v>AL DÍA</v>
      </c>
      <c r="G122" s="1" t="str">
        <f>+'Maestro infraestructura'!X121</f>
        <v>OPERACIÓN</v>
      </c>
      <c r="H122" s="1">
        <f>+'Maestro infraestructura'!Y121</f>
        <v>2</v>
      </c>
      <c r="I122" s="1"/>
      <c r="J122" s="6">
        <f>+'Maestro infraestructura'!T121</f>
        <v>46378</v>
      </c>
      <c r="K122" s="6">
        <f t="shared" ca="1" si="21"/>
        <v>46378</v>
      </c>
      <c r="L122" s="6"/>
    </row>
    <row r="123" spans="1:12" x14ac:dyDescent="0.2">
      <c r="A123" s="1" t="str">
        <f>+'Maestro infraestructura'!A122</f>
        <v>CICLO INICIAL</v>
      </c>
      <c r="B123" s="1" t="str">
        <f>+'Maestro infraestructura'!B122</f>
        <v>1° Piso</v>
      </c>
      <c r="C123" s="1" t="str">
        <f>+'Maestro infraestructura'!C122</f>
        <v>K2B</v>
      </c>
      <c r="D123" s="1" t="str">
        <f>+'Maestro infraestructura'!F122</f>
        <v>Sillas alumnos</v>
      </c>
      <c r="E123" s="25" t="str">
        <f ca="1">+'Maestro infraestructura'!K122</f>
        <v>Activo</v>
      </c>
      <c r="F123" s="1" t="str">
        <f ca="1">+'Maestro infraestructura'!V122</f>
        <v>AL DÍA</v>
      </c>
      <c r="G123" s="1" t="str">
        <f>+'Maestro infraestructura'!X122</f>
        <v>OPERACIÓN</v>
      </c>
      <c r="H123" s="1">
        <f>+'Maestro infraestructura'!Y122</f>
        <v>2</v>
      </c>
      <c r="I123" s="1"/>
      <c r="J123" s="6">
        <f>+'Maestro infraestructura'!T122</f>
        <v>46378</v>
      </c>
      <c r="K123" s="6">
        <f t="shared" ca="1" si="21"/>
        <v>46378</v>
      </c>
      <c r="L123" s="6"/>
    </row>
    <row r="124" spans="1:12" x14ac:dyDescent="0.2">
      <c r="A124" s="1" t="str">
        <f>+'Maestro infraestructura'!A123</f>
        <v>CICLO INICIAL</v>
      </c>
      <c r="B124" s="1" t="str">
        <f>+'Maestro infraestructura'!B123</f>
        <v>1° Piso</v>
      </c>
      <c r="C124" s="1" t="str">
        <f>+'Maestro infraestructura'!C123</f>
        <v>K2C</v>
      </c>
      <c r="D124" s="1" t="str">
        <f>+'Maestro infraestructura'!F123</f>
        <v>Sillas alumnos</v>
      </c>
      <c r="E124" s="25" t="str">
        <f ca="1">+'Maestro infraestructura'!K123</f>
        <v>Activo</v>
      </c>
      <c r="F124" s="1" t="str">
        <f ca="1">+'Maestro infraestructura'!V123</f>
        <v>AL DÍA</v>
      </c>
      <c r="G124" s="1" t="str">
        <f>+'Maestro infraestructura'!X123</f>
        <v>OPERACIÓN</v>
      </c>
      <c r="H124" s="1">
        <f>+'Maestro infraestructura'!Y123</f>
        <v>2</v>
      </c>
      <c r="I124" s="1"/>
      <c r="J124" s="6">
        <f>+'Maestro infraestructura'!T123</f>
        <v>46378</v>
      </c>
      <c r="K124" s="6">
        <f t="shared" ca="1" si="21"/>
        <v>46378</v>
      </c>
      <c r="L124" s="6"/>
    </row>
    <row r="125" spans="1:12" x14ac:dyDescent="0.2">
      <c r="A125" s="1" t="str">
        <f>+'Maestro infraestructura'!A124</f>
        <v>CICLO INICIAL</v>
      </c>
      <c r="B125" s="1" t="str">
        <f>+'Maestro infraestructura'!B124</f>
        <v>1° Piso</v>
      </c>
      <c r="C125" s="1" t="str">
        <f>+'Maestro infraestructura'!C124</f>
        <v>K2D</v>
      </c>
      <c r="D125" s="1" t="str">
        <f>+'Maestro infraestructura'!F124</f>
        <v>Sillas alumnos</v>
      </c>
      <c r="E125" s="25" t="str">
        <f ca="1">+'Maestro infraestructura'!K124</f>
        <v>Activo</v>
      </c>
      <c r="F125" s="1" t="str">
        <f ca="1">+'Maestro infraestructura'!V124</f>
        <v>AL DÍA</v>
      </c>
      <c r="G125" s="1" t="str">
        <f>+'Maestro infraestructura'!X124</f>
        <v>OPERACIÓN</v>
      </c>
      <c r="H125" s="1">
        <f>+'Maestro infraestructura'!Y124</f>
        <v>2</v>
      </c>
      <c r="I125" s="1"/>
      <c r="J125" s="6">
        <f>+'Maestro infraestructura'!T124</f>
        <v>46378</v>
      </c>
      <c r="K125" s="6">
        <f t="shared" ca="1" si="21"/>
        <v>46378</v>
      </c>
      <c r="L125" s="6"/>
    </row>
    <row r="126" spans="1:12" x14ac:dyDescent="0.2">
      <c r="A126" s="1" t="str">
        <f>+'Maestro infraestructura'!A125</f>
        <v>CICLO INICIAL</v>
      </c>
      <c r="B126" s="1" t="str">
        <f>+'Maestro infraestructura'!B125</f>
        <v>1° Piso</v>
      </c>
      <c r="C126" s="1" t="str">
        <f>+'Maestro infraestructura'!C125</f>
        <v>S17</v>
      </c>
      <c r="D126" s="1" t="str">
        <f>+'Maestro infraestructura'!F125</f>
        <v>Sillas alumnos</v>
      </c>
      <c r="E126" s="25" t="str">
        <f ca="1">+'Maestro infraestructura'!K125</f>
        <v>Activo</v>
      </c>
      <c r="F126" s="1" t="str">
        <f ca="1">+'Maestro infraestructura'!V125</f>
        <v>AL DÍA</v>
      </c>
      <c r="G126" s="1" t="str">
        <f>+'Maestro infraestructura'!X125</f>
        <v>OPERACIÓN</v>
      </c>
      <c r="H126" s="1">
        <f>+'Maestro infraestructura'!Y125</f>
        <v>2</v>
      </c>
      <c r="I126" s="1"/>
      <c r="J126" s="6">
        <f>+'Maestro infraestructura'!T125</f>
        <v>46378</v>
      </c>
      <c r="K126" s="6">
        <f t="shared" ca="1" si="21"/>
        <v>46378</v>
      </c>
      <c r="L126" s="6"/>
    </row>
    <row r="127" spans="1:12" x14ac:dyDescent="0.2">
      <c r="A127" s="1" t="str">
        <f>+'Maestro infraestructura'!A126</f>
        <v>CICLO INICIAL</v>
      </c>
      <c r="B127" s="1" t="str">
        <f>+'Maestro infraestructura'!B126</f>
        <v>1° Piso</v>
      </c>
      <c r="C127" s="1" t="str">
        <f>+'Maestro infraestructura'!C126</f>
        <v>S18</v>
      </c>
      <c r="D127" s="1" t="str">
        <f>+'Maestro infraestructura'!F126</f>
        <v>Sillas alumnos</v>
      </c>
      <c r="E127" s="25" t="str">
        <f ca="1">+'Maestro infraestructura'!K126</f>
        <v>Activo</v>
      </c>
      <c r="F127" s="1" t="str">
        <f ca="1">+'Maestro infraestructura'!V126</f>
        <v>AL DÍA</v>
      </c>
      <c r="G127" s="1" t="str">
        <f>+'Maestro infraestructura'!X126</f>
        <v>OPERACIÓN</v>
      </c>
      <c r="H127" s="1">
        <f>+'Maestro infraestructura'!Y126</f>
        <v>2</v>
      </c>
      <c r="I127" s="1"/>
      <c r="J127" s="6">
        <f>+'Maestro infraestructura'!T126</f>
        <v>46378</v>
      </c>
      <c r="K127" s="6">
        <f t="shared" ca="1" si="21"/>
        <v>46378</v>
      </c>
      <c r="L127" s="6"/>
    </row>
    <row r="128" spans="1:12" x14ac:dyDescent="0.2">
      <c r="A128" s="1" t="str">
        <f>+'Maestro infraestructura'!A127</f>
        <v>CICLO INICIAL</v>
      </c>
      <c r="B128" s="1" t="str">
        <f>+'Maestro infraestructura'!B127</f>
        <v>1° Piso</v>
      </c>
      <c r="C128" s="1" t="str">
        <f>+'Maestro infraestructura'!C127</f>
        <v>COCINA</v>
      </c>
      <c r="D128" s="1" t="str">
        <f>+'Maestro infraestructura'!F127</f>
        <v>Sillas alumnos</v>
      </c>
      <c r="E128" s="25" t="str">
        <f ca="1">+'Maestro infraestructura'!K127</f>
        <v>Activo</v>
      </c>
      <c r="F128" s="1" t="str">
        <f ca="1">+'Maestro infraestructura'!V127</f>
        <v>AL DÍA</v>
      </c>
      <c r="G128" s="1" t="str">
        <f>+'Maestro infraestructura'!X127</f>
        <v>OPERACIÓN</v>
      </c>
      <c r="H128" s="1">
        <f>+'Maestro infraestructura'!Y127</f>
        <v>2</v>
      </c>
      <c r="I128" s="1"/>
      <c r="J128" s="6">
        <f>+'Maestro infraestructura'!T127</f>
        <v>46378</v>
      </c>
      <c r="K128" s="6">
        <f t="shared" ca="1" si="21"/>
        <v>46378</v>
      </c>
      <c r="L128" s="6"/>
    </row>
    <row r="129" spans="1:12" x14ac:dyDescent="0.2">
      <c r="A129" s="1" t="str">
        <f>+'Maestro infraestructura'!A128</f>
        <v>CICLO INICIAL</v>
      </c>
      <c r="B129" s="1" t="str">
        <f>+'Maestro infraestructura'!B128</f>
        <v>1° Piso</v>
      </c>
      <c r="C129" s="1" t="str">
        <f>+'Maestro infraestructura'!C128</f>
        <v>SPORT</v>
      </c>
      <c r="D129" s="1" t="str">
        <f>+'Maestro infraestructura'!F128</f>
        <v>Sillas alumnos</v>
      </c>
      <c r="E129" s="25" t="str">
        <f ca="1">+'Maestro infraestructura'!K128</f>
        <v>Activo</v>
      </c>
      <c r="F129" s="1" t="str">
        <f ca="1">+'Maestro infraestructura'!V128</f>
        <v>AL DÍA</v>
      </c>
      <c r="G129" s="1" t="str">
        <f>+'Maestro infraestructura'!X128</f>
        <v>OPERACIÓN</v>
      </c>
      <c r="H129" s="1">
        <f>+'Maestro infraestructura'!Y128</f>
        <v>2</v>
      </c>
      <c r="I129" s="1"/>
      <c r="J129" s="6">
        <f>+'Maestro infraestructura'!T128</f>
        <v>46378</v>
      </c>
      <c r="K129" s="6">
        <f t="shared" ca="1" si="21"/>
        <v>46378</v>
      </c>
      <c r="L129" s="6"/>
    </row>
    <row r="130" spans="1:12" x14ac:dyDescent="0.2">
      <c r="A130" s="1" t="str">
        <f>+'Maestro infraestructura'!A129</f>
        <v>CICLO INICIAL</v>
      </c>
      <c r="B130" s="1" t="str">
        <f>+'Maestro infraestructura'!B129</f>
        <v>1° Piso</v>
      </c>
      <c r="C130" s="1" t="str">
        <f>+'Maestro infraestructura'!C129</f>
        <v>WARTEKLASSE</v>
      </c>
      <c r="D130" s="1" t="str">
        <f>+'Maestro infraestructura'!F129</f>
        <v>Sillas alumnos</v>
      </c>
      <c r="E130" s="25" t="str">
        <f ca="1">+'Maestro infraestructura'!K129</f>
        <v>Activo</v>
      </c>
      <c r="F130" s="1" t="str">
        <f ca="1">+'Maestro infraestructura'!V129</f>
        <v>AL DÍA</v>
      </c>
      <c r="G130" s="1" t="str">
        <f>+'Maestro infraestructura'!X129</f>
        <v>OPERACIÓN</v>
      </c>
      <c r="H130" s="1">
        <f>+'Maestro infraestructura'!Y129</f>
        <v>2</v>
      </c>
      <c r="I130" s="1"/>
      <c r="J130" s="6">
        <f>+'Maestro infraestructura'!T129</f>
        <v>46378</v>
      </c>
      <c r="K130" s="6">
        <f t="shared" ca="1" si="21"/>
        <v>46378</v>
      </c>
      <c r="L130" s="6"/>
    </row>
    <row r="131" spans="1:12" x14ac:dyDescent="0.2">
      <c r="A131" s="1" t="str">
        <f>+'Maestro infraestructura'!A130</f>
        <v>CICLO INICIAL</v>
      </c>
      <c r="B131" s="1" t="str">
        <f>+'Maestro infraestructura'!B130</f>
        <v>1° Piso</v>
      </c>
      <c r="C131" s="1" t="str">
        <f>+'Maestro infraestructura'!C130</f>
        <v>K1A</v>
      </c>
      <c r="D131" s="1" t="str">
        <f>+'Maestro infraestructura'!F130</f>
        <v>Pupitre</v>
      </c>
      <c r="E131" s="25" t="str">
        <f ca="1">+'Maestro infraestructura'!K130</f>
        <v>Activo</v>
      </c>
      <c r="F131" s="1" t="str">
        <f ca="1">+'Maestro infraestructura'!V130</f>
        <v>AL DÍA</v>
      </c>
      <c r="G131" s="1" t="str">
        <f>+'Maestro infraestructura'!X130</f>
        <v>OPERACIÓN</v>
      </c>
      <c r="H131" s="1">
        <f>+'Maestro infraestructura'!Y130</f>
        <v>2</v>
      </c>
      <c r="I131" s="1"/>
      <c r="J131" s="6">
        <f>+'Maestro infraestructura'!T130</f>
        <v>46378</v>
      </c>
      <c r="K131" s="6">
        <f t="shared" ca="1" si="21"/>
        <v>46378</v>
      </c>
      <c r="L131" s="6"/>
    </row>
    <row r="132" spans="1:12" x14ac:dyDescent="0.2">
      <c r="A132" s="1" t="str">
        <f>+'Maestro infraestructura'!A131</f>
        <v>CICLO INICIAL</v>
      </c>
      <c r="B132" s="1" t="str">
        <f>+'Maestro infraestructura'!B131</f>
        <v>1° Piso</v>
      </c>
      <c r="C132" s="1" t="str">
        <f>+'Maestro infraestructura'!C131</f>
        <v>K1B</v>
      </c>
      <c r="D132" s="1" t="str">
        <f>+'Maestro infraestructura'!F131</f>
        <v>Pupitre</v>
      </c>
      <c r="E132" s="25" t="str">
        <f ca="1">+'Maestro infraestructura'!K131</f>
        <v>Activo</v>
      </c>
      <c r="F132" s="1" t="str">
        <f ca="1">+'Maestro infraestructura'!V131</f>
        <v>AL DÍA</v>
      </c>
      <c r="G132" s="1" t="str">
        <f>+'Maestro infraestructura'!X131</f>
        <v>OPERACIÓN</v>
      </c>
      <c r="H132" s="1">
        <f>+'Maestro infraestructura'!Y131</f>
        <v>2</v>
      </c>
      <c r="I132" s="1"/>
      <c r="J132" s="6">
        <f>+'Maestro infraestructura'!T131</f>
        <v>46378</v>
      </c>
      <c r="K132" s="6">
        <f t="shared" ref="K132:K195" ca="1" si="22">IF(E132="Cambiar o Inspección externa",1/1/2027,IF(E132="cambiar",1/1/2027,J132))</f>
        <v>46378</v>
      </c>
      <c r="L132" s="6"/>
    </row>
    <row r="133" spans="1:12" x14ac:dyDescent="0.2">
      <c r="A133" s="1" t="str">
        <f>+'Maestro infraestructura'!A132</f>
        <v>CICLO INICIAL</v>
      </c>
      <c r="B133" s="1" t="str">
        <f>+'Maestro infraestructura'!B132</f>
        <v>1° Piso</v>
      </c>
      <c r="C133" s="1" t="str">
        <f>+'Maestro infraestructura'!C132</f>
        <v>K1C</v>
      </c>
      <c r="D133" s="1" t="str">
        <f>+'Maestro infraestructura'!F132</f>
        <v>Pupitre</v>
      </c>
      <c r="E133" s="25" t="str">
        <f ca="1">+'Maestro infraestructura'!K132</f>
        <v>Activo</v>
      </c>
      <c r="F133" s="1" t="str">
        <f ca="1">+'Maestro infraestructura'!V132</f>
        <v>AL DÍA</v>
      </c>
      <c r="G133" s="1" t="str">
        <f>+'Maestro infraestructura'!X132</f>
        <v>OPERACIÓN</v>
      </c>
      <c r="H133" s="1">
        <f>+'Maestro infraestructura'!Y132</f>
        <v>2</v>
      </c>
      <c r="I133" s="1"/>
      <c r="J133" s="6">
        <f>+'Maestro infraestructura'!T132</f>
        <v>46378</v>
      </c>
      <c r="K133" s="6">
        <f t="shared" ca="1" si="22"/>
        <v>46378</v>
      </c>
      <c r="L133" s="6"/>
    </row>
    <row r="134" spans="1:12" x14ac:dyDescent="0.2">
      <c r="A134" s="1" t="str">
        <f>+'Maestro infraestructura'!A133</f>
        <v>CICLO INICIAL</v>
      </c>
      <c r="B134" s="1" t="str">
        <f>+'Maestro infraestructura'!B133</f>
        <v>1° Piso</v>
      </c>
      <c r="C134" s="1" t="str">
        <f>+'Maestro infraestructura'!C133</f>
        <v>K1D</v>
      </c>
      <c r="D134" s="1" t="str">
        <f>+'Maestro infraestructura'!F133</f>
        <v>Pupitre</v>
      </c>
      <c r="E134" s="25" t="str">
        <f ca="1">+'Maestro infraestructura'!K133</f>
        <v>Activo</v>
      </c>
      <c r="F134" s="1" t="str">
        <f ca="1">+'Maestro infraestructura'!V133</f>
        <v>AL DÍA</v>
      </c>
      <c r="G134" s="1" t="str">
        <f>+'Maestro infraestructura'!X133</f>
        <v>OPERACIÓN</v>
      </c>
      <c r="H134" s="1">
        <f>+'Maestro infraestructura'!Y133</f>
        <v>2</v>
      </c>
      <c r="I134" s="1"/>
      <c r="J134" s="6">
        <f>+'Maestro infraestructura'!T133</f>
        <v>46378</v>
      </c>
      <c r="K134" s="6">
        <f t="shared" ca="1" si="22"/>
        <v>46378</v>
      </c>
      <c r="L134" s="6"/>
    </row>
    <row r="135" spans="1:12" x14ac:dyDescent="0.2">
      <c r="A135" s="1" t="str">
        <f>+'Maestro infraestructura'!A134</f>
        <v>CICLO INICIAL</v>
      </c>
      <c r="B135" s="1" t="str">
        <f>+'Maestro infraestructura'!B134</f>
        <v>1° Piso</v>
      </c>
      <c r="C135" s="1" t="str">
        <f>+'Maestro infraestructura'!C134</f>
        <v>K2A</v>
      </c>
      <c r="D135" s="1" t="str">
        <f>+'Maestro infraestructura'!F134</f>
        <v>Pupitre</v>
      </c>
      <c r="E135" s="25" t="str">
        <f ca="1">+'Maestro infraestructura'!K134</f>
        <v>Activo</v>
      </c>
      <c r="F135" s="1" t="str">
        <f ca="1">+'Maestro infraestructura'!V134</f>
        <v>AL DÍA</v>
      </c>
      <c r="G135" s="1" t="str">
        <f>+'Maestro infraestructura'!X134</f>
        <v>OPERACIÓN</v>
      </c>
      <c r="H135" s="1">
        <f>+'Maestro infraestructura'!Y134</f>
        <v>2</v>
      </c>
      <c r="I135" s="1"/>
      <c r="J135" s="6">
        <f>+'Maestro infraestructura'!T134</f>
        <v>46378</v>
      </c>
      <c r="K135" s="6">
        <f t="shared" ca="1" si="22"/>
        <v>46378</v>
      </c>
      <c r="L135" s="6"/>
    </row>
    <row r="136" spans="1:12" x14ac:dyDescent="0.2">
      <c r="A136" s="1" t="str">
        <f>+'Maestro infraestructura'!A135</f>
        <v>CICLO INICIAL</v>
      </c>
      <c r="B136" s="1" t="str">
        <f>+'Maestro infraestructura'!B135</f>
        <v>1° Piso</v>
      </c>
      <c r="C136" s="1" t="str">
        <f>+'Maestro infraestructura'!C135</f>
        <v>K2B</v>
      </c>
      <c r="D136" s="1" t="str">
        <f>+'Maestro infraestructura'!F135</f>
        <v>Pupitre</v>
      </c>
      <c r="E136" s="25" t="str">
        <f ca="1">+'Maestro infraestructura'!K135</f>
        <v>Activo</v>
      </c>
      <c r="F136" s="1" t="str">
        <f ca="1">+'Maestro infraestructura'!V135</f>
        <v>AL DÍA</v>
      </c>
      <c r="G136" s="1" t="str">
        <f>+'Maestro infraestructura'!X135</f>
        <v>OPERACIÓN</v>
      </c>
      <c r="H136" s="1">
        <f>+'Maestro infraestructura'!Y135</f>
        <v>2</v>
      </c>
      <c r="I136" s="1"/>
      <c r="J136" s="6">
        <f>+'Maestro infraestructura'!T135</f>
        <v>46378</v>
      </c>
      <c r="K136" s="6">
        <f t="shared" ca="1" si="22"/>
        <v>46378</v>
      </c>
      <c r="L136" s="6"/>
    </row>
    <row r="137" spans="1:12" x14ac:dyDescent="0.2">
      <c r="A137" s="1" t="str">
        <f>+'Maestro infraestructura'!A136</f>
        <v>CICLO INICIAL</v>
      </c>
      <c r="B137" s="1" t="str">
        <f>+'Maestro infraestructura'!B136</f>
        <v>1° Piso</v>
      </c>
      <c r="C137" s="1" t="str">
        <f>+'Maestro infraestructura'!C136</f>
        <v>K2C</v>
      </c>
      <c r="D137" s="1" t="str">
        <f>+'Maestro infraestructura'!F136</f>
        <v>Pupitre</v>
      </c>
      <c r="E137" s="25" t="str">
        <f ca="1">+'Maestro infraestructura'!K136</f>
        <v>Activo</v>
      </c>
      <c r="F137" s="1" t="str">
        <f ca="1">+'Maestro infraestructura'!V136</f>
        <v>AL DÍA</v>
      </c>
      <c r="G137" s="1" t="str">
        <f>+'Maestro infraestructura'!X136</f>
        <v>OPERACIÓN</v>
      </c>
      <c r="H137" s="1">
        <f>+'Maestro infraestructura'!Y136</f>
        <v>2</v>
      </c>
      <c r="I137" s="1"/>
      <c r="J137" s="6">
        <f>+'Maestro infraestructura'!T136</f>
        <v>46378</v>
      </c>
      <c r="K137" s="6">
        <f t="shared" ca="1" si="22"/>
        <v>46378</v>
      </c>
      <c r="L137" s="6"/>
    </row>
    <row r="138" spans="1:12" x14ac:dyDescent="0.2">
      <c r="A138" s="1" t="str">
        <f>+'Maestro infraestructura'!A137</f>
        <v>CICLO INICIAL</v>
      </c>
      <c r="B138" s="1" t="str">
        <f>+'Maestro infraestructura'!B137</f>
        <v>1° Piso</v>
      </c>
      <c r="C138" s="1" t="str">
        <f>+'Maestro infraestructura'!C137</f>
        <v>K2D</v>
      </c>
      <c r="D138" s="1" t="str">
        <f>+'Maestro infraestructura'!F137</f>
        <v>Pupitre</v>
      </c>
      <c r="E138" s="25" t="str">
        <f ca="1">+'Maestro infraestructura'!K137</f>
        <v>Activo</v>
      </c>
      <c r="F138" s="1" t="str">
        <f ca="1">+'Maestro infraestructura'!V137</f>
        <v>AL DÍA</v>
      </c>
      <c r="G138" s="1" t="str">
        <f>+'Maestro infraestructura'!X137</f>
        <v>OPERACIÓN</v>
      </c>
      <c r="H138" s="1">
        <f>+'Maestro infraestructura'!Y137</f>
        <v>2</v>
      </c>
      <c r="I138" s="1"/>
      <c r="J138" s="6">
        <f>+'Maestro infraestructura'!T137</f>
        <v>46378</v>
      </c>
      <c r="K138" s="6">
        <f t="shared" ca="1" si="22"/>
        <v>46378</v>
      </c>
      <c r="L138" s="6"/>
    </row>
    <row r="139" spans="1:12" x14ac:dyDescent="0.2">
      <c r="A139" s="1" t="str">
        <f>+'Maestro infraestructura'!A138</f>
        <v>CICLO INICIAL</v>
      </c>
      <c r="B139" s="1" t="str">
        <f>+'Maestro infraestructura'!B138</f>
        <v>1° Piso</v>
      </c>
      <c r="C139" s="1" t="str">
        <f>+'Maestro infraestructura'!C138</f>
        <v>S17</v>
      </c>
      <c r="D139" s="1" t="str">
        <f>+'Maestro infraestructura'!F138</f>
        <v>Pupitre</v>
      </c>
      <c r="E139" s="25" t="str">
        <f ca="1">+'Maestro infraestructura'!K138</f>
        <v>Activo</v>
      </c>
      <c r="F139" s="1" t="str">
        <f ca="1">+'Maestro infraestructura'!V138</f>
        <v>AL DÍA</v>
      </c>
      <c r="G139" s="1" t="str">
        <f>+'Maestro infraestructura'!X138</f>
        <v>OPERACIÓN</v>
      </c>
      <c r="H139" s="1">
        <f>+'Maestro infraestructura'!Y138</f>
        <v>2</v>
      </c>
      <c r="I139" s="1"/>
      <c r="J139" s="6">
        <f>+'Maestro infraestructura'!T138</f>
        <v>46378</v>
      </c>
      <c r="K139" s="6">
        <f t="shared" ca="1" si="22"/>
        <v>46378</v>
      </c>
      <c r="L139" s="6"/>
    </row>
    <row r="140" spans="1:12" x14ac:dyDescent="0.2">
      <c r="A140" s="1" t="str">
        <f>+'Maestro infraestructura'!A139</f>
        <v>CICLO INICIAL</v>
      </c>
      <c r="B140" s="1" t="str">
        <f>+'Maestro infraestructura'!B139</f>
        <v>1° Piso</v>
      </c>
      <c r="C140" s="1" t="str">
        <f>+'Maestro infraestructura'!C139</f>
        <v>S18</v>
      </c>
      <c r="D140" s="1" t="str">
        <f>+'Maestro infraestructura'!F139</f>
        <v>Pupitre</v>
      </c>
      <c r="E140" s="25" t="str">
        <f ca="1">+'Maestro infraestructura'!K139</f>
        <v>Activo</v>
      </c>
      <c r="F140" s="1" t="str">
        <f ca="1">+'Maestro infraestructura'!V139</f>
        <v>AL DÍA</v>
      </c>
      <c r="G140" s="1" t="str">
        <f>+'Maestro infraestructura'!X139</f>
        <v>OPERACIÓN</v>
      </c>
      <c r="H140" s="1">
        <f>+'Maestro infraestructura'!Y139</f>
        <v>2</v>
      </c>
      <c r="I140" s="1"/>
      <c r="J140" s="6">
        <f>+'Maestro infraestructura'!T139</f>
        <v>46378</v>
      </c>
      <c r="K140" s="6">
        <f t="shared" ca="1" si="22"/>
        <v>46378</v>
      </c>
      <c r="L140" s="6"/>
    </row>
    <row r="141" spans="1:12" x14ac:dyDescent="0.2">
      <c r="A141" s="1" t="str">
        <f>+'Maestro infraestructura'!A140</f>
        <v>CICLO INICIAL</v>
      </c>
      <c r="B141" s="1" t="str">
        <f>+'Maestro infraestructura'!B140</f>
        <v>1° Piso</v>
      </c>
      <c r="C141" s="1" t="str">
        <f>+'Maestro infraestructura'!C140</f>
        <v>COCINA</v>
      </c>
      <c r="D141" s="1" t="str">
        <f>+'Maestro infraestructura'!F140</f>
        <v>Pupitre</v>
      </c>
      <c r="E141" s="25" t="str">
        <f ca="1">+'Maestro infraestructura'!K140</f>
        <v>Activo</v>
      </c>
      <c r="F141" s="1" t="str">
        <f ca="1">+'Maestro infraestructura'!V140</f>
        <v>AL DÍA</v>
      </c>
      <c r="G141" s="1" t="str">
        <f>+'Maestro infraestructura'!X140</f>
        <v>OPERACIÓN</v>
      </c>
      <c r="H141" s="1">
        <f>+'Maestro infraestructura'!Y140</f>
        <v>2</v>
      </c>
      <c r="I141" s="1"/>
      <c r="J141" s="6">
        <f>+'Maestro infraestructura'!T140</f>
        <v>46378</v>
      </c>
      <c r="K141" s="6">
        <f t="shared" ca="1" si="22"/>
        <v>46378</v>
      </c>
      <c r="L141" s="6"/>
    </row>
    <row r="142" spans="1:12" x14ac:dyDescent="0.2">
      <c r="A142" s="1" t="str">
        <f>+'Maestro infraestructura'!A141</f>
        <v>CICLO INICIAL</v>
      </c>
      <c r="B142" s="1" t="str">
        <f>+'Maestro infraestructura'!B141</f>
        <v>1° Piso</v>
      </c>
      <c r="C142" s="1" t="str">
        <f>+'Maestro infraestructura'!C141</f>
        <v>SPORT</v>
      </c>
      <c r="D142" s="1" t="str">
        <f>+'Maestro infraestructura'!F141</f>
        <v>Pupitre</v>
      </c>
      <c r="E142" s="25" t="str">
        <f ca="1">+'Maestro infraestructura'!K141</f>
        <v>Activo</v>
      </c>
      <c r="F142" s="1" t="str">
        <f ca="1">+'Maestro infraestructura'!V141</f>
        <v>AL DÍA</v>
      </c>
      <c r="G142" s="1" t="str">
        <f>+'Maestro infraestructura'!X141</f>
        <v>OPERACIÓN</v>
      </c>
      <c r="H142" s="1">
        <f>+'Maestro infraestructura'!Y141</f>
        <v>2</v>
      </c>
      <c r="I142" s="1"/>
      <c r="J142" s="6">
        <f>+'Maestro infraestructura'!T141</f>
        <v>46378</v>
      </c>
      <c r="K142" s="6">
        <f t="shared" ca="1" si="22"/>
        <v>46378</v>
      </c>
      <c r="L142" s="6"/>
    </row>
    <row r="143" spans="1:12" x14ac:dyDescent="0.2">
      <c r="A143" s="1" t="str">
        <f>+'Maestro infraestructura'!A142</f>
        <v>CICLO INICIAL</v>
      </c>
      <c r="B143" s="1" t="str">
        <f>+'Maestro infraestructura'!B142</f>
        <v>1° Piso</v>
      </c>
      <c r="C143" s="1" t="str">
        <f>+'Maestro infraestructura'!C142</f>
        <v>WARTEKLASSE</v>
      </c>
      <c r="D143" s="1" t="str">
        <f>+'Maestro infraestructura'!F142</f>
        <v>Pupitre</v>
      </c>
      <c r="E143" s="25" t="str">
        <f ca="1">+'Maestro infraestructura'!K142</f>
        <v>Activo</v>
      </c>
      <c r="F143" s="1" t="str">
        <f ca="1">+'Maestro infraestructura'!V142</f>
        <v>AL DÍA</v>
      </c>
      <c r="G143" s="1" t="str">
        <f>+'Maestro infraestructura'!X142</f>
        <v>OPERACIÓN</v>
      </c>
      <c r="H143" s="1">
        <f>+'Maestro infraestructura'!Y142</f>
        <v>2</v>
      </c>
      <c r="I143" s="1"/>
      <c r="J143" s="6">
        <f>+'Maestro infraestructura'!T142</f>
        <v>46378</v>
      </c>
      <c r="K143" s="6">
        <f t="shared" ca="1" si="22"/>
        <v>46378</v>
      </c>
      <c r="L143" s="6"/>
    </row>
    <row r="144" spans="1:12" x14ac:dyDescent="0.2">
      <c r="A144" s="1" t="str">
        <f>+'Maestro infraestructura'!A143</f>
        <v>CICLO INICIAL</v>
      </c>
      <c r="B144" s="1" t="str">
        <f>+'Maestro infraestructura'!B143</f>
        <v>1° Piso</v>
      </c>
      <c r="C144" s="1" t="str">
        <f>+'Maestro infraestructura'!C143</f>
        <v>K1A</v>
      </c>
      <c r="D144" s="1" t="str">
        <f>+'Maestro infraestructura'!F143</f>
        <v>Mesa Profesor</v>
      </c>
      <c r="E144" s="25" t="str">
        <f ca="1">+'Maestro infraestructura'!K143</f>
        <v>Activo</v>
      </c>
      <c r="F144" s="1" t="str">
        <f ca="1">+'Maestro infraestructura'!V143</f>
        <v>AL DÍA</v>
      </c>
      <c r="G144" s="1" t="str">
        <f>+'Maestro infraestructura'!X143</f>
        <v>OPERACIÓN</v>
      </c>
      <c r="H144" s="1">
        <f>+'Maestro infraestructura'!Y143</f>
        <v>2</v>
      </c>
      <c r="I144" s="1"/>
      <c r="J144" s="6">
        <f>+'Maestro infraestructura'!T143</f>
        <v>46378</v>
      </c>
      <c r="K144" s="6">
        <f t="shared" ca="1" si="22"/>
        <v>46378</v>
      </c>
      <c r="L144" s="6"/>
    </row>
    <row r="145" spans="1:12" x14ac:dyDescent="0.2">
      <c r="A145" s="1" t="str">
        <f>+'Maestro infraestructura'!A144</f>
        <v>CICLO INICIAL</v>
      </c>
      <c r="B145" s="1" t="str">
        <f>+'Maestro infraestructura'!B144</f>
        <v>1° Piso</v>
      </c>
      <c r="C145" s="1" t="str">
        <f>+'Maestro infraestructura'!C144</f>
        <v>K1B</v>
      </c>
      <c r="D145" s="1" t="str">
        <f>+'Maestro infraestructura'!F144</f>
        <v>Mesa Profesor</v>
      </c>
      <c r="E145" s="25" t="str">
        <f ca="1">+'Maestro infraestructura'!K144</f>
        <v>Activo</v>
      </c>
      <c r="F145" s="1" t="str">
        <f ca="1">+'Maestro infraestructura'!V144</f>
        <v>AL DÍA</v>
      </c>
      <c r="G145" s="1" t="str">
        <f>+'Maestro infraestructura'!X144</f>
        <v>OPERACIÓN</v>
      </c>
      <c r="H145" s="1">
        <f>+'Maestro infraestructura'!Y144</f>
        <v>2</v>
      </c>
      <c r="I145" s="1"/>
      <c r="J145" s="6">
        <f>+'Maestro infraestructura'!T144</f>
        <v>46378</v>
      </c>
      <c r="K145" s="6">
        <f t="shared" ca="1" si="22"/>
        <v>46378</v>
      </c>
      <c r="L145" s="6"/>
    </row>
    <row r="146" spans="1:12" x14ac:dyDescent="0.2">
      <c r="A146" s="1" t="str">
        <f>+'Maestro infraestructura'!A145</f>
        <v>CICLO INICIAL</v>
      </c>
      <c r="B146" s="1" t="str">
        <f>+'Maestro infraestructura'!B145</f>
        <v>1° Piso</v>
      </c>
      <c r="C146" s="1" t="str">
        <f>+'Maestro infraestructura'!C145</f>
        <v>K1C</v>
      </c>
      <c r="D146" s="1" t="str">
        <f>+'Maestro infraestructura'!F145</f>
        <v>Mesa Profesor</v>
      </c>
      <c r="E146" s="25" t="str">
        <f ca="1">+'Maestro infraestructura'!K145</f>
        <v>Activo</v>
      </c>
      <c r="F146" s="1" t="str">
        <f ca="1">+'Maestro infraestructura'!V145</f>
        <v>AL DÍA</v>
      </c>
      <c r="G146" s="1" t="str">
        <f>+'Maestro infraestructura'!X145</f>
        <v>OPERACIÓN</v>
      </c>
      <c r="H146" s="1">
        <f>+'Maestro infraestructura'!Y145</f>
        <v>2</v>
      </c>
      <c r="I146" s="1"/>
      <c r="J146" s="6">
        <f>+'Maestro infraestructura'!T145</f>
        <v>46378</v>
      </c>
      <c r="K146" s="6">
        <f t="shared" ca="1" si="22"/>
        <v>46378</v>
      </c>
      <c r="L146" s="6"/>
    </row>
    <row r="147" spans="1:12" x14ac:dyDescent="0.2">
      <c r="A147" s="1" t="str">
        <f>+'Maestro infraestructura'!A146</f>
        <v>CICLO INICIAL</v>
      </c>
      <c r="B147" s="1" t="str">
        <f>+'Maestro infraestructura'!B146</f>
        <v>1° Piso</v>
      </c>
      <c r="C147" s="1" t="str">
        <f>+'Maestro infraestructura'!C146</f>
        <v>K1D</v>
      </c>
      <c r="D147" s="1" t="str">
        <f>+'Maestro infraestructura'!F146</f>
        <v>Mesa Profesor</v>
      </c>
      <c r="E147" s="25" t="str">
        <f ca="1">+'Maestro infraestructura'!K146</f>
        <v>Activo</v>
      </c>
      <c r="F147" s="1" t="str">
        <f ca="1">+'Maestro infraestructura'!V146</f>
        <v>AL DÍA</v>
      </c>
      <c r="G147" s="1" t="str">
        <f>+'Maestro infraestructura'!X146</f>
        <v>OPERACIÓN</v>
      </c>
      <c r="H147" s="1">
        <f>+'Maestro infraestructura'!Y146</f>
        <v>2</v>
      </c>
      <c r="I147" s="1"/>
      <c r="J147" s="6">
        <f>+'Maestro infraestructura'!T146</f>
        <v>46378</v>
      </c>
      <c r="K147" s="6">
        <f t="shared" ca="1" si="22"/>
        <v>46378</v>
      </c>
      <c r="L147" s="6"/>
    </row>
    <row r="148" spans="1:12" x14ac:dyDescent="0.2">
      <c r="A148" s="1" t="str">
        <f>+'Maestro infraestructura'!A147</f>
        <v>CICLO INICIAL</v>
      </c>
      <c r="B148" s="1" t="str">
        <f>+'Maestro infraestructura'!B147</f>
        <v>1° Piso</v>
      </c>
      <c r="C148" s="1" t="str">
        <f>+'Maestro infraestructura'!C147</f>
        <v>K2A</v>
      </c>
      <c r="D148" s="1" t="str">
        <f>+'Maestro infraestructura'!F147</f>
        <v>Mesa Profesor</v>
      </c>
      <c r="E148" s="25" t="str">
        <f ca="1">+'Maestro infraestructura'!K147</f>
        <v>Activo</v>
      </c>
      <c r="F148" s="1" t="str">
        <f ca="1">+'Maestro infraestructura'!V147</f>
        <v>AL DÍA</v>
      </c>
      <c r="G148" s="1" t="str">
        <f>+'Maestro infraestructura'!X147</f>
        <v>OPERACIÓN</v>
      </c>
      <c r="H148" s="1">
        <f>+'Maestro infraestructura'!Y147</f>
        <v>2</v>
      </c>
      <c r="I148" s="1"/>
      <c r="J148" s="6">
        <f>+'Maestro infraestructura'!T147</f>
        <v>46378</v>
      </c>
      <c r="K148" s="6">
        <f t="shared" ca="1" si="22"/>
        <v>46378</v>
      </c>
      <c r="L148" s="6"/>
    </row>
    <row r="149" spans="1:12" x14ac:dyDescent="0.2">
      <c r="A149" s="1" t="str">
        <f>+'Maestro infraestructura'!A148</f>
        <v>CICLO INICIAL</v>
      </c>
      <c r="B149" s="1" t="str">
        <f>+'Maestro infraestructura'!B148</f>
        <v>1° Piso</v>
      </c>
      <c r="C149" s="1" t="str">
        <f>+'Maestro infraestructura'!C148</f>
        <v>K2B</v>
      </c>
      <c r="D149" s="1" t="str">
        <f>+'Maestro infraestructura'!F148</f>
        <v>Mesa Profesor</v>
      </c>
      <c r="E149" s="25" t="str">
        <f ca="1">+'Maestro infraestructura'!K148</f>
        <v>Activo</v>
      </c>
      <c r="F149" s="1" t="str">
        <f ca="1">+'Maestro infraestructura'!V148</f>
        <v>AL DÍA</v>
      </c>
      <c r="G149" s="1" t="str">
        <f>+'Maestro infraestructura'!X148</f>
        <v>OPERACIÓN</v>
      </c>
      <c r="H149" s="1">
        <f>+'Maestro infraestructura'!Y148</f>
        <v>2</v>
      </c>
      <c r="I149" s="1"/>
      <c r="J149" s="6">
        <f>+'Maestro infraestructura'!T148</f>
        <v>46378</v>
      </c>
      <c r="K149" s="6">
        <f t="shared" ca="1" si="22"/>
        <v>46378</v>
      </c>
      <c r="L149" s="6"/>
    </row>
    <row r="150" spans="1:12" x14ac:dyDescent="0.2">
      <c r="A150" s="1" t="str">
        <f>+'Maestro infraestructura'!A149</f>
        <v>CICLO INICIAL</v>
      </c>
      <c r="B150" s="1" t="str">
        <f>+'Maestro infraestructura'!B149</f>
        <v>1° Piso</v>
      </c>
      <c r="C150" s="1" t="str">
        <f>+'Maestro infraestructura'!C149</f>
        <v>K2C</v>
      </c>
      <c r="D150" s="1" t="str">
        <f>+'Maestro infraestructura'!F149</f>
        <v>Mesa Profesor</v>
      </c>
      <c r="E150" s="25" t="str">
        <f ca="1">+'Maestro infraestructura'!K149</f>
        <v>Activo</v>
      </c>
      <c r="F150" s="1" t="str">
        <f ca="1">+'Maestro infraestructura'!V149</f>
        <v>AL DÍA</v>
      </c>
      <c r="G150" s="1" t="str">
        <f>+'Maestro infraestructura'!X149</f>
        <v>OPERACIÓN</v>
      </c>
      <c r="H150" s="1">
        <f>+'Maestro infraestructura'!Y149</f>
        <v>2</v>
      </c>
      <c r="I150" s="1"/>
      <c r="J150" s="6">
        <f>+'Maestro infraestructura'!T149</f>
        <v>46378</v>
      </c>
      <c r="K150" s="6">
        <f t="shared" ca="1" si="22"/>
        <v>46378</v>
      </c>
      <c r="L150" s="6"/>
    </row>
    <row r="151" spans="1:12" x14ac:dyDescent="0.2">
      <c r="A151" s="1" t="str">
        <f>+'Maestro infraestructura'!A150</f>
        <v>CICLO INICIAL</v>
      </c>
      <c r="B151" s="1" t="str">
        <f>+'Maestro infraestructura'!B150</f>
        <v>1° Piso</v>
      </c>
      <c r="C151" s="1" t="str">
        <f>+'Maestro infraestructura'!C150</f>
        <v>K2D</v>
      </c>
      <c r="D151" s="1" t="str">
        <f>+'Maestro infraestructura'!F150</f>
        <v>Mesa Profesor</v>
      </c>
      <c r="E151" s="25" t="str">
        <f ca="1">+'Maestro infraestructura'!K150</f>
        <v>Activo</v>
      </c>
      <c r="F151" s="1" t="str">
        <f ca="1">+'Maestro infraestructura'!V150</f>
        <v>AL DÍA</v>
      </c>
      <c r="G151" s="1" t="str">
        <f>+'Maestro infraestructura'!X150</f>
        <v>OPERACIÓN</v>
      </c>
      <c r="H151" s="1">
        <f>+'Maestro infraestructura'!Y150</f>
        <v>2</v>
      </c>
      <c r="I151" s="1"/>
      <c r="J151" s="6">
        <f>+'Maestro infraestructura'!T150</f>
        <v>46378</v>
      </c>
      <c r="K151" s="6">
        <f t="shared" ca="1" si="22"/>
        <v>46378</v>
      </c>
      <c r="L151" s="6"/>
    </row>
    <row r="152" spans="1:12" x14ac:dyDescent="0.2">
      <c r="A152" s="1" t="str">
        <f>+'Maestro infraestructura'!A151</f>
        <v>CICLO INICIAL</v>
      </c>
      <c r="B152" s="1" t="str">
        <f>+'Maestro infraestructura'!B151</f>
        <v>1° Piso</v>
      </c>
      <c r="C152" s="1" t="str">
        <f>+'Maestro infraestructura'!C151</f>
        <v>S17</v>
      </c>
      <c r="D152" s="1" t="str">
        <f>+'Maestro infraestructura'!F151</f>
        <v>Mesa Profesor</v>
      </c>
      <c r="E152" s="25" t="str">
        <f ca="1">+'Maestro infraestructura'!K151</f>
        <v>Activo</v>
      </c>
      <c r="F152" s="1" t="str">
        <f ca="1">+'Maestro infraestructura'!V151</f>
        <v>AL DÍA</v>
      </c>
      <c r="G152" s="1" t="str">
        <f>+'Maestro infraestructura'!X151</f>
        <v>OPERACIÓN</v>
      </c>
      <c r="H152" s="1">
        <f>+'Maestro infraestructura'!Y151</f>
        <v>2</v>
      </c>
      <c r="I152" s="1"/>
      <c r="J152" s="6">
        <f>+'Maestro infraestructura'!T151</f>
        <v>46378</v>
      </c>
      <c r="K152" s="6">
        <f t="shared" ca="1" si="22"/>
        <v>46378</v>
      </c>
      <c r="L152" s="6"/>
    </row>
    <row r="153" spans="1:12" x14ac:dyDescent="0.2">
      <c r="A153" s="1" t="str">
        <f>+'Maestro infraestructura'!A152</f>
        <v>CICLO INICIAL</v>
      </c>
      <c r="B153" s="1" t="str">
        <f>+'Maestro infraestructura'!B152</f>
        <v>1° Piso</v>
      </c>
      <c r="C153" s="1" t="str">
        <f>+'Maestro infraestructura'!C152</f>
        <v>S18</v>
      </c>
      <c r="D153" s="1" t="str">
        <f>+'Maestro infraestructura'!F152</f>
        <v>Mesa Profesor</v>
      </c>
      <c r="E153" s="25" t="str">
        <f ca="1">+'Maestro infraestructura'!K152</f>
        <v>Activo</v>
      </c>
      <c r="F153" s="1" t="str">
        <f ca="1">+'Maestro infraestructura'!V152</f>
        <v>AL DÍA</v>
      </c>
      <c r="G153" s="1" t="str">
        <f>+'Maestro infraestructura'!X152</f>
        <v>OPERACIÓN</v>
      </c>
      <c r="H153" s="1">
        <f>+'Maestro infraestructura'!Y152</f>
        <v>2</v>
      </c>
      <c r="I153" s="1"/>
      <c r="J153" s="6">
        <f>+'Maestro infraestructura'!T152</f>
        <v>46378</v>
      </c>
      <c r="K153" s="6">
        <f t="shared" ca="1" si="22"/>
        <v>46378</v>
      </c>
      <c r="L153" s="6"/>
    </row>
    <row r="154" spans="1:12" x14ac:dyDescent="0.2">
      <c r="A154" s="1" t="str">
        <f>+'Maestro infraestructura'!A153</f>
        <v>CICLO INICIAL</v>
      </c>
      <c r="B154" s="1" t="str">
        <f>+'Maestro infraestructura'!B153</f>
        <v>1° Piso</v>
      </c>
      <c r="C154" s="1" t="str">
        <f>+'Maestro infraestructura'!C153</f>
        <v>COCINA</v>
      </c>
      <c r="D154" s="1" t="str">
        <f>+'Maestro infraestructura'!F153</f>
        <v>Mesa Profesor</v>
      </c>
      <c r="E154" s="25" t="str">
        <f ca="1">+'Maestro infraestructura'!K153</f>
        <v>Activo</v>
      </c>
      <c r="F154" s="1" t="str">
        <f ca="1">+'Maestro infraestructura'!V153</f>
        <v>AL DÍA</v>
      </c>
      <c r="G154" s="1" t="str">
        <f>+'Maestro infraestructura'!X153</f>
        <v>OPERACIÓN</v>
      </c>
      <c r="H154" s="1">
        <f>+'Maestro infraestructura'!Y153</f>
        <v>2</v>
      </c>
      <c r="I154" s="1"/>
      <c r="J154" s="6">
        <f>+'Maestro infraestructura'!T153</f>
        <v>46378</v>
      </c>
      <c r="K154" s="6">
        <f t="shared" ca="1" si="22"/>
        <v>46378</v>
      </c>
      <c r="L154" s="6"/>
    </row>
    <row r="155" spans="1:12" x14ac:dyDescent="0.2">
      <c r="A155" s="1" t="str">
        <f>+'Maestro infraestructura'!A154</f>
        <v>CICLO INICIAL</v>
      </c>
      <c r="B155" s="1" t="str">
        <f>+'Maestro infraestructura'!B154</f>
        <v>1° Piso</v>
      </c>
      <c r="C155" s="1" t="str">
        <f>+'Maestro infraestructura'!C154</f>
        <v>SPORT</v>
      </c>
      <c r="D155" s="1" t="str">
        <f>+'Maestro infraestructura'!F154</f>
        <v>Mesa Profesor</v>
      </c>
      <c r="E155" s="25" t="str">
        <f ca="1">+'Maestro infraestructura'!K154</f>
        <v>Activo</v>
      </c>
      <c r="F155" s="1" t="str">
        <f ca="1">+'Maestro infraestructura'!V154</f>
        <v>AL DÍA</v>
      </c>
      <c r="G155" s="1" t="str">
        <f>+'Maestro infraestructura'!X154</f>
        <v>OPERACIÓN</v>
      </c>
      <c r="H155" s="1">
        <f>+'Maestro infraestructura'!Y154</f>
        <v>2</v>
      </c>
      <c r="I155" s="1"/>
      <c r="J155" s="6">
        <f>+'Maestro infraestructura'!T154</f>
        <v>46378</v>
      </c>
      <c r="K155" s="6">
        <f t="shared" ca="1" si="22"/>
        <v>46378</v>
      </c>
      <c r="L155" s="6"/>
    </row>
    <row r="156" spans="1:12" x14ac:dyDescent="0.2">
      <c r="A156" s="1" t="str">
        <f>+'Maestro infraestructura'!A155</f>
        <v>CICLO INICIAL</v>
      </c>
      <c r="B156" s="1" t="str">
        <f>+'Maestro infraestructura'!B155</f>
        <v>1° Piso</v>
      </c>
      <c r="C156" s="1" t="str">
        <f>+'Maestro infraestructura'!C155</f>
        <v>WARTEKLASSE</v>
      </c>
      <c r="D156" s="1" t="str">
        <f>+'Maestro infraestructura'!F155</f>
        <v>Mesa Profesor</v>
      </c>
      <c r="E156" s="25" t="str">
        <f ca="1">+'Maestro infraestructura'!K155</f>
        <v>Activo</v>
      </c>
      <c r="F156" s="1" t="str">
        <f ca="1">+'Maestro infraestructura'!V155</f>
        <v>AL DÍA</v>
      </c>
      <c r="G156" s="1" t="str">
        <f>+'Maestro infraestructura'!X155</f>
        <v>OPERACIÓN</v>
      </c>
      <c r="H156" s="1">
        <f>+'Maestro infraestructura'!Y155</f>
        <v>2</v>
      </c>
      <c r="I156" s="1"/>
      <c r="J156" s="6">
        <f>+'Maestro infraestructura'!T155</f>
        <v>46378</v>
      </c>
      <c r="K156" s="6">
        <f t="shared" ca="1" si="22"/>
        <v>46378</v>
      </c>
      <c r="L156" s="6"/>
    </row>
    <row r="157" spans="1:12" x14ac:dyDescent="0.2">
      <c r="A157" s="1" t="str">
        <f>+'Maestro infraestructura'!A156</f>
        <v>CICLO INICIAL</v>
      </c>
      <c r="B157" s="1" t="str">
        <f>+'Maestro infraestructura'!B156</f>
        <v>1° Piso</v>
      </c>
      <c r="C157" s="1" t="str">
        <f>+'Maestro infraestructura'!C156</f>
        <v>K1A</v>
      </c>
      <c r="D157" s="1" t="str">
        <f>+'Maestro infraestructura'!F156</f>
        <v>Silla Profesor</v>
      </c>
      <c r="E157" s="25" t="str">
        <f ca="1">+'Maestro infraestructura'!K156</f>
        <v>Activo</v>
      </c>
      <c r="F157" s="1" t="str">
        <f ca="1">+'Maestro infraestructura'!V156</f>
        <v>AL DÍA</v>
      </c>
      <c r="G157" s="1" t="str">
        <f>+'Maestro infraestructura'!X156</f>
        <v>OPERACIÓN</v>
      </c>
      <c r="H157" s="1">
        <f>+'Maestro infraestructura'!Y156</f>
        <v>2</v>
      </c>
      <c r="I157" s="1"/>
      <c r="J157" s="6">
        <f>+'Maestro infraestructura'!T156</f>
        <v>46378</v>
      </c>
      <c r="K157" s="6">
        <f t="shared" ca="1" si="22"/>
        <v>46378</v>
      </c>
      <c r="L157" s="6"/>
    </row>
    <row r="158" spans="1:12" x14ac:dyDescent="0.2">
      <c r="A158" s="1" t="str">
        <f>+'Maestro infraestructura'!A157</f>
        <v>CICLO INICIAL</v>
      </c>
      <c r="B158" s="1" t="str">
        <f>+'Maestro infraestructura'!B157</f>
        <v>1° Piso</v>
      </c>
      <c r="C158" s="1" t="str">
        <f>+'Maestro infraestructura'!C157</f>
        <v>K1B</v>
      </c>
      <c r="D158" s="1" t="str">
        <f>+'Maestro infraestructura'!F157</f>
        <v>Silla Profesor</v>
      </c>
      <c r="E158" s="25" t="str">
        <f ca="1">+'Maestro infraestructura'!K157</f>
        <v>Activo</v>
      </c>
      <c r="F158" s="1" t="str">
        <f ca="1">+'Maestro infraestructura'!V157</f>
        <v>AL DÍA</v>
      </c>
      <c r="G158" s="1" t="str">
        <f>+'Maestro infraestructura'!X157</f>
        <v>OPERACIÓN</v>
      </c>
      <c r="H158" s="1">
        <f>+'Maestro infraestructura'!Y157</f>
        <v>2</v>
      </c>
      <c r="I158" s="1"/>
      <c r="J158" s="6">
        <f>+'Maestro infraestructura'!T157</f>
        <v>46378</v>
      </c>
      <c r="K158" s="6">
        <f t="shared" ca="1" si="22"/>
        <v>46378</v>
      </c>
      <c r="L158" s="6"/>
    </row>
    <row r="159" spans="1:12" x14ac:dyDescent="0.2">
      <c r="A159" s="1" t="str">
        <f>+'Maestro infraestructura'!A158</f>
        <v>CICLO INICIAL</v>
      </c>
      <c r="B159" s="1" t="str">
        <f>+'Maestro infraestructura'!B158</f>
        <v>1° Piso</v>
      </c>
      <c r="C159" s="1" t="str">
        <f>+'Maestro infraestructura'!C158</f>
        <v>K1C</v>
      </c>
      <c r="D159" s="1" t="str">
        <f>+'Maestro infraestructura'!F158</f>
        <v>Silla Profesor</v>
      </c>
      <c r="E159" s="25" t="str">
        <f ca="1">+'Maestro infraestructura'!K158</f>
        <v>Activo</v>
      </c>
      <c r="F159" s="1" t="str">
        <f ca="1">+'Maestro infraestructura'!V158</f>
        <v>AL DÍA</v>
      </c>
      <c r="G159" s="1" t="str">
        <f>+'Maestro infraestructura'!X158</f>
        <v>OPERACIÓN</v>
      </c>
      <c r="H159" s="1">
        <f>+'Maestro infraestructura'!Y158</f>
        <v>2</v>
      </c>
      <c r="I159" s="1"/>
      <c r="J159" s="6">
        <f>+'Maestro infraestructura'!T158</f>
        <v>46378</v>
      </c>
      <c r="K159" s="6">
        <f t="shared" ca="1" si="22"/>
        <v>46378</v>
      </c>
      <c r="L159" s="6"/>
    </row>
    <row r="160" spans="1:12" x14ac:dyDescent="0.2">
      <c r="A160" s="1" t="str">
        <f>+'Maestro infraestructura'!A159</f>
        <v>CICLO INICIAL</v>
      </c>
      <c r="B160" s="1" t="str">
        <f>+'Maestro infraestructura'!B159</f>
        <v>1° Piso</v>
      </c>
      <c r="C160" s="1" t="str">
        <f>+'Maestro infraestructura'!C159</f>
        <v>K1D</v>
      </c>
      <c r="D160" s="1" t="str">
        <f>+'Maestro infraestructura'!F159</f>
        <v>Silla Profesor</v>
      </c>
      <c r="E160" s="25" t="str">
        <f ca="1">+'Maestro infraestructura'!K159</f>
        <v>Activo</v>
      </c>
      <c r="F160" s="1" t="str">
        <f ca="1">+'Maestro infraestructura'!V159</f>
        <v>AL DÍA</v>
      </c>
      <c r="G160" s="1" t="str">
        <f>+'Maestro infraestructura'!X159</f>
        <v>OPERACIÓN</v>
      </c>
      <c r="H160" s="1">
        <f>+'Maestro infraestructura'!Y159</f>
        <v>2</v>
      </c>
      <c r="I160" s="1"/>
      <c r="J160" s="6">
        <f>+'Maestro infraestructura'!T159</f>
        <v>46378</v>
      </c>
      <c r="K160" s="6">
        <f t="shared" ca="1" si="22"/>
        <v>46378</v>
      </c>
      <c r="L160" s="6"/>
    </row>
    <row r="161" spans="1:12" x14ac:dyDescent="0.2">
      <c r="A161" s="1" t="str">
        <f>+'Maestro infraestructura'!A160</f>
        <v>CICLO INICIAL</v>
      </c>
      <c r="B161" s="1" t="str">
        <f>+'Maestro infraestructura'!B160</f>
        <v>1° Piso</v>
      </c>
      <c r="C161" s="1" t="str">
        <f>+'Maestro infraestructura'!C160</f>
        <v>K2A</v>
      </c>
      <c r="D161" s="1" t="str">
        <f>+'Maestro infraestructura'!F160</f>
        <v>Silla Profesor</v>
      </c>
      <c r="E161" s="25" t="str">
        <f ca="1">+'Maestro infraestructura'!K160</f>
        <v>Activo</v>
      </c>
      <c r="F161" s="1" t="str">
        <f ca="1">+'Maestro infraestructura'!V160</f>
        <v>AL DÍA</v>
      </c>
      <c r="G161" s="1" t="str">
        <f>+'Maestro infraestructura'!X160</f>
        <v>OPERACIÓN</v>
      </c>
      <c r="H161" s="1">
        <f>+'Maestro infraestructura'!Y160</f>
        <v>2</v>
      </c>
      <c r="I161" s="1"/>
      <c r="J161" s="6">
        <f>+'Maestro infraestructura'!T160</f>
        <v>46378</v>
      </c>
      <c r="K161" s="6">
        <f t="shared" ca="1" si="22"/>
        <v>46378</v>
      </c>
      <c r="L161" s="6"/>
    </row>
    <row r="162" spans="1:12" x14ac:dyDescent="0.2">
      <c r="A162" s="1" t="str">
        <f>+'Maestro infraestructura'!A161</f>
        <v>CICLO INICIAL</v>
      </c>
      <c r="B162" s="1" t="str">
        <f>+'Maestro infraestructura'!B161</f>
        <v>1° Piso</v>
      </c>
      <c r="C162" s="1" t="str">
        <f>+'Maestro infraestructura'!C161</f>
        <v>K2B</v>
      </c>
      <c r="D162" s="1" t="str">
        <f>+'Maestro infraestructura'!F161</f>
        <v>Silla Profesor</v>
      </c>
      <c r="E162" s="25" t="str">
        <f ca="1">+'Maestro infraestructura'!K161</f>
        <v>Activo</v>
      </c>
      <c r="F162" s="1" t="str">
        <f ca="1">+'Maestro infraestructura'!V161</f>
        <v>AL DÍA</v>
      </c>
      <c r="G162" s="1" t="str">
        <f>+'Maestro infraestructura'!X161</f>
        <v>OPERACIÓN</v>
      </c>
      <c r="H162" s="1">
        <f>+'Maestro infraestructura'!Y161</f>
        <v>2</v>
      </c>
      <c r="I162" s="1"/>
      <c r="J162" s="6">
        <f>+'Maestro infraestructura'!T161</f>
        <v>46378</v>
      </c>
      <c r="K162" s="6">
        <f t="shared" ca="1" si="22"/>
        <v>46378</v>
      </c>
      <c r="L162" s="6"/>
    </row>
    <row r="163" spans="1:12" x14ac:dyDescent="0.2">
      <c r="A163" s="1" t="str">
        <f>+'Maestro infraestructura'!A162</f>
        <v>CICLO INICIAL</v>
      </c>
      <c r="B163" s="1" t="str">
        <f>+'Maestro infraestructura'!B162</f>
        <v>1° Piso</v>
      </c>
      <c r="C163" s="1" t="str">
        <f>+'Maestro infraestructura'!C162</f>
        <v>K2C</v>
      </c>
      <c r="D163" s="1" t="str">
        <f>+'Maestro infraestructura'!F162</f>
        <v>Silla Profesor</v>
      </c>
      <c r="E163" s="25" t="str">
        <f ca="1">+'Maestro infraestructura'!K162</f>
        <v>Activo</v>
      </c>
      <c r="F163" s="1" t="str">
        <f ca="1">+'Maestro infraestructura'!V162</f>
        <v>AL DÍA</v>
      </c>
      <c r="G163" s="1" t="str">
        <f>+'Maestro infraestructura'!X162</f>
        <v>OPERACIÓN</v>
      </c>
      <c r="H163" s="1">
        <f>+'Maestro infraestructura'!Y162</f>
        <v>2</v>
      </c>
      <c r="I163" s="1"/>
      <c r="J163" s="6">
        <f>+'Maestro infraestructura'!T162</f>
        <v>46378</v>
      </c>
      <c r="K163" s="6">
        <f t="shared" ca="1" si="22"/>
        <v>46378</v>
      </c>
      <c r="L163" s="6"/>
    </row>
    <row r="164" spans="1:12" x14ac:dyDescent="0.2">
      <c r="A164" s="1" t="str">
        <f>+'Maestro infraestructura'!A163</f>
        <v>CICLO INICIAL</v>
      </c>
      <c r="B164" s="1" t="str">
        <f>+'Maestro infraestructura'!B163</f>
        <v>1° Piso</v>
      </c>
      <c r="C164" s="1" t="str">
        <f>+'Maestro infraestructura'!C163</f>
        <v>K2D</v>
      </c>
      <c r="D164" s="1" t="str">
        <f>+'Maestro infraestructura'!F163</f>
        <v>Silla Profesor</v>
      </c>
      <c r="E164" s="25" t="str">
        <f ca="1">+'Maestro infraestructura'!K163</f>
        <v>Activo</v>
      </c>
      <c r="F164" s="1" t="str">
        <f ca="1">+'Maestro infraestructura'!V163</f>
        <v>AL DÍA</v>
      </c>
      <c r="G164" s="1" t="str">
        <f>+'Maestro infraestructura'!X163</f>
        <v>OPERACIÓN</v>
      </c>
      <c r="H164" s="1">
        <f>+'Maestro infraestructura'!Y163</f>
        <v>2</v>
      </c>
      <c r="I164" s="1"/>
      <c r="J164" s="6">
        <f>+'Maestro infraestructura'!T163</f>
        <v>46378</v>
      </c>
      <c r="K164" s="6">
        <f t="shared" ca="1" si="22"/>
        <v>46378</v>
      </c>
      <c r="L164" s="6"/>
    </row>
    <row r="165" spans="1:12" x14ac:dyDescent="0.2">
      <c r="A165" s="1" t="str">
        <f>+'Maestro infraestructura'!A164</f>
        <v>CICLO INICIAL</v>
      </c>
      <c r="B165" s="1" t="str">
        <f>+'Maestro infraestructura'!B164</f>
        <v>1° Piso</v>
      </c>
      <c r="C165" s="1" t="str">
        <f>+'Maestro infraestructura'!C164</f>
        <v>S17</v>
      </c>
      <c r="D165" s="1" t="str">
        <f>+'Maestro infraestructura'!F164</f>
        <v>Silla Profesor</v>
      </c>
      <c r="E165" s="25" t="str">
        <f ca="1">+'Maestro infraestructura'!K164</f>
        <v>Activo</v>
      </c>
      <c r="F165" s="1" t="str">
        <f ca="1">+'Maestro infraestructura'!V164</f>
        <v>AL DÍA</v>
      </c>
      <c r="G165" s="1" t="str">
        <f>+'Maestro infraestructura'!X164</f>
        <v>OPERACIÓN</v>
      </c>
      <c r="H165" s="1">
        <f>+'Maestro infraestructura'!Y164</f>
        <v>2</v>
      </c>
      <c r="I165" s="1"/>
      <c r="J165" s="6">
        <f>+'Maestro infraestructura'!T164</f>
        <v>46378</v>
      </c>
      <c r="K165" s="6">
        <f t="shared" ca="1" si="22"/>
        <v>46378</v>
      </c>
      <c r="L165" s="6"/>
    </row>
    <row r="166" spans="1:12" x14ac:dyDescent="0.2">
      <c r="A166" s="1" t="str">
        <f>+'Maestro infraestructura'!A165</f>
        <v>CICLO INICIAL</v>
      </c>
      <c r="B166" s="1" t="str">
        <f>+'Maestro infraestructura'!B165</f>
        <v>1° Piso</v>
      </c>
      <c r="C166" s="1" t="str">
        <f>+'Maestro infraestructura'!C165</f>
        <v>S18</v>
      </c>
      <c r="D166" s="1" t="str">
        <f>+'Maestro infraestructura'!F165</f>
        <v>Silla Profesor</v>
      </c>
      <c r="E166" s="25" t="str">
        <f ca="1">+'Maestro infraestructura'!K165</f>
        <v>Activo</v>
      </c>
      <c r="F166" s="1" t="str">
        <f ca="1">+'Maestro infraestructura'!V165</f>
        <v>AL DÍA</v>
      </c>
      <c r="G166" s="1" t="str">
        <f>+'Maestro infraestructura'!X165</f>
        <v>OPERACIÓN</v>
      </c>
      <c r="H166" s="1">
        <f>+'Maestro infraestructura'!Y165</f>
        <v>2</v>
      </c>
      <c r="I166" s="1"/>
      <c r="J166" s="6">
        <f>+'Maestro infraestructura'!T165</f>
        <v>46378</v>
      </c>
      <c r="K166" s="6">
        <f t="shared" ca="1" si="22"/>
        <v>46378</v>
      </c>
      <c r="L166" s="6"/>
    </row>
    <row r="167" spans="1:12" x14ac:dyDescent="0.2">
      <c r="A167" s="1" t="str">
        <f>+'Maestro infraestructura'!A166</f>
        <v>CICLO INICIAL</v>
      </c>
      <c r="B167" s="1" t="str">
        <f>+'Maestro infraestructura'!B166</f>
        <v>1° Piso</v>
      </c>
      <c r="C167" s="1" t="str">
        <f>+'Maestro infraestructura'!C166</f>
        <v>COCINA</v>
      </c>
      <c r="D167" s="1" t="str">
        <f>+'Maestro infraestructura'!F166</f>
        <v>Silla Profesor</v>
      </c>
      <c r="E167" s="25" t="str">
        <f ca="1">+'Maestro infraestructura'!K166</f>
        <v>Activo</v>
      </c>
      <c r="F167" s="1" t="str">
        <f ca="1">+'Maestro infraestructura'!V166</f>
        <v>AL DÍA</v>
      </c>
      <c r="G167" s="1" t="str">
        <f>+'Maestro infraestructura'!X166</f>
        <v>OPERACIÓN</v>
      </c>
      <c r="H167" s="1">
        <f>+'Maestro infraestructura'!Y166</f>
        <v>2</v>
      </c>
      <c r="I167" s="1"/>
      <c r="J167" s="6">
        <f>+'Maestro infraestructura'!T166</f>
        <v>46378</v>
      </c>
      <c r="K167" s="6">
        <f t="shared" ca="1" si="22"/>
        <v>46378</v>
      </c>
      <c r="L167" s="6"/>
    </row>
    <row r="168" spans="1:12" x14ac:dyDescent="0.2">
      <c r="A168" s="1" t="str">
        <f>+'Maestro infraestructura'!A167</f>
        <v>CICLO INICIAL</v>
      </c>
      <c r="B168" s="1" t="str">
        <f>+'Maestro infraestructura'!B167</f>
        <v>1° Piso</v>
      </c>
      <c r="C168" s="1" t="str">
        <f>+'Maestro infraestructura'!C167</f>
        <v>SPORT</v>
      </c>
      <c r="D168" s="1" t="str">
        <f>+'Maestro infraestructura'!F167</f>
        <v>Silla Profesor</v>
      </c>
      <c r="E168" s="25" t="str">
        <f ca="1">+'Maestro infraestructura'!K167</f>
        <v>Activo</v>
      </c>
      <c r="F168" s="1" t="str">
        <f ca="1">+'Maestro infraestructura'!V167</f>
        <v>AL DÍA</v>
      </c>
      <c r="G168" s="1" t="str">
        <f>+'Maestro infraestructura'!X167</f>
        <v>OPERACIÓN</v>
      </c>
      <c r="H168" s="1">
        <f>+'Maestro infraestructura'!Y167</f>
        <v>2</v>
      </c>
      <c r="I168" s="1"/>
      <c r="J168" s="6">
        <f>+'Maestro infraestructura'!T167</f>
        <v>46378</v>
      </c>
      <c r="K168" s="6">
        <f t="shared" ca="1" si="22"/>
        <v>46378</v>
      </c>
      <c r="L168" s="6"/>
    </row>
    <row r="169" spans="1:12" x14ac:dyDescent="0.2">
      <c r="A169" s="1" t="str">
        <f>+'Maestro infraestructura'!A168</f>
        <v>CICLO INICIAL</v>
      </c>
      <c r="B169" s="1" t="str">
        <f>+'Maestro infraestructura'!B168</f>
        <v>1° Piso</v>
      </c>
      <c r="C169" s="1" t="str">
        <f>+'Maestro infraestructura'!C168</f>
        <v>WARTEKLASSE</v>
      </c>
      <c r="D169" s="1" t="str">
        <f>+'Maestro infraestructura'!F168</f>
        <v>Silla Profesor</v>
      </c>
      <c r="E169" s="25" t="str">
        <f ca="1">+'Maestro infraestructura'!K168</f>
        <v>Activo</v>
      </c>
      <c r="F169" s="1" t="str">
        <f ca="1">+'Maestro infraestructura'!V168</f>
        <v>AL DÍA</v>
      </c>
      <c r="G169" s="1" t="str">
        <f>+'Maestro infraestructura'!X168</f>
        <v>OPERACIÓN</v>
      </c>
      <c r="H169" s="1">
        <f>+'Maestro infraestructura'!Y168</f>
        <v>2</v>
      </c>
      <c r="I169" s="1"/>
      <c r="J169" s="6">
        <f>+'Maestro infraestructura'!T168</f>
        <v>46378</v>
      </c>
      <c r="K169" s="6">
        <f t="shared" ca="1" si="22"/>
        <v>46378</v>
      </c>
      <c r="L169" s="6"/>
    </row>
    <row r="170" spans="1:12" x14ac:dyDescent="0.2">
      <c r="A170" s="1" t="str">
        <f>+'Maestro infraestructura'!A169</f>
        <v>E. LIMACHE</v>
      </c>
      <c r="B170" s="1" t="str">
        <f>+'Maestro infraestructura'!B169</f>
        <v>1° Piso</v>
      </c>
      <c r="C170" s="1" t="str">
        <f>+'Maestro infraestructura'!C169</f>
        <v>CDA</v>
      </c>
      <c r="D170" s="1" t="str">
        <f>+'Maestro infraestructura'!F169</f>
        <v>Baño adultos mixto</v>
      </c>
      <c r="E170" s="25" t="str">
        <f ca="1">+'Maestro infraestructura'!K169</f>
        <v>Activo</v>
      </c>
      <c r="F170" s="1" t="str">
        <f ca="1">+'Maestro infraestructura'!V169</f>
        <v>VENCIDO</v>
      </c>
      <c r="G170" s="1" t="str">
        <f>+'Maestro infraestructura'!X169</f>
        <v>LEGAL</v>
      </c>
      <c r="H170" s="1">
        <f>+'Maestro infraestructura'!Y169</f>
        <v>3</v>
      </c>
      <c r="I170" s="1"/>
      <c r="J170" s="6">
        <f>+'Maestro infraestructura'!T169</f>
        <v>46258</v>
      </c>
      <c r="K170" s="6">
        <f t="shared" ca="1" si="22"/>
        <v>46258</v>
      </c>
      <c r="L170" s="6"/>
    </row>
    <row r="171" spans="1:12" x14ac:dyDescent="0.2">
      <c r="A171" s="1" t="str">
        <f>+'Maestro infraestructura'!A170</f>
        <v>E. LIMACHE</v>
      </c>
      <c r="B171" s="1" t="str">
        <f>+'Maestro infraestructura'!B170</f>
        <v>1° Piso</v>
      </c>
      <c r="C171" s="1" t="str">
        <f>+'Maestro infraestructura'!C170</f>
        <v>1° Piso</v>
      </c>
      <c r="D171" s="1" t="str">
        <f>+'Maestro infraestructura'!F170</f>
        <v>Tablero eléctrico principal</v>
      </c>
      <c r="E171" s="25" t="str">
        <f ca="1">+'Maestro infraestructura'!K170</f>
        <v>Activo</v>
      </c>
      <c r="F171" s="1" t="str">
        <f ca="1">+'Maestro infraestructura'!V170</f>
        <v>AL DÍA</v>
      </c>
      <c r="G171" s="1" t="str">
        <f>+'Maestro infraestructura'!X170</f>
        <v>SEGURIDAD</v>
      </c>
      <c r="H171" s="1">
        <f>+'Maestro infraestructura'!Y170</f>
        <v>2</v>
      </c>
      <c r="I171" s="1"/>
      <c r="J171" s="6">
        <f>+'Maestro infraestructura'!T170</f>
        <v>46563</v>
      </c>
      <c r="K171" s="6">
        <f t="shared" ca="1" si="22"/>
        <v>46563</v>
      </c>
      <c r="L171" s="6"/>
    </row>
    <row r="172" spans="1:12" x14ac:dyDescent="0.2">
      <c r="A172" s="1" t="str">
        <f>+'Maestro infraestructura'!A171</f>
        <v>E. LIMACHE</v>
      </c>
      <c r="B172" s="1" t="str">
        <f>+'Maestro infraestructura'!B171</f>
        <v>1° Piso</v>
      </c>
      <c r="C172" s="1" t="str">
        <f>+'Maestro infraestructura'!C171</f>
        <v>Área servicio</v>
      </c>
      <c r="D172" s="1" t="str">
        <f>+'Maestro infraestructura'!F171</f>
        <v xml:space="preserve">Camarín Hombre </v>
      </c>
      <c r="E172" s="25" t="str">
        <f ca="1">+'Maestro infraestructura'!K171</f>
        <v>Activo</v>
      </c>
      <c r="F172" s="1" t="str">
        <f ca="1">+'Maestro infraestructura'!V171</f>
        <v>VENCIDO</v>
      </c>
      <c r="G172" s="1" t="str">
        <f>+'Maestro infraestructura'!X171</f>
        <v>LEGAL</v>
      </c>
      <c r="H172" s="1">
        <f>+'Maestro infraestructura'!Y171</f>
        <v>2</v>
      </c>
      <c r="I172" s="1"/>
      <c r="J172" s="6">
        <f>+'Maestro infraestructura'!T171</f>
        <v>46258</v>
      </c>
      <c r="K172" s="6">
        <f t="shared" ca="1" si="22"/>
        <v>46258</v>
      </c>
      <c r="L172" s="6"/>
    </row>
    <row r="173" spans="1:12" x14ac:dyDescent="0.2">
      <c r="A173" s="1" t="str">
        <f>+'Maestro infraestructura'!A172</f>
        <v>E. SUBTE</v>
      </c>
      <c r="B173" s="1" t="str">
        <f>+'Maestro infraestructura'!B172</f>
        <v>1° Piso</v>
      </c>
      <c r="C173" s="1" t="str">
        <f>+'Maestro infraestructura'!C172</f>
        <v>Salida estacionamiento</v>
      </c>
      <c r="D173" s="1" t="str">
        <f>+'Maestro infraestructura'!F172</f>
        <v>Baño adultos varones</v>
      </c>
      <c r="E173" s="25" t="str">
        <f ca="1">+'Maestro infraestructura'!K172</f>
        <v>Activo</v>
      </c>
      <c r="F173" s="1" t="str">
        <f ca="1">+'Maestro infraestructura'!V172</f>
        <v>VENCIDO</v>
      </c>
      <c r="G173" s="1" t="str">
        <f>+'Maestro infraestructura'!X172</f>
        <v>LEGAL</v>
      </c>
      <c r="H173" s="1">
        <f>+'Maestro infraestructura'!Y172</f>
        <v>1</v>
      </c>
      <c r="I173" s="1"/>
      <c r="J173" s="6">
        <f>+'Maestro infraestructura'!T172</f>
        <v>46258</v>
      </c>
      <c r="K173" s="6">
        <f t="shared" ca="1" si="22"/>
        <v>46258</v>
      </c>
      <c r="L173" s="6"/>
    </row>
    <row r="174" spans="1:12" x14ac:dyDescent="0.2">
      <c r="A174" s="1" t="str">
        <f>+'Maestro infraestructura'!A173</f>
        <v>E. SUBTE</v>
      </c>
      <c r="B174" s="1" t="str">
        <f>+'Maestro infraestructura'!B173</f>
        <v>1° Piso</v>
      </c>
      <c r="C174" s="1" t="str">
        <f>+'Maestro infraestructura'!C173</f>
        <v>Salida estacionamiento</v>
      </c>
      <c r="D174" s="1" t="str">
        <f>+'Maestro infraestructura'!F173</f>
        <v>Baño adultos mujeres</v>
      </c>
      <c r="E174" s="25" t="str">
        <f ca="1">+'Maestro infraestructura'!K173</f>
        <v>Activo</v>
      </c>
      <c r="F174" s="1" t="str">
        <f ca="1">+'Maestro infraestructura'!V173</f>
        <v>VENCIDO</v>
      </c>
      <c r="G174" s="1" t="str">
        <f>+'Maestro infraestructura'!X173</f>
        <v>LEGAL</v>
      </c>
      <c r="H174" s="1">
        <f>+'Maestro infraestructura'!Y173</f>
        <v>1</v>
      </c>
      <c r="I174" s="1"/>
      <c r="J174" s="6">
        <f>+'Maestro infraestructura'!T173</f>
        <v>46258</v>
      </c>
      <c r="K174" s="6">
        <f t="shared" ca="1" si="22"/>
        <v>46258</v>
      </c>
      <c r="L174" s="6"/>
    </row>
    <row r="175" spans="1:12" x14ac:dyDescent="0.2">
      <c r="A175" s="1" t="str">
        <f>+'Maestro infraestructura'!A174</f>
        <v>EDIFICIO PRINCIPAL</v>
      </c>
      <c r="B175" s="1" t="str">
        <f>+'Maestro infraestructura'!B174</f>
        <v>1° Piso</v>
      </c>
      <c r="C175" s="1" t="str">
        <f>+'Maestro infraestructura'!C174</f>
        <v>Pasillo servicio</v>
      </c>
      <c r="D175" s="1" t="str">
        <f>+'Maestro infraestructura'!F174</f>
        <v>Camarín Hombres AAEE</v>
      </c>
      <c r="E175" s="25" t="str">
        <f ca="1">+'Maestro infraestructura'!K174</f>
        <v>Activo</v>
      </c>
      <c r="F175" s="1" t="str">
        <f ca="1">+'Maestro infraestructura'!V174</f>
        <v>VENCIDO</v>
      </c>
      <c r="G175" s="1" t="str">
        <f>+'Maestro infraestructura'!X174</f>
        <v>LEGAL</v>
      </c>
      <c r="H175" s="1">
        <f>+'Maestro infraestructura'!Y174</f>
        <v>2</v>
      </c>
      <c r="I175" s="1"/>
      <c r="J175" s="6">
        <f>+'Maestro infraestructura'!T174</f>
        <v>46258</v>
      </c>
      <c r="K175" s="6">
        <f t="shared" ca="1" si="22"/>
        <v>46258</v>
      </c>
      <c r="L175" s="6"/>
    </row>
    <row r="176" spans="1:12" x14ac:dyDescent="0.2">
      <c r="A176" s="1" t="str">
        <f>+'Maestro infraestructura'!A175</f>
        <v>EDIFICIO PRINCIPAL</v>
      </c>
      <c r="B176" s="1" t="str">
        <f>+'Maestro infraestructura'!B175</f>
        <v>1° Piso</v>
      </c>
      <c r="C176" s="1" t="str">
        <f>+'Maestro infraestructura'!C175</f>
        <v>Pasillo servicio</v>
      </c>
      <c r="D176" s="1" t="str">
        <f>+'Maestro infraestructura'!F175</f>
        <v>Camarín Mujeres AAEE</v>
      </c>
      <c r="E176" s="25" t="str">
        <f ca="1">+'Maestro infraestructura'!K175</f>
        <v>Activo</v>
      </c>
      <c r="F176" s="1" t="str">
        <f ca="1">+'Maestro infraestructura'!V175</f>
        <v>VENCIDO</v>
      </c>
      <c r="G176" s="1" t="str">
        <f>+'Maestro infraestructura'!X175</f>
        <v>LEGAL</v>
      </c>
      <c r="H176" s="1">
        <f>+'Maestro infraestructura'!Y175</f>
        <v>2</v>
      </c>
      <c r="I176" s="1"/>
      <c r="J176" s="6">
        <f>+'Maestro infraestructura'!T175</f>
        <v>46258</v>
      </c>
      <c r="K176" s="6">
        <f t="shared" ca="1" si="22"/>
        <v>46258</v>
      </c>
      <c r="L176" s="6"/>
    </row>
    <row r="177" spans="1:12" x14ac:dyDescent="0.2">
      <c r="A177" s="1" t="str">
        <f>+'Maestro infraestructura'!A176</f>
        <v>EDIFICIO PRINCIPAL</v>
      </c>
      <c r="B177" s="1" t="str">
        <f>+'Maestro infraestructura'!B176</f>
        <v>1° Piso</v>
      </c>
      <c r="C177" s="1" t="str">
        <f>+'Maestro infraestructura'!C176</f>
        <v>Pasillo N100</v>
      </c>
      <c r="D177" s="1" t="str">
        <f>+'Maestro infraestructura'!F176</f>
        <v>Baño alumnos varones</v>
      </c>
      <c r="E177" s="25" t="str">
        <f ca="1">+'Maestro infraestructura'!K176</f>
        <v>Activo</v>
      </c>
      <c r="F177" s="1" t="str">
        <f ca="1">+'Maestro infraestructura'!V176</f>
        <v>VENCIDO</v>
      </c>
      <c r="G177" s="1" t="str">
        <f>+'Maestro infraestructura'!X176</f>
        <v>LEGAL</v>
      </c>
      <c r="H177" s="1">
        <f>+'Maestro infraestructura'!Y176</f>
        <v>2</v>
      </c>
      <c r="I177" s="1"/>
      <c r="J177" s="6">
        <f>+'Maestro infraestructura'!T176</f>
        <v>46258</v>
      </c>
      <c r="K177" s="6">
        <f t="shared" ca="1" si="22"/>
        <v>46258</v>
      </c>
      <c r="L177" s="6"/>
    </row>
    <row r="178" spans="1:12" x14ac:dyDescent="0.2">
      <c r="A178" s="1" t="str">
        <f>+'Maestro infraestructura'!A177</f>
        <v>EDIFICIO PRINCIPAL</v>
      </c>
      <c r="B178" s="1" t="str">
        <f>+'Maestro infraestructura'!B177</f>
        <v>1° Piso</v>
      </c>
      <c r="C178" s="1" t="str">
        <f>+'Maestro infraestructura'!C177</f>
        <v>Pasillo N100</v>
      </c>
      <c r="D178" s="1" t="str">
        <f>+'Maestro infraestructura'!F177</f>
        <v>Baño alumnos mujeres</v>
      </c>
      <c r="E178" s="25" t="str">
        <f ca="1">+'Maestro infraestructura'!K177</f>
        <v>Activo</v>
      </c>
      <c r="F178" s="1" t="str">
        <f ca="1">+'Maestro infraestructura'!V177</f>
        <v>VENCIDO</v>
      </c>
      <c r="G178" s="1" t="str">
        <f>+'Maestro infraestructura'!X177</f>
        <v>LEGAL</v>
      </c>
      <c r="H178" s="1">
        <f>+'Maestro infraestructura'!Y177</f>
        <v>2</v>
      </c>
      <c r="I178" s="1"/>
      <c r="J178" s="6">
        <f>+'Maestro infraestructura'!T177</f>
        <v>46258</v>
      </c>
      <c r="K178" s="6">
        <f t="shared" ca="1" si="22"/>
        <v>46258</v>
      </c>
      <c r="L178" s="6"/>
    </row>
    <row r="179" spans="1:12" x14ac:dyDescent="0.2">
      <c r="A179" s="1" t="str">
        <f>+'Maestro infraestructura'!A178</f>
        <v>EDIFICIO PRINCIPAL</v>
      </c>
      <c r="B179" s="1" t="str">
        <f>+'Maestro infraestructura'!B178</f>
        <v>1° Piso</v>
      </c>
      <c r="C179" s="1" t="str">
        <f>+'Maestro infraestructura'!C178</f>
        <v>Sala caldera N100</v>
      </c>
      <c r="D179" s="1" t="str">
        <f>+'Maestro infraestructura'!F178</f>
        <v>Caldera</v>
      </c>
      <c r="E179" s="25" t="str">
        <f ca="1">+'Maestro infraestructura'!K178</f>
        <v>Cambiar o Inspección externa</v>
      </c>
      <c r="F179" s="1" t="str">
        <f ca="1">+'Maestro infraestructura'!V178</f>
        <v>AL DÍA</v>
      </c>
      <c r="G179" s="1" t="str">
        <f>+'Maestro infraestructura'!X178</f>
        <v>OPERACIÓN</v>
      </c>
      <c r="H179" s="1">
        <f>+'Maestro infraestructura'!Y178</f>
        <v>1</v>
      </c>
      <c r="I179" s="1"/>
      <c r="J179" s="6">
        <f>+'Maestro infraestructura'!T178</f>
        <v>46563</v>
      </c>
      <c r="K179" s="6">
        <f t="shared" ca="1" si="22"/>
        <v>4.9333991119881603E-4</v>
      </c>
      <c r="L179" s="6"/>
    </row>
    <row r="180" spans="1:12" x14ac:dyDescent="0.2">
      <c r="A180" s="1" t="str">
        <f>+'Maestro infraestructura'!A179</f>
        <v>EDIFICIO PRINCIPAL</v>
      </c>
      <c r="B180" s="1" t="str">
        <f>+'Maestro infraestructura'!B179</f>
        <v>1° Piso</v>
      </c>
      <c r="C180" s="1" t="str">
        <f>+'Maestro infraestructura'!C179</f>
        <v>Werken 1</v>
      </c>
      <c r="D180" s="1" t="str">
        <f>+'Maestro infraestructura'!F179</f>
        <v>Radiadores</v>
      </c>
      <c r="E180" s="25" t="str">
        <f ca="1">+'Maestro infraestructura'!K179</f>
        <v>Cambiar o Inspección externa</v>
      </c>
      <c r="F180" s="1" t="str">
        <f ca="1">+'Maestro infraestructura'!V179</f>
        <v>AL DÍA</v>
      </c>
      <c r="G180" s="1" t="str">
        <f>+'Maestro infraestructura'!X179</f>
        <v>GENERAL</v>
      </c>
      <c r="H180" s="1">
        <f>+'Maestro infraestructura'!Y179</f>
        <v>1</v>
      </c>
      <c r="I180" s="1"/>
      <c r="J180" s="6">
        <f>+'Maestro infraestructura'!T179</f>
        <v>46563</v>
      </c>
      <c r="K180" s="6">
        <f t="shared" ca="1" si="22"/>
        <v>4.9333991119881603E-4</v>
      </c>
      <c r="L180" s="6"/>
    </row>
    <row r="181" spans="1:12" x14ac:dyDescent="0.2">
      <c r="A181" s="1" t="str">
        <f>+'Maestro infraestructura'!A180</f>
        <v>EDIFICIO PRINCIPAL</v>
      </c>
      <c r="B181" s="1" t="str">
        <f>+'Maestro infraestructura'!B180</f>
        <v>1° Piso</v>
      </c>
      <c r="C181" s="1" t="str">
        <f>+'Maestro infraestructura'!C180</f>
        <v>FabLab</v>
      </c>
      <c r="D181" s="1" t="str">
        <f>+'Maestro infraestructura'!F180</f>
        <v xml:space="preserve">Equipo Laser </v>
      </c>
      <c r="E181" s="25" t="str">
        <f ca="1">+'Maestro infraestructura'!K180</f>
        <v>Activo</v>
      </c>
      <c r="F181" s="1" t="str">
        <f ca="1">+'Maestro infraestructura'!V180</f>
        <v>AL DÍA</v>
      </c>
      <c r="G181" s="1" t="str">
        <f>+'Maestro infraestructura'!X180</f>
        <v>OPERACIÓN</v>
      </c>
      <c r="H181" s="1">
        <f>+'Maestro infraestructura'!Y180</f>
        <v>2</v>
      </c>
      <c r="I181" s="1"/>
      <c r="J181" s="6">
        <f>+'Maestro infraestructura'!T180</f>
        <v>46563</v>
      </c>
      <c r="K181" s="6">
        <f t="shared" ca="1" si="22"/>
        <v>46563</v>
      </c>
      <c r="L181" s="6"/>
    </row>
    <row r="182" spans="1:12" x14ac:dyDescent="0.2">
      <c r="A182" s="1" t="str">
        <f>+'Maestro infraestructura'!A181</f>
        <v>EDIFICIO PRINCIPAL</v>
      </c>
      <c r="B182" s="1" t="str">
        <f>+'Maestro infraestructura'!B181</f>
        <v>1° Piso</v>
      </c>
      <c r="C182" s="1" t="str">
        <f>+'Maestro infraestructura'!C181</f>
        <v>FabLab</v>
      </c>
      <c r="D182" s="1" t="str">
        <f>+'Maestro infraestructura'!F181</f>
        <v xml:space="preserve">EQUIPO ROUTER </v>
      </c>
      <c r="E182" s="25" t="str">
        <f ca="1">+'Maestro infraestructura'!K181</f>
        <v>Activo</v>
      </c>
      <c r="F182" s="1" t="str">
        <f ca="1">+'Maestro infraestructura'!V181</f>
        <v>AL DÍA</v>
      </c>
      <c r="G182" s="1" t="str">
        <f>+'Maestro infraestructura'!X181</f>
        <v>OPERACIÓN</v>
      </c>
      <c r="H182" s="1">
        <f>+'Maestro infraestructura'!Y181</f>
        <v>2</v>
      </c>
      <c r="I182" s="1"/>
      <c r="J182" s="6">
        <f>+'Maestro infraestructura'!T181</f>
        <v>46563</v>
      </c>
      <c r="K182" s="6">
        <f t="shared" ca="1" si="22"/>
        <v>46563</v>
      </c>
      <c r="L182" s="6"/>
    </row>
    <row r="183" spans="1:12" x14ac:dyDescent="0.2">
      <c r="A183" s="1" t="str">
        <f>+'Maestro infraestructura'!A182</f>
        <v>EDIFICIO PRINCIPAL</v>
      </c>
      <c r="B183" s="1" t="str">
        <f>+'Maestro infraestructura'!B182</f>
        <v>1° Piso</v>
      </c>
      <c r="C183" s="1" t="str">
        <f>+'Maestro infraestructura'!C182</f>
        <v>FabLab</v>
      </c>
      <c r="D183" s="1" t="str">
        <f>+'Maestro infraestructura'!F182</f>
        <v>FILTRO HUMO/OLOR</v>
      </c>
      <c r="E183" s="25" t="str">
        <f ca="1">+'Maestro infraestructura'!K182</f>
        <v>Activo</v>
      </c>
      <c r="F183" s="1" t="str">
        <f ca="1">+'Maestro infraestructura'!V182</f>
        <v>AL DÍA</v>
      </c>
      <c r="G183" s="1" t="str">
        <f>+'Maestro infraestructura'!X182</f>
        <v>OPERACIÓN</v>
      </c>
      <c r="H183" s="1">
        <f>+'Maestro infraestructura'!Y182</f>
        <v>2</v>
      </c>
      <c r="I183" s="1"/>
      <c r="J183" s="6">
        <f>+'Maestro infraestructura'!T182</f>
        <v>46563</v>
      </c>
      <c r="K183" s="6">
        <f t="shared" ca="1" si="22"/>
        <v>46563</v>
      </c>
      <c r="L183" s="6"/>
    </row>
    <row r="184" spans="1:12" x14ac:dyDescent="0.2">
      <c r="A184" s="1" t="str">
        <f>+'Maestro infraestructura'!A183</f>
        <v>EDIFICIO PRINCIPAL</v>
      </c>
      <c r="B184" s="1" t="str">
        <f>+'Maestro infraestructura'!B183</f>
        <v>1° Piso</v>
      </c>
      <c r="C184" s="1" t="str">
        <f>+'Maestro infraestructura'!C183</f>
        <v>FabLab</v>
      </c>
      <c r="D184" s="1" t="str">
        <f>+'Maestro infraestructura'!F183</f>
        <v>Tablero eléctrico FabLab</v>
      </c>
      <c r="E184" s="25" t="str">
        <f ca="1">+'Maestro infraestructura'!K183</f>
        <v>Activo</v>
      </c>
      <c r="F184" s="1" t="str">
        <f ca="1">+'Maestro infraestructura'!V183</f>
        <v>AL DÍA</v>
      </c>
      <c r="G184" s="1" t="str">
        <f>+'Maestro infraestructura'!X183</f>
        <v>OPERACIÓN</v>
      </c>
      <c r="H184" s="1">
        <f>+'Maestro infraestructura'!Y183</f>
        <v>2</v>
      </c>
      <c r="I184" s="1"/>
      <c r="J184" s="6">
        <f>+'Maestro infraestructura'!T183</f>
        <v>46563</v>
      </c>
      <c r="K184" s="6">
        <f t="shared" ca="1" si="22"/>
        <v>46563</v>
      </c>
      <c r="L184" s="6"/>
    </row>
    <row r="185" spans="1:12" x14ac:dyDescent="0.2">
      <c r="A185" s="1" t="str">
        <f>+'Maestro infraestructura'!A184</f>
        <v>EDIFICIO PRINCIPAL</v>
      </c>
      <c r="B185" s="1" t="str">
        <f>+'Maestro infraestructura'!B184</f>
        <v>1° Piso</v>
      </c>
      <c r="C185" s="1" t="str">
        <f>+'Maestro infraestructura'!C184</f>
        <v>Pasillo servicio</v>
      </c>
      <c r="D185" s="1" t="str">
        <f>+'Maestro infraestructura'!F184</f>
        <v>Tablero eléctrico N100</v>
      </c>
      <c r="E185" s="25" t="str">
        <f ca="1">+'Maestro infraestructura'!K184</f>
        <v>Activo</v>
      </c>
      <c r="F185" s="1" t="str">
        <f ca="1">+'Maestro infraestructura'!V184</f>
        <v>AL DÍA</v>
      </c>
      <c r="G185" s="1" t="str">
        <f>+'Maestro infraestructura'!X184</f>
        <v>OPERACIÓN</v>
      </c>
      <c r="H185" s="1">
        <f>+'Maestro infraestructura'!Y184</f>
        <v>2</v>
      </c>
      <c r="I185" s="1"/>
      <c r="J185" s="6">
        <f>+'Maestro infraestructura'!T184</f>
        <v>46563</v>
      </c>
      <c r="K185" s="6">
        <f t="shared" ca="1" si="22"/>
        <v>46563</v>
      </c>
      <c r="L185" s="6"/>
    </row>
    <row r="186" spans="1:12" x14ac:dyDescent="0.2">
      <c r="A186" s="1" t="str">
        <f>+'Maestro infraestructura'!A185</f>
        <v>EDIFICIO PRINCIPAL</v>
      </c>
      <c r="B186" s="1" t="str">
        <f>+'Maestro infraestructura'!B185</f>
        <v>2° Piso</v>
      </c>
      <c r="C186" s="1" t="str">
        <f>+'Maestro infraestructura'!C185</f>
        <v>Escenario</v>
      </c>
      <c r="D186" s="1" t="str">
        <f>+'Maestro infraestructura'!F185</f>
        <v>Tablero eléctrico Gimnasio</v>
      </c>
      <c r="E186" s="25" t="str">
        <f ca="1">+'Maestro infraestructura'!K185</f>
        <v>Activo</v>
      </c>
      <c r="F186" s="1" t="str">
        <f ca="1">+'Maestro infraestructura'!V185</f>
        <v>AL DÍA</v>
      </c>
      <c r="G186" s="1" t="str">
        <f>+'Maestro infraestructura'!X185</f>
        <v>OPERACIÓN</v>
      </c>
      <c r="H186" s="1">
        <f>+'Maestro infraestructura'!Y185</f>
        <v>2</v>
      </c>
      <c r="I186" s="1"/>
      <c r="J186" s="6">
        <f>+'Maestro infraestructura'!T185</f>
        <v>46563</v>
      </c>
      <c r="K186" s="6">
        <f t="shared" ca="1" si="22"/>
        <v>46563</v>
      </c>
      <c r="L186" s="6"/>
    </row>
    <row r="187" spans="1:12" x14ac:dyDescent="0.2">
      <c r="A187" s="1" t="str">
        <f>+'Maestro infraestructura'!A186</f>
        <v>EDIFICIO PRINCIPAL</v>
      </c>
      <c r="B187" s="1" t="str">
        <f>+'Maestro infraestructura'!B186</f>
        <v>2° Piso</v>
      </c>
      <c r="C187" s="1" t="str">
        <f>+'Maestro infraestructura'!C186</f>
        <v>Gimnasio</v>
      </c>
      <c r="D187" s="1" t="str">
        <f>+'Maestro infraestructura'!F186</f>
        <v>Aros de basquetbol retráctiles</v>
      </c>
      <c r="E187" s="25" t="str">
        <f ca="1">+'Maestro infraestructura'!K186</f>
        <v>Activo</v>
      </c>
      <c r="F187" s="1" t="str">
        <f ca="1">+'Maestro infraestructura'!V186</f>
        <v>AL DÍA</v>
      </c>
      <c r="G187" s="1" t="str">
        <f>+'Maestro infraestructura'!X186</f>
        <v>GENERAL</v>
      </c>
      <c r="H187" s="1">
        <f>+'Maestro infraestructura'!Y186</f>
        <v>2</v>
      </c>
      <c r="I187" s="1"/>
      <c r="J187" s="6">
        <f>+'Maestro infraestructura'!T186</f>
        <v>46563</v>
      </c>
      <c r="K187" s="6">
        <f t="shared" ca="1" si="22"/>
        <v>46563</v>
      </c>
      <c r="L187" s="6"/>
    </row>
    <row r="188" spans="1:12" x14ac:dyDescent="0.2">
      <c r="A188" s="1" t="str">
        <f>+'Maestro infraestructura'!A187</f>
        <v>EDIFICIO PRINCIPAL</v>
      </c>
      <c r="B188" s="1" t="str">
        <f>+'Maestro infraestructura'!B187</f>
        <v>2° Piso</v>
      </c>
      <c r="C188" s="1" t="str">
        <f>+'Maestro infraestructura'!C187</f>
        <v>Pasillo Camarines</v>
      </c>
      <c r="D188" s="1" t="str">
        <f>+'Maestro infraestructura'!F187</f>
        <v>Tablero eléctrico General</v>
      </c>
      <c r="E188" s="25" t="str">
        <f ca="1">+'Maestro infraestructura'!K187</f>
        <v>Activo</v>
      </c>
      <c r="F188" s="1" t="str">
        <f ca="1">+'Maestro infraestructura'!V187</f>
        <v>AL DÍA</v>
      </c>
      <c r="G188" s="1" t="str">
        <f>+'Maestro infraestructura'!X187</f>
        <v>SEGURIDAD</v>
      </c>
      <c r="H188" s="1">
        <f>+'Maestro infraestructura'!Y187</f>
        <v>1</v>
      </c>
      <c r="I188" s="1"/>
      <c r="J188" s="6">
        <f>+'Maestro infraestructura'!T187</f>
        <v>46563</v>
      </c>
      <c r="K188" s="6">
        <f t="shared" ca="1" si="22"/>
        <v>46563</v>
      </c>
      <c r="L188" s="6"/>
    </row>
    <row r="189" spans="1:12" x14ac:dyDescent="0.2">
      <c r="A189" s="1" t="str">
        <f>+'Maestro infraestructura'!A188</f>
        <v>EDIFICIO PRINCIPAL</v>
      </c>
      <c r="B189" s="1" t="str">
        <f>+'Maestro infraestructura'!B188</f>
        <v>3° Piso</v>
      </c>
      <c r="C189" s="1" t="str">
        <f>+'Maestro infraestructura'!C188</f>
        <v>La. Robótica</v>
      </c>
      <c r="D189" s="1" t="str">
        <f>+'Maestro infraestructura'!F188</f>
        <v>Tablero eléctrico Robótica</v>
      </c>
      <c r="E189" s="25" t="str">
        <f ca="1">+'Maestro infraestructura'!K188</f>
        <v>Activo</v>
      </c>
      <c r="F189" s="1" t="str">
        <f ca="1">+'Maestro infraestructura'!V188</f>
        <v>AL DÍA</v>
      </c>
      <c r="G189" s="1" t="str">
        <f>+'Maestro infraestructura'!X188</f>
        <v>OPERACIÓN</v>
      </c>
      <c r="H189" s="1">
        <f>+'Maestro infraestructura'!Y188</f>
        <v>2</v>
      </c>
      <c r="I189" s="1"/>
      <c r="J189" s="6">
        <f>+'Maestro infraestructura'!T188</f>
        <v>46563</v>
      </c>
      <c r="K189" s="6">
        <f t="shared" ca="1" si="22"/>
        <v>46563</v>
      </c>
      <c r="L189" s="6"/>
    </row>
    <row r="190" spans="1:12" x14ac:dyDescent="0.2">
      <c r="A190" s="1" t="str">
        <f>+'Maestro infraestructura'!A189</f>
        <v>EDIFICIO PRINCIPAL</v>
      </c>
      <c r="B190" s="1" t="str">
        <f>+'Maestro infraestructura'!B189</f>
        <v>3° Piso</v>
      </c>
      <c r="C190" s="1" t="str">
        <f>+'Maestro infraestructura'!C189</f>
        <v>Pasillo N300</v>
      </c>
      <c r="D190" s="1" t="str">
        <f>+'Maestro infraestructura'!F189</f>
        <v xml:space="preserve">Tablero eléctrico 1 oriente </v>
      </c>
      <c r="E190" s="25" t="str">
        <f ca="1">+'Maestro infraestructura'!K189</f>
        <v>Activo</v>
      </c>
      <c r="F190" s="1" t="str">
        <f ca="1">+'Maestro infraestructura'!V189</f>
        <v>AL DÍA</v>
      </c>
      <c r="G190" s="1" t="str">
        <f>+'Maestro infraestructura'!X189</f>
        <v>OPERACIÓN</v>
      </c>
      <c r="H190" s="1">
        <f>+'Maestro infraestructura'!Y189</f>
        <v>2</v>
      </c>
      <c r="I190" s="1"/>
      <c r="J190" s="6">
        <f>+'Maestro infraestructura'!T189</f>
        <v>46563</v>
      </c>
      <c r="K190" s="6">
        <f t="shared" ca="1" si="22"/>
        <v>46563</v>
      </c>
      <c r="L190" s="6"/>
    </row>
    <row r="191" spans="1:12" x14ac:dyDescent="0.2">
      <c r="A191" s="1" t="str">
        <f>+'Maestro infraestructura'!A190</f>
        <v>EDIFICIO PRINCIPAL</v>
      </c>
      <c r="B191" s="1" t="str">
        <f>+'Maestro infraestructura'!B190</f>
        <v>3° Piso</v>
      </c>
      <c r="C191" s="1" t="str">
        <f>+'Maestro infraestructura'!C190</f>
        <v>Pasillo N300</v>
      </c>
      <c r="D191" s="1" t="str">
        <f>+'Maestro infraestructura'!F190</f>
        <v>Tablero eléctrico 2 poniente</v>
      </c>
      <c r="E191" s="25" t="str">
        <f ca="1">+'Maestro infraestructura'!K190</f>
        <v>Activo</v>
      </c>
      <c r="F191" s="1" t="str">
        <f ca="1">+'Maestro infraestructura'!V190</f>
        <v>AL DÍA</v>
      </c>
      <c r="G191" s="1" t="str">
        <f>+'Maestro infraestructura'!X190</f>
        <v>OPERACIÓN</v>
      </c>
      <c r="H191" s="1">
        <f>+'Maestro infraestructura'!Y190</f>
        <v>2</v>
      </c>
      <c r="I191" s="1"/>
      <c r="J191" s="6">
        <f>+'Maestro infraestructura'!T190</f>
        <v>46563</v>
      </c>
      <c r="K191" s="6">
        <f t="shared" ca="1" si="22"/>
        <v>46563</v>
      </c>
      <c r="L191" s="6"/>
    </row>
    <row r="192" spans="1:12" x14ac:dyDescent="0.2">
      <c r="A192" s="1" t="str">
        <f>+'Maestro infraestructura'!A191</f>
        <v>EDIFICIO PRINCIPAL</v>
      </c>
      <c r="B192" s="1" t="str">
        <f>+'Maestro infraestructura'!B191</f>
        <v>3° Piso</v>
      </c>
      <c r="C192" s="1" t="str">
        <f>+'Maestro infraestructura'!C191</f>
        <v>Hall Equipo Apoyo</v>
      </c>
      <c r="D192" s="1" t="str">
        <f>+'Maestro infraestructura'!F191</f>
        <v>Tablero Equipo de Apoyo</v>
      </c>
      <c r="E192" s="25" t="str">
        <f ca="1">+'Maestro infraestructura'!K191</f>
        <v>Activo</v>
      </c>
      <c r="F192" s="1" t="str">
        <f ca="1">+'Maestro infraestructura'!V191</f>
        <v>AL DÍA</v>
      </c>
      <c r="G192" s="1" t="str">
        <f>+'Maestro infraestructura'!X191</f>
        <v>OPERACIÓN</v>
      </c>
      <c r="H192" s="1">
        <f>+'Maestro infraestructura'!Y191</f>
        <v>2</v>
      </c>
      <c r="I192" s="1"/>
      <c r="J192" s="6">
        <f>+'Maestro infraestructura'!T191</f>
        <v>46563</v>
      </c>
      <c r="K192" s="6">
        <f t="shared" ca="1" si="22"/>
        <v>46563</v>
      </c>
      <c r="L192" s="6"/>
    </row>
    <row r="193" spans="1:12" x14ac:dyDescent="0.2">
      <c r="A193" s="1" t="str">
        <f>+'Maestro infraestructura'!A192</f>
        <v>EDIFICIO PRINCIPAL</v>
      </c>
      <c r="B193" s="1" t="str">
        <f>+'Maestro infraestructura'!B192</f>
        <v>3° Piso</v>
      </c>
      <c r="C193" s="1" t="str">
        <f>+'Maestro infraestructura'!C192</f>
        <v>Sector "Kiosko"</v>
      </c>
      <c r="D193" s="1" t="str">
        <f>+'Maestro infraestructura'!F192</f>
        <v>Tablero Electrico Microondas</v>
      </c>
      <c r="E193" s="25" t="str">
        <f ca="1">+'Maestro infraestructura'!K192</f>
        <v>Activo</v>
      </c>
      <c r="F193" s="1" t="str">
        <f ca="1">+'Maestro infraestructura'!V192</f>
        <v>AL DÍA</v>
      </c>
      <c r="G193" s="1" t="str">
        <f>+'Maestro infraestructura'!X192</f>
        <v>OPERACIÓN</v>
      </c>
      <c r="H193" s="1">
        <f>+'Maestro infraestructura'!Y192</f>
        <v>2</v>
      </c>
      <c r="I193" s="1"/>
      <c r="J193" s="6">
        <f>+'Maestro infraestructura'!T192</f>
        <v>46563</v>
      </c>
      <c r="K193" s="6">
        <f t="shared" ca="1" si="22"/>
        <v>46563</v>
      </c>
      <c r="L193" s="6"/>
    </row>
    <row r="194" spans="1:12" x14ac:dyDescent="0.2">
      <c r="A194" s="1" t="str">
        <f>+'Maestro infraestructura'!A193</f>
        <v>EDIFICIO PRINCIPAL</v>
      </c>
      <c r="B194" s="1" t="str">
        <f>+'Maestro infraestructura'!B193</f>
        <v>3° Piso</v>
      </c>
      <c r="C194" s="1" t="str">
        <f>+'Maestro infraestructura'!C193</f>
        <v>Sala Servidores</v>
      </c>
      <c r="D194" s="1" t="str">
        <f>+'Maestro infraestructura'!F193</f>
        <v>Aire Acondicionado</v>
      </c>
      <c r="E194" s="25" t="str">
        <f ca="1">+'Maestro infraestructura'!K193</f>
        <v>Activo</v>
      </c>
      <c r="F194" s="1" t="str">
        <f ca="1">+'Maestro infraestructura'!V193</f>
        <v>AL DÍA</v>
      </c>
      <c r="G194" s="1" t="str">
        <f>+'Maestro infraestructura'!X193</f>
        <v>OPERACIÓN</v>
      </c>
      <c r="H194" s="1">
        <f>+'Maestro infraestructura'!Y193</f>
        <v>2</v>
      </c>
      <c r="I194" s="1"/>
      <c r="J194" s="6">
        <f>+'Maestro infraestructura'!T193</f>
        <v>46378</v>
      </c>
      <c r="K194" s="6">
        <f t="shared" ca="1" si="22"/>
        <v>46378</v>
      </c>
      <c r="L194" s="6"/>
    </row>
    <row r="195" spans="1:12" x14ac:dyDescent="0.2">
      <c r="A195" s="1" t="str">
        <f>+'Maestro infraestructura'!A194</f>
        <v>EDIFICIO PRINCIPAL</v>
      </c>
      <c r="B195" s="1" t="str">
        <f>+'Maestro infraestructura'!B194</f>
        <v>1° Piso</v>
      </c>
      <c r="C195" s="1" t="str">
        <f>+'Maestro infraestructura'!C194</f>
        <v>FabLab</v>
      </c>
      <c r="D195" s="1" t="str">
        <f>+'Maestro infraestructura'!F194</f>
        <v>Radiadores</v>
      </c>
      <c r="E195" s="25" t="str">
        <f ca="1">+'Maestro infraestructura'!K194</f>
        <v>Cambiar o Inspección externa</v>
      </c>
      <c r="F195" s="1" t="str">
        <f ca="1">+'Maestro infraestructura'!V194</f>
        <v>AL DÍA</v>
      </c>
      <c r="G195" s="1" t="str">
        <f>+'Maestro infraestructura'!X194</f>
        <v>GENERAL</v>
      </c>
      <c r="H195" s="1">
        <f>+'Maestro infraestructura'!Y194</f>
        <v>1</v>
      </c>
      <c r="I195" s="1"/>
      <c r="J195" s="6">
        <f>+'Maestro infraestructura'!T194</f>
        <v>46563</v>
      </c>
      <c r="K195" s="6">
        <f t="shared" ca="1" si="22"/>
        <v>4.9333991119881603E-4</v>
      </c>
      <c r="L195" s="6"/>
    </row>
    <row r="196" spans="1:12" x14ac:dyDescent="0.2">
      <c r="A196" s="1" t="str">
        <f>+'Maestro infraestructura'!A195</f>
        <v>EDIFICIO PRINCIPAL</v>
      </c>
      <c r="B196" s="1" t="str">
        <f>+'Maestro infraestructura'!B195</f>
        <v>4° Piso</v>
      </c>
      <c r="C196" s="1" t="str">
        <f>+'Maestro infraestructura'!C195</f>
        <v>Cocina Gerencia</v>
      </c>
      <c r="D196" s="1" t="str">
        <f>+'Maestro infraestructura'!F195</f>
        <v>Tablero eléctrico Gerencia 1</v>
      </c>
      <c r="E196" s="25" t="str">
        <f ca="1">+'Maestro infraestructura'!K195</f>
        <v>Activo</v>
      </c>
      <c r="F196" s="1" t="str">
        <f ca="1">+'Maestro infraestructura'!V195</f>
        <v>AL DÍA</v>
      </c>
      <c r="G196" s="1" t="str">
        <f>+'Maestro infraestructura'!X195</f>
        <v>OPERACIÓN</v>
      </c>
      <c r="H196" s="1">
        <f>+'Maestro infraestructura'!Y195</f>
        <v>2</v>
      </c>
      <c r="I196" s="1"/>
      <c r="J196" s="6">
        <f>+'Maestro infraestructura'!T195</f>
        <v>46563</v>
      </c>
      <c r="K196" s="6">
        <f t="shared" ref="K196:K259" ca="1" si="23">IF(E196="Cambiar o Inspección externa",1/1/2027,IF(E196="cambiar",1/1/2027,J196))</f>
        <v>46563</v>
      </c>
      <c r="L196" s="6"/>
    </row>
    <row r="197" spans="1:12" x14ac:dyDescent="0.2">
      <c r="A197" s="1" t="str">
        <f>+'Maestro infraestructura'!A196</f>
        <v>EDIFICIO PRINCIPAL</v>
      </c>
      <c r="B197" s="1" t="str">
        <f>+'Maestro infraestructura'!B196</f>
        <v>4° Piso</v>
      </c>
      <c r="C197" s="1" t="str">
        <f>+'Maestro infraestructura'!C196</f>
        <v>Cocina Gerencia</v>
      </c>
      <c r="D197" s="1" t="str">
        <f>+'Maestro infraestructura'!F196</f>
        <v>Tablero eléctrico Gerencia 2</v>
      </c>
      <c r="E197" s="25" t="str">
        <f ca="1">+'Maestro infraestructura'!K196</f>
        <v>Activo</v>
      </c>
      <c r="F197" s="1" t="str">
        <f ca="1">+'Maestro infraestructura'!V196</f>
        <v>AL DÍA</v>
      </c>
      <c r="G197" s="1" t="str">
        <f>+'Maestro infraestructura'!X196</f>
        <v>OPERACIÓN</v>
      </c>
      <c r="H197" s="1">
        <f>+'Maestro infraestructura'!Y196</f>
        <v>2</v>
      </c>
      <c r="I197" s="1"/>
      <c r="J197" s="6">
        <f>+'Maestro infraestructura'!T196</f>
        <v>46563</v>
      </c>
      <c r="K197" s="6">
        <f t="shared" ca="1" si="23"/>
        <v>46563</v>
      </c>
      <c r="L197" s="6"/>
    </row>
    <row r="198" spans="1:12" x14ac:dyDescent="0.2">
      <c r="A198" s="1" t="str">
        <f>+'Maestro infraestructura'!A197</f>
        <v>EDIFICIO PRINCIPAL</v>
      </c>
      <c r="B198" s="1" t="str">
        <f>+'Maestro infraestructura'!B197</f>
        <v>4° Piso</v>
      </c>
      <c r="C198" s="1" t="str">
        <f>+'Maestro infraestructura'!C197</f>
        <v>Closet hall Rectoría</v>
      </c>
      <c r="D198" s="1" t="str">
        <f>+'Maestro infraestructura'!F197</f>
        <v>Tablero eléctrico Rectoría 1</v>
      </c>
      <c r="E198" s="25" t="str">
        <f ca="1">+'Maestro infraestructura'!K197</f>
        <v>Activo</v>
      </c>
      <c r="F198" s="1" t="str">
        <f ca="1">+'Maestro infraestructura'!V197</f>
        <v>AL DÍA</v>
      </c>
      <c r="G198" s="1" t="str">
        <f>+'Maestro infraestructura'!X197</f>
        <v>OPERACIÓN</v>
      </c>
      <c r="H198" s="1">
        <f>+'Maestro infraestructura'!Y197</f>
        <v>2</v>
      </c>
      <c r="I198" s="1"/>
      <c r="J198" s="6">
        <f>+'Maestro infraestructura'!T197</f>
        <v>46563</v>
      </c>
      <c r="K198" s="6">
        <f t="shared" ca="1" si="23"/>
        <v>46563</v>
      </c>
      <c r="L198" s="6"/>
    </row>
    <row r="199" spans="1:12" x14ac:dyDescent="0.2">
      <c r="A199" s="1" t="str">
        <f>+'Maestro infraestructura'!A198</f>
        <v>EDIFICIO PRINCIPAL</v>
      </c>
      <c r="B199" s="1" t="str">
        <f>+'Maestro infraestructura'!B198</f>
        <v>4° Piso</v>
      </c>
      <c r="C199" s="1" t="str">
        <f>+'Maestro infraestructura'!C198</f>
        <v>Lab. Informática</v>
      </c>
      <c r="D199" s="1" t="str">
        <f>+'Maestro infraestructura'!F198</f>
        <v>Tablero eléctrico Rectoría 2</v>
      </c>
      <c r="E199" s="25" t="str">
        <f ca="1">+'Maestro infraestructura'!K198</f>
        <v>Activo</v>
      </c>
      <c r="F199" s="1" t="str">
        <f ca="1">+'Maestro infraestructura'!V198</f>
        <v>AL DÍA</v>
      </c>
      <c r="G199" s="1" t="str">
        <f>+'Maestro infraestructura'!X198</f>
        <v>OPERACIÓN</v>
      </c>
      <c r="H199" s="1">
        <f>+'Maestro infraestructura'!Y198</f>
        <v>2</v>
      </c>
      <c r="I199" s="1"/>
      <c r="J199" s="6">
        <f>+'Maestro infraestructura'!T198</f>
        <v>46563</v>
      </c>
      <c r="K199" s="6">
        <f t="shared" ca="1" si="23"/>
        <v>46563</v>
      </c>
      <c r="L199" s="6"/>
    </row>
    <row r="200" spans="1:12" x14ac:dyDescent="0.2">
      <c r="A200" s="1" t="str">
        <f>+'Maestro infraestructura'!A199</f>
        <v>EDIFICIO PRINCIPAL</v>
      </c>
      <c r="B200" s="1" t="str">
        <f>+'Maestro infraestructura'!B199</f>
        <v>4° Piso</v>
      </c>
      <c r="C200" s="1" t="str">
        <f>+'Maestro infraestructura'!C199</f>
        <v>Ingreso bodega</v>
      </c>
      <c r="D200" s="1" t="str">
        <f>+'Maestro infraestructura'!F199</f>
        <v>Tablero eléctrico Biblioteca</v>
      </c>
      <c r="E200" s="25" t="str">
        <f ca="1">+'Maestro infraestructura'!K199</f>
        <v>Activo</v>
      </c>
      <c r="F200" s="1" t="str">
        <f ca="1">+'Maestro infraestructura'!V199</f>
        <v>AL DÍA</v>
      </c>
      <c r="G200" s="1" t="str">
        <f>+'Maestro infraestructura'!X199</f>
        <v>OPERACIÓN</v>
      </c>
      <c r="H200" s="1">
        <f>+'Maestro infraestructura'!Y199</f>
        <v>2</v>
      </c>
      <c r="I200" s="1"/>
      <c r="J200" s="6">
        <f>+'Maestro infraestructura'!T199</f>
        <v>46563</v>
      </c>
      <c r="K200" s="6">
        <f t="shared" ca="1" si="23"/>
        <v>46563</v>
      </c>
      <c r="L200" s="6"/>
    </row>
    <row r="201" spans="1:12" x14ac:dyDescent="0.2">
      <c r="A201" s="1" t="str">
        <f>+'Maestro infraestructura'!A200</f>
        <v>EDIFICIO PRINCIPAL</v>
      </c>
      <c r="B201" s="1" t="str">
        <f>+'Maestro infraestructura'!B200</f>
        <v>4° Piso</v>
      </c>
      <c r="C201" s="1" t="str">
        <f>+'Maestro infraestructura'!C200</f>
        <v>Of. Rector</v>
      </c>
      <c r="D201" s="1" t="str">
        <f>+'Maestro infraestructura'!F200</f>
        <v>Aire Acondicionado</v>
      </c>
      <c r="E201" s="25" t="str">
        <f ca="1">+'Maestro infraestructura'!K200</f>
        <v>Activo</v>
      </c>
      <c r="F201" s="1" t="str">
        <f ca="1">+'Maestro infraestructura'!V200</f>
        <v>AL DÍA</v>
      </c>
      <c r="G201" s="1" t="str">
        <f>+'Maestro infraestructura'!X200</f>
        <v>OPERACIÓN</v>
      </c>
      <c r="H201" s="1">
        <f>+'Maestro infraestructura'!Y200</f>
        <v>2</v>
      </c>
      <c r="I201" s="1"/>
      <c r="J201" s="6">
        <f>+'Maestro infraestructura'!T200</f>
        <v>46378</v>
      </c>
      <c r="K201" s="6">
        <f t="shared" ca="1" si="23"/>
        <v>46378</v>
      </c>
      <c r="L201" s="6"/>
    </row>
    <row r="202" spans="1:12" x14ac:dyDescent="0.2">
      <c r="A202" s="1" t="str">
        <f>+'Maestro infraestructura'!A201</f>
        <v>EDIFICIO PRINCIPAL</v>
      </c>
      <c r="B202" s="1" t="str">
        <f>+'Maestro infraestructura'!B201</f>
        <v>4° Piso</v>
      </c>
      <c r="C202" s="1" t="str">
        <f>+'Maestro infraestructura'!C201</f>
        <v>Secretaria Rectoría</v>
      </c>
      <c r="D202" s="1" t="str">
        <f>+'Maestro infraestructura'!F201</f>
        <v>Aire Acondicionado</v>
      </c>
      <c r="E202" s="25" t="str">
        <f ca="1">+'Maestro infraestructura'!K201</f>
        <v>Activo</v>
      </c>
      <c r="F202" s="1" t="str">
        <f ca="1">+'Maestro infraestructura'!V201</f>
        <v>AL DÍA</v>
      </c>
      <c r="G202" s="1" t="str">
        <f>+'Maestro infraestructura'!X201</f>
        <v>OPERACIÓN</v>
      </c>
      <c r="H202" s="1">
        <f>+'Maestro infraestructura'!Y201</f>
        <v>2</v>
      </c>
      <c r="I202" s="1"/>
      <c r="J202" s="6">
        <f>+'Maestro infraestructura'!T201</f>
        <v>46378</v>
      </c>
      <c r="K202" s="6">
        <f t="shared" ca="1" si="23"/>
        <v>46378</v>
      </c>
      <c r="L202" s="6"/>
    </row>
    <row r="203" spans="1:12" x14ac:dyDescent="0.2">
      <c r="A203" s="1" t="str">
        <f>+'Maestro infraestructura'!A202</f>
        <v>EDIFICIO PRINCIPAL</v>
      </c>
      <c r="B203" s="1" t="str">
        <f>+'Maestro infraestructura'!B202</f>
        <v>4° Piso</v>
      </c>
      <c r="C203" s="1" t="str">
        <f>+'Maestro infraestructura'!C202</f>
        <v>Of. UTP</v>
      </c>
      <c r="D203" s="1" t="str">
        <f>+'Maestro infraestructura'!F202</f>
        <v>Aire Acondicionado</v>
      </c>
      <c r="E203" s="25" t="str">
        <f ca="1">+'Maestro infraestructura'!K202</f>
        <v>Activo</v>
      </c>
      <c r="F203" s="1" t="str">
        <f ca="1">+'Maestro infraestructura'!V202</f>
        <v>AL DÍA</v>
      </c>
      <c r="G203" s="1" t="str">
        <f>+'Maestro infraestructura'!X202</f>
        <v>OPERACIÓN</v>
      </c>
      <c r="H203" s="1">
        <f>+'Maestro infraestructura'!Y202</f>
        <v>2</v>
      </c>
      <c r="I203" s="1"/>
      <c r="J203" s="6">
        <f>+'Maestro infraestructura'!T202</f>
        <v>46378</v>
      </c>
      <c r="K203" s="6">
        <f t="shared" ca="1" si="23"/>
        <v>46378</v>
      </c>
      <c r="L203" s="6"/>
    </row>
    <row r="204" spans="1:12" x14ac:dyDescent="0.2">
      <c r="A204" s="1" t="str">
        <f>+'Maestro infraestructura'!A203</f>
        <v>EDIFICIO PRINCIPAL</v>
      </c>
      <c r="B204" s="1" t="str">
        <f>+'Maestro infraestructura'!B203</f>
        <v>4° Piso</v>
      </c>
      <c r="C204" s="1" t="str">
        <f>+'Maestro infraestructura'!C203</f>
        <v>Controlador Logístico</v>
      </c>
      <c r="D204" s="1" t="str">
        <f>+'Maestro infraestructura'!F203</f>
        <v>Aire Acondicionado</v>
      </c>
      <c r="E204" s="25" t="str">
        <f ca="1">+'Maestro infraestructura'!K203</f>
        <v>Activo</v>
      </c>
      <c r="F204" s="1" t="str">
        <f ca="1">+'Maestro infraestructura'!V203</f>
        <v>AL DÍA</v>
      </c>
      <c r="G204" s="1" t="str">
        <f>+'Maestro infraestructura'!X203</f>
        <v>OPERACIÓN</v>
      </c>
      <c r="H204" s="1">
        <f>+'Maestro infraestructura'!Y203</f>
        <v>2</v>
      </c>
      <c r="I204" s="1"/>
      <c r="J204" s="6">
        <f>+'Maestro infraestructura'!T203</f>
        <v>46378</v>
      </c>
      <c r="K204" s="6">
        <f t="shared" ca="1" si="23"/>
        <v>46378</v>
      </c>
      <c r="L204" s="6"/>
    </row>
    <row r="205" spans="1:12" x14ac:dyDescent="0.2">
      <c r="A205" s="1" t="str">
        <f>+'Maestro infraestructura'!A204</f>
        <v>EDIFICIO PRINCIPAL</v>
      </c>
      <c r="B205" s="1" t="str">
        <f>+'Maestro infraestructura'!B204</f>
        <v>4° Piso</v>
      </c>
      <c r="C205" s="1" t="str">
        <f>+'Maestro infraestructura'!C204</f>
        <v>Sala Reuniones GV</v>
      </c>
      <c r="D205" s="1" t="str">
        <f>+'Maestro infraestructura'!F204</f>
        <v>Aire Acondicionado</v>
      </c>
      <c r="E205" s="25" t="str">
        <f ca="1">+'Maestro infraestructura'!K204</f>
        <v>Activo</v>
      </c>
      <c r="F205" s="1" t="str">
        <f ca="1">+'Maestro infraestructura'!V204</f>
        <v>AL DÍA</v>
      </c>
      <c r="G205" s="1" t="str">
        <f>+'Maestro infraestructura'!X204</f>
        <v>OPERACIÓN</v>
      </c>
      <c r="H205" s="1">
        <f>+'Maestro infraestructura'!Y204</f>
        <v>2</v>
      </c>
      <c r="I205" s="1"/>
      <c r="J205" s="6">
        <f>+'Maestro infraestructura'!T204</f>
        <v>46378</v>
      </c>
      <c r="K205" s="6">
        <f t="shared" ca="1" si="23"/>
        <v>46378</v>
      </c>
      <c r="L205" s="6"/>
    </row>
    <row r="206" spans="1:12" x14ac:dyDescent="0.2">
      <c r="A206" s="1" t="str">
        <f>+'Maestro infraestructura'!A205</f>
        <v>EDIFICIO PRINCIPAL</v>
      </c>
      <c r="B206" s="1" t="str">
        <f>+'Maestro infraestructura'!B205</f>
        <v>4° Piso</v>
      </c>
      <c r="C206" s="1" t="str">
        <f>+'Maestro infraestructura'!C205</f>
        <v>Sala profesores N400</v>
      </c>
      <c r="D206" s="1" t="str">
        <f>+'Maestro infraestructura'!F205</f>
        <v>Baño profesores varones</v>
      </c>
      <c r="E206" s="25" t="str">
        <f ca="1">+'Maestro infraestructura'!K205</f>
        <v>Activo</v>
      </c>
      <c r="F206" s="1" t="str">
        <f ca="1">+'Maestro infraestructura'!V205</f>
        <v>VENCIDO</v>
      </c>
      <c r="G206" s="1" t="str">
        <f>+'Maestro infraestructura'!X205</f>
        <v>LEGAL</v>
      </c>
      <c r="H206" s="1">
        <f>+'Maestro infraestructura'!Y205</f>
        <v>1</v>
      </c>
      <c r="I206" s="1"/>
      <c r="J206" s="6">
        <f>+'Maestro infraestructura'!T205</f>
        <v>46258</v>
      </c>
      <c r="K206" s="6">
        <f t="shared" ca="1" si="23"/>
        <v>46258</v>
      </c>
      <c r="L206" s="6"/>
    </row>
    <row r="207" spans="1:12" x14ac:dyDescent="0.2">
      <c r="A207" s="1" t="str">
        <f>+'Maestro infraestructura'!A206</f>
        <v>EDIFICIO PRINCIPAL</v>
      </c>
      <c r="B207" s="1" t="str">
        <f>+'Maestro infraestructura'!B206</f>
        <v>4° Piso</v>
      </c>
      <c r="C207" s="1" t="str">
        <f>+'Maestro infraestructura'!C206</f>
        <v>Sala profesores N400</v>
      </c>
      <c r="D207" s="1" t="str">
        <f>+'Maestro infraestructura'!F206</f>
        <v>Baño profesores mujeres</v>
      </c>
      <c r="E207" s="25" t="str">
        <f ca="1">+'Maestro infraestructura'!K206</f>
        <v>Activo</v>
      </c>
      <c r="F207" s="1" t="str">
        <f ca="1">+'Maestro infraestructura'!V206</f>
        <v>VENCIDO</v>
      </c>
      <c r="G207" s="1" t="str">
        <f>+'Maestro infraestructura'!X206</f>
        <v>LEGAL</v>
      </c>
      <c r="H207" s="1">
        <f>+'Maestro infraestructura'!Y206</f>
        <v>1</v>
      </c>
      <c r="I207" s="1"/>
      <c r="J207" s="6">
        <f>+'Maestro infraestructura'!T206</f>
        <v>46258</v>
      </c>
      <c r="K207" s="6">
        <f t="shared" ca="1" si="23"/>
        <v>46258</v>
      </c>
      <c r="L207" s="6"/>
    </row>
    <row r="208" spans="1:12" x14ac:dyDescent="0.2">
      <c r="A208" s="1" t="str">
        <f>+'Maestro infraestructura'!A207</f>
        <v>EDIFICIO PRINCIPAL</v>
      </c>
      <c r="B208" s="1" t="str">
        <f>+'Maestro infraestructura'!B207</f>
        <v>4° Piso</v>
      </c>
      <c r="C208" s="1" t="str">
        <f>+'Maestro infraestructura'!C207</f>
        <v>Gerencia</v>
      </c>
      <c r="D208" s="1" t="str">
        <f>+'Maestro infraestructura'!F207</f>
        <v>Baño administrativos varones</v>
      </c>
      <c r="E208" s="25" t="str">
        <f ca="1">+'Maestro infraestructura'!K207</f>
        <v>Activo</v>
      </c>
      <c r="F208" s="1" t="str">
        <f ca="1">+'Maestro infraestructura'!V207</f>
        <v>VENCIDO</v>
      </c>
      <c r="G208" s="1" t="str">
        <f>+'Maestro infraestructura'!X207</f>
        <v>LEGAL</v>
      </c>
      <c r="H208" s="1">
        <f>+'Maestro infraestructura'!Y207</f>
        <v>1</v>
      </c>
      <c r="I208" s="1"/>
      <c r="J208" s="6">
        <f>+'Maestro infraestructura'!T207</f>
        <v>46258</v>
      </c>
      <c r="K208" s="6">
        <f t="shared" ca="1" si="23"/>
        <v>46258</v>
      </c>
      <c r="L208" s="6"/>
    </row>
    <row r="209" spans="1:12" x14ac:dyDescent="0.2">
      <c r="A209" s="1" t="str">
        <f>+'Maestro infraestructura'!A208</f>
        <v>EDIFICIO PRINCIPAL</v>
      </c>
      <c r="B209" s="1" t="str">
        <f>+'Maestro infraestructura'!B208</f>
        <v>4° Piso</v>
      </c>
      <c r="C209" s="1" t="str">
        <f>+'Maestro infraestructura'!C208</f>
        <v>Gerencia</v>
      </c>
      <c r="D209" s="1" t="str">
        <f>+'Maestro infraestructura'!F208</f>
        <v>Baño administrativos mujeres</v>
      </c>
      <c r="E209" s="25" t="str">
        <f ca="1">+'Maestro infraestructura'!K208</f>
        <v>Activo</v>
      </c>
      <c r="F209" s="1" t="str">
        <f ca="1">+'Maestro infraestructura'!V208</f>
        <v>VENCIDO</v>
      </c>
      <c r="G209" s="1" t="str">
        <f>+'Maestro infraestructura'!X208</f>
        <v>LEGAL</v>
      </c>
      <c r="H209" s="1">
        <f>+'Maestro infraestructura'!Y208</f>
        <v>1</v>
      </c>
      <c r="I209" s="1"/>
      <c r="J209" s="6">
        <f>+'Maestro infraestructura'!T208</f>
        <v>46258</v>
      </c>
      <c r="K209" s="6">
        <f t="shared" ca="1" si="23"/>
        <v>46258</v>
      </c>
      <c r="L209" s="6"/>
    </row>
    <row r="210" spans="1:12" x14ac:dyDescent="0.2">
      <c r="A210" s="1" t="str">
        <f>+'Maestro infraestructura'!A209</f>
        <v>EDIFICIO PRINCIPAL</v>
      </c>
      <c r="B210" s="1" t="str">
        <f>+'Maestro infraestructura'!B209</f>
        <v>4° Piso</v>
      </c>
      <c r="C210" s="1" t="str">
        <f>+'Maestro infraestructura'!C209</f>
        <v>Lab. Informática</v>
      </c>
      <c r="D210" s="1" t="str">
        <f>+'Maestro infraestructura'!F209</f>
        <v>Radiadores</v>
      </c>
      <c r="E210" s="25" t="str">
        <f ca="1">+'Maestro infraestructura'!K209</f>
        <v>Cambiar o Inspección externa</v>
      </c>
      <c r="F210" s="1" t="str">
        <f ca="1">+'Maestro infraestructura'!V209</f>
        <v>AL DÍA</v>
      </c>
      <c r="G210" s="1" t="str">
        <f>+'Maestro infraestructura'!X209</f>
        <v>GENERAL</v>
      </c>
      <c r="H210" s="1">
        <f>+'Maestro infraestructura'!Y209</f>
        <v>1</v>
      </c>
      <c r="I210" s="1"/>
      <c r="J210" s="6">
        <f>+'Maestro infraestructura'!T209</f>
        <v>46563</v>
      </c>
      <c r="K210" s="6">
        <f t="shared" ca="1" si="23"/>
        <v>4.9333991119881603E-4</v>
      </c>
      <c r="L210" s="6"/>
    </row>
    <row r="211" spans="1:12" x14ac:dyDescent="0.2">
      <c r="A211" s="1" t="str">
        <f>+'Maestro infraestructura'!A210</f>
        <v>EDIFICIO PRINCIPAL</v>
      </c>
      <c r="B211" s="1" t="str">
        <f>+'Maestro infraestructura'!B210</f>
        <v>4° Piso</v>
      </c>
      <c r="C211" s="1" t="str">
        <f>+'Maestro infraestructura'!C210</f>
        <v>Biblioteca</v>
      </c>
      <c r="D211" s="1" t="str">
        <f>+'Maestro infraestructura'!F210</f>
        <v>Enchufes</v>
      </c>
      <c r="E211" s="25" t="str">
        <f ca="1">+'Maestro infraestructura'!K210</f>
        <v>Activo</v>
      </c>
      <c r="F211" s="1" t="str">
        <f ca="1">+'Maestro infraestructura'!V210</f>
        <v>AL DÍA</v>
      </c>
      <c r="G211" s="1" t="str">
        <f>+'Maestro infraestructura'!X210</f>
        <v>GENERAL</v>
      </c>
      <c r="H211" s="1">
        <f>+'Maestro infraestructura'!Y210</f>
        <v>2</v>
      </c>
      <c r="I211" s="1"/>
      <c r="J211" s="6">
        <f>+'Maestro infraestructura'!T210</f>
        <v>46563</v>
      </c>
      <c r="K211" s="6">
        <f t="shared" ca="1" si="23"/>
        <v>46563</v>
      </c>
      <c r="L211" s="6"/>
    </row>
    <row r="212" spans="1:12" x14ac:dyDescent="0.2">
      <c r="A212" s="1" t="str">
        <f>+'Maestro infraestructura'!A211</f>
        <v>EDIFICIO PRINCIPAL</v>
      </c>
      <c r="B212" s="1" t="str">
        <f>+'Maestro infraestructura'!B211</f>
        <v>4° Piso</v>
      </c>
      <c r="C212" s="1" t="str">
        <f>+'Maestro infraestructura'!C211</f>
        <v>Biblioteca</v>
      </c>
      <c r="D212" s="1" t="str">
        <f>+'Maestro infraestructura'!F211</f>
        <v>Puertas</v>
      </c>
      <c r="E212" s="25" t="str">
        <f ca="1">+'Maestro infraestructura'!K211</f>
        <v>Activo</v>
      </c>
      <c r="F212" s="1" t="str">
        <f ca="1">+'Maestro infraestructura'!V211</f>
        <v>AL DÍA</v>
      </c>
      <c r="G212" s="1" t="str">
        <f>+'Maestro infraestructura'!X211</f>
        <v>GENERAL</v>
      </c>
      <c r="H212" s="1">
        <f>+'Maestro infraestructura'!Y211</f>
        <v>2</v>
      </c>
      <c r="I212" s="1"/>
      <c r="J212" s="6">
        <f>+'Maestro infraestructura'!T211</f>
        <v>46563</v>
      </c>
      <c r="K212" s="6">
        <f t="shared" ca="1" si="23"/>
        <v>46563</v>
      </c>
      <c r="L212" s="6"/>
    </row>
    <row r="213" spans="1:12" x14ac:dyDescent="0.2">
      <c r="A213" s="1" t="str">
        <f>+'Maestro infraestructura'!A212</f>
        <v>EDIFICIO PRINCIPAL</v>
      </c>
      <c r="B213" s="1" t="str">
        <f>+'Maestro infraestructura'!B212</f>
        <v>4° Piso</v>
      </c>
      <c r="C213" s="1" t="str">
        <f>+'Maestro infraestructura'!C212</f>
        <v>Biblioteca</v>
      </c>
      <c r="D213" s="1" t="str">
        <f>+'Maestro infraestructura'!F212</f>
        <v>Ventanas</v>
      </c>
      <c r="E213" s="25" t="str">
        <f ca="1">+'Maestro infraestructura'!K212</f>
        <v>Activo</v>
      </c>
      <c r="F213" s="1" t="str">
        <f ca="1">+'Maestro infraestructura'!V212</f>
        <v>AL DÍA</v>
      </c>
      <c r="G213" s="1" t="str">
        <f>+'Maestro infraestructura'!X212</f>
        <v>OPERACIÓN</v>
      </c>
      <c r="H213" s="1">
        <f>+'Maestro infraestructura'!Y212</f>
        <v>2</v>
      </c>
      <c r="I213" s="1"/>
      <c r="J213" s="6">
        <f>+'Maestro infraestructura'!T212</f>
        <v>46563</v>
      </c>
      <c r="K213" s="6">
        <f t="shared" ca="1" si="23"/>
        <v>46563</v>
      </c>
      <c r="L213" s="6"/>
    </row>
    <row r="214" spans="1:12" x14ac:dyDescent="0.2">
      <c r="A214" s="1" t="str">
        <f>+'Maestro infraestructura'!A213</f>
        <v>EDIFICIO PRINCIPAL</v>
      </c>
      <c r="B214" s="1" t="str">
        <f>+'Maestro infraestructura'!B213</f>
        <v>4° Piso</v>
      </c>
      <c r="C214" s="1" t="str">
        <f>+'Maestro infraestructura'!C213</f>
        <v>Biblioteca</v>
      </c>
      <c r="D214" s="1" t="str">
        <f>+'Maestro infraestructura'!F213</f>
        <v xml:space="preserve">Baranda </v>
      </c>
      <c r="E214" s="25" t="str">
        <f ca="1">+'Maestro infraestructura'!K213</f>
        <v>Activo</v>
      </c>
      <c r="F214" s="1" t="str">
        <f ca="1">+'Maestro infraestructura'!V213</f>
        <v>AL DÍA</v>
      </c>
      <c r="G214" s="1" t="str">
        <f>+'Maestro infraestructura'!X213</f>
        <v>SEGURIDAD</v>
      </c>
      <c r="H214" s="1">
        <f>+'Maestro infraestructura'!Y213</f>
        <v>1</v>
      </c>
      <c r="I214" s="1"/>
      <c r="J214" s="6">
        <f>+'Maestro infraestructura'!T213</f>
        <v>46563</v>
      </c>
      <c r="K214" s="6">
        <f t="shared" ca="1" si="23"/>
        <v>46563</v>
      </c>
      <c r="L214" s="6"/>
    </row>
    <row r="215" spans="1:12" x14ac:dyDescent="0.2">
      <c r="A215" s="1" t="str">
        <f>+'Maestro infraestructura'!A214</f>
        <v>EDIFICIO PRINCIPAL</v>
      </c>
      <c r="B215" s="1" t="str">
        <f>+'Maestro infraestructura'!B214</f>
        <v>4° Piso</v>
      </c>
      <c r="C215" s="1" t="str">
        <f>+'Maestro infraestructura'!C214</f>
        <v>Biblioteca</v>
      </c>
      <c r="D215" s="1" t="str">
        <f>+'Maestro infraestructura'!F214</f>
        <v>Piso</v>
      </c>
      <c r="E215" s="25" t="str">
        <f ca="1">+'Maestro infraestructura'!K214</f>
        <v>Activo</v>
      </c>
      <c r="F215" s="1" t="str">
        <f ca="1">+'Maestro infraestructura'!V214</f>
        <v>AL DÍA</v>
      </c>
      <c r="G215" s="1" t="str">
        <f>+'Maestro infraestructura'!X214</f>
        <v>GENERAL</v>
      </c>
      <c r="H215" s="1">
        <f>+'Maestro infraestructura'!Y214</f>
        <v>2</v>
      </c>
      <c r="I215" s="1"/>
      <c r="J215" s="6">
        <f>+'Maestro infraestructura'!T214</f>
        <v>46563</v>
      </c>
      <c r="K215" s="6">
        <f t="shared" ca="1" si="23"/>
        <v>46563</v>
      </c>
      <c r="L215" s="6"/>
    </row>
    <row r="216" spans="1:12" x14ac:dyDescent="0.2">
      <c r="A216" s="1" t="str">
        <f>+'Maestro infraestructura'!A215</f>
        <v>EDIFICIO PRINCIPAL</v>
      </c>
      <c r="B216" s="1" t="str">
        <f>+'Maestro infraestructura'!B215</f>
        <v>4° Piso</v>
      </c>
      <c r="C216" s="1" t="str">
        <f>+'Maestro infraestructura'!C215</f>
        <v>Acceso Rectoría</v>
      </c>
      <c r="D216" s="1" t="str">
        <f>+'Maestro infraestructura'!F215</f>
        <v>Ventanas</v>
      </c>
      <c r="E216" s="25" t="str">
        <f ca="1">+'Maestro infraestructura'!K215</f>
        <v>Activo</v>
      </c>
      <c r="F216" s="1" t="str">
        <f ca="1">+'Maestro infraestructura'!V215</f>
        <v>AL DÍA</v>
      </c>
      <c r="G216" s="1" t="str">
        <f>+'Maestro infraestructura'!X215</f>
        <v>OPERACIÓN</v>
      </c>
      <c r="H216" s="1">
        <f>+'Maestro infraestructura'!Y215</f>
        <v>2</v>
      </c>
      <c r="I216" s="1"/>
      <c r="J216" s="6">
        <f>+'Maestro infraestructura'!T215</f>
        <v>46563</v>
      </c>
      <c r="K216" s="6">
        <f t="shared" ca="1" si="23"/>
        <v>46563</v>
      </c>
      <c r="L216" s="6"/>
    </row>
    <row r="217" spans="1:12" x14ac:dyDescent="0.2">
      <c r="A217" s="1" t="str">
        <f>+'Maestro infraestructura'!A216</f>
        <v>EDIFICIO PRINCIPAL</v>
      </c>
      <c r="B217" s="1" t="str">
        <f>+'Maestro infraestructura'!B216</f>
        <v>4° Piso</v>
      </c>
      <c r="C217" s="1" t="str">
        <f>+'Maestro infraestructura'!C216</f>
        <v>Acceso Rectoría</v>
      </c>
      <c r="D217" s="1" t="str">
        <f>+'Maestro infraestructura'!F216</f>
        <v xml:space="preserve">Baranda </v>
      </c>
      <c r="E217" s="25" t="str">
        <f ca="1">+'Maestro infraestructura'!K216</f>
        <v>Activo</v>
      </c>
      <c r="F217" s="1" t="str">
        <f ca="1">+'Maestro infraestructura'!V216</f>
        <v>AL DÍA</v>
      </c>
      <c r="G217" s="1" t="str">
        <f>+'Maestro infraestructura'!X216</f>
        <v>SEGURIDAD</v>
      </c>
      <c r="H217" s="1">
        <f>+'Maestro infraestructura'!Y216</f>
        <v>1</v>
      </c>
      <c r="I217" s="1"/>
      <c r="J217" s="6">
        <f>+'Maestro infraestructura'!T216</f>
        <v>46563</v>
      </c>
      <c r="K217" s="6">
        <f t="shared" ca="1" si="23"/>
        <v>46563</v>
      </c>
      <c r="L217" s="6"/>
    </row>
    <row r="218" spans="1:12" x14ac:dyDescent="0.2">
      <c r="A218" s="1" t="str">
        <f>+'Maestro infraestructura'!A217</f>
        <v>EDIFICIO PRINCIPAL</v>
      </c>
      <c r="B218" s="1" t="str">
        <f>+'Maestro infraestructura'!B217</f>
        <v>4° Piso</v>
      </c>
      <c r="C218" s="1" t="str">
        <f>+'Maestro infraestructura'!C217</f>
        <v>Acceso Rectoría</v>
      </c>
      <c r="D218" s="1" t="str">
        <f>+'Maestro infraestructura'!F217</f>
        <v>Piso</v>
      </c>
      <c r="E218" s="25" t="str">
        <f ca="1">+'Maestro infraestructura'!K217</f>
        <v>Activo</v>
      </c>
      <c r="F218" s="1" t="str">
        <f ca="1">+'Maestro infraestructura'!V217</f>
        <v>AL DÍA</v>
      </c>
      <c r="G218" s="1" t="str">
        <f>+'Maestro infraestructura'!X217</f>
        <v>GENERAL</v>
      </c>
      <c r="H218" s="1">
        <f>+'Maestro infraestructura'!Y217</f>
        <v>2</v>
      </c>
      <c r="I218" s="1"/>
      <c r="J218" s="6">
        <f>+'Maestro infraestructura'!T217</f>
        <v>46563</v>
      </c>
      <c r="K218" s="6">
        <f t="shared" ca="1" si="23"/>
        <v>46563</v>
      </c>
      <c r="L218" s="6"/>
    </row>
    <row r="219" spans="1:12" x14ac:dyDescent="0.2">
      <c r="A219" s="1" t="str">
        <f>+'Maestro infraestructura'!A218</f>
        <v>EDIFICIO PRINCIPAL</v>
      </c>
      <c r="B219" s="1" t="str">
        <f>+'Maestro infraestructura'!B218</f>
        <v>4° Piso</v>
      </c>
      <c r="C219" s="1" t="str">
        <f>+'Maestro infraestructura'!C218</f>
        <v>Acceso Rectoría</v>
      </c>
      <c r="D219" s="1" t="str">
        <f>+'Maestro infraestructura'!F218</f>
        <v>Enchufes</v>
      </c>
      <c r="E219" s="25" t="str">
        <f ca="1">+'Maestro infraestructura'!K218</f>
        <v>Activo</v>
      </c>
      <c r="F219" s="1" t="str">
        <f ca="1">+'Maestro infraestructura'!V218</f>
        <v>AL DÍA</v>
      </c>
      <c r="G219" s="1" t="str">
        <f>+'Maestro infraestructura'!X218</f>
        <v>GENERAL</v>
      </c>
      <c r="H219" s="1">
        <f>+'Maestro infraestructura'!Y218</f>
        <v>2</v>
      </c>
      <c r="I219" s="1"/>
      <c r="J219" s="6">
        <f>+'Maestro infraestructura'!T218</f>
        <v>46563</v>
      </c>
      <c r="K219" s="6">
        <f t="shared" ca="1" si="23"/>
        <v>46563</v>
      </c>
      <c r="L219" s="6"/>
    </row>
    <row r="220" spans="1:12" x14ac:dyDescent="0.2">
      <c r="A220" s="1" t="str">
        <f>+'Maestro infraestructura'!A219</f>
        <v>EDIFICIO PRINCIPAL</v>
      </c>
      <c r="B220" s="1" t="str">
        <f>+'Maestro infraestructura'!B219</f>
        <v>4° Piso</v>
      </c>
      <c r="C220" s="1" t="str">
        <f>+'Maestro infraestructura'!C219</f>
        <v>Acceso Rectoría</v>
      </c>
      <c r="D220" s="1" t="str">
        <f>+'Maestro infraestructura'!F219</f>
        <v>TV</v>
      </c>
      <c r="E220" s="25" t="str">
        <f ca="1">+'Maestro infraestructura'!K219</f>
        <v>Activo</v>
      </c>
      <c r="F220" s="1" t="str">
        <f ca="1">+'Maestro infraestructura'!V219</f>
        <v>AL DÍA</v>
      </c>
      <c r="G220" s="1" t="str">
        <f>+'Maestro infraestructura'!X219</f>
        <v>OPERACIÓN</v>
      </c>
      <c r="H220" s="1">
        <f>+'Maestro infraestructura'!Y219</f>
        <v>2</v>
      </c>
      <c r="I220" s="1"/>
      <c r="J220" s="6">
        <f>+'Maestro infraestructura'!T219</f>
        <v>46563</v>
      </c>
      <c r="K220" s="6">
        <f t="shared" ca="1" si="23"/>
        <v>46563</v>
      </c>
      <c r="L220" s="6"/>
    </row>
    <row r="221" spans="1:12" x14ac:dyDescent="0.2">
      <c r="A221" s="1" t="str">
        <f>+'Maestro infraestructura'!A220</f>
        <v>EDIFICIO PRINCIPAL</v>
      </c>
      <c r="B221" s="1" t="str">
        <f>+'Maestro infraestructura'!B220</f>
        <v>4° Piso</v>
      </c>
      <c r="C221" s="1" t="str">
        <f>+'Maestro infraestructura'!C220</f>
        <v>Acceso Rectoría</v>
      </c>
      <c r="D221" s="1" t="str">
        <f>+'Maestro infraestructura'!F220</f>
        <v>Puertas</v>
      </c>
      <c r="E221" s="25" t="str">
        <f ca="1">+'Maestro infraestructura'!K220</f>
        <v>Activo</v>
      </c>
      <c r="F221" s="1" t="str">
        <f ca="1">+'Maestro infraestructura'!V220</f>
        <v>AL DÍA</v>
      </c>
      <c r="G221" s="1" t="str">
        <f>+'Maestro infraestructura'!X220</f>
        <v>GENERAL</v>
      </c>
      <c r="H221" s="1">
        <f>+'Maestro infraestructura'!Y220</f>
        <v>2</v>
      </c>
      <c r="I221" s="1"/>
      <c r="J221" s="6">
        <f>+'Maestro infraestructura'!T220</f>
        <v>46563</v>
      </c>
      <c r="K221" s="6">
        <f t="shared" ca="1" si="23"/>
        <v>46563</v>
      </c>
      <c r="L221" s="6"/>
    </row>
    <row r="222" spans="1:12" x14ac:dyDescent="0.2">
      <c r="A222" s="1" t="str">
        <f>+'Maestro infraestructura'!A221</f>
        <v>EDIFICIO PRINCIPAL</v>
      </c>
      <c r="B222" s="1" t="str">
        <f>+'Maestro infraestructura'!B221</f>
        <v>5° Piso</v>
      </c>
      <c r="C222" s="1" t="str">
        <f>+'Maestro infraestructura'!C221</f>
        <v>Pasillo N500</v>
      </c>
      <c r="D222" s="1" t="str">
        <f>+'Maestro infraestructura'!F221</f>
        <v xml:space="preserve">Tablero eléctrico 1 oriente </v>
      </c>
      <c r="E222" s="25" t="str">
        <f ca="1">+'Maestro infraestructura'!K221</f>
        <v>Activo</v>
      </c>
      <c r="F222" s="1" t="str">
        <f ca="1">+'Maestro infraestructura'!V221</f>
        <v>AL DÍA</v>
      </c>
      <c r="G222" s="1" t="str">
        <f>+'Maestro infraestructura'!X221</f>
        <v>OPERACIÓN</v>
      </c>
      <c r="H222" s="1">
        <f>+'Maestro infraestructura'!Y221</f>
        <v>2</v>
      </c>
      <c r="I222" s="1"/>
      <c r="J222" s="6">
        <f>+'Maestro infraestructura'!T221</f>
        <v>46563</v>
      </c>
      <c r="K222" s="6">
        <f t="shared" ca="1" si="23"/>
        <v>46563</v>
      </c>
      <c r="L222" s="6"/>
    </row>
    <row r="223" spans="1:12" x14ac:dyDescent="0.2">
      <c r="A223" s="1" t="str">
        <f>+'Maestro infraestructura'!A222</f>
        <v>EDIFICIO PRINCIPAL</v>
      </c>
      <c r="B223" s="1" t="str">
        <f>+'Maestro infraestructura'!B222</f>
        <v>5° Piso</v>
      </c>
      <c r="C223" s="1" t="str">
        <f>+'Maestro infraestructura'!C222</f>
        <v>Pasillo N500</v>
      </c>
      <c r="D223" s="1" t="str">
        <f>+'Maestro infraestructura'!F222</f>
        <v>Tablero eléctrico 2 poniente</v>
      </c>
      <c r="E223" s="25" t="str">
        <f ca="1">+'Maestro infraestructura'!K222</f>
        <v>Activo</v>
      </c>
      <c r="F223" s="1" t="str">
        <f ca="1">+'Maestro infraestructura'!V222</f>
        <v>AL DÍA</v>
      </c>
      <c r="G223" s="1" t="str">
        <f>+'Maestro infraestructura'!X222</f>
        <v>OPERACIÓN</v>
      </c>
      <c r="H223" s="1">
        <f>+'Maestro infraestructura'!Y222</f>
        <v>2</v>
      </c>
      <c r="I223" s="1"/>
      <c r="J223" s="6">
        <f>+'Maestro infraestructura'!T222</f>
        <v>46563</v>
      </c>
      <c r="K223" s="6">
        <f t="shared" ca="1" si="23"/>
        <v>46563</v>
      </c>
      <c r="L223" s="6"/>
    </row>
    <row r="224" spans="1:12" x14ac:dyDescent="0.2">
      <c r="A224" s="1" t="str">
        <f>+'Maestro infraestructura'!A223</f>
        <v>EDIFICIO PRINCIPAL</v>
      </c>
      <c r="B224" s="1" t="str">
        <f>+'Maestro infraestructura'!B223</f>
        <v>5° Piso</v>
      </c>
      <c r="C224" s="1" t="str">
        <f>+'Maestro infraestructura'!C223</f>
        <v>Pasillo N500</v>
      </c>
      <c r="D224" s="1" t="str">
        <f>+'Maestro infraestructura'!F223</f>
        <v>Baño alumnos varones</v>
      </c>
      <c r="E224" s="25" t="str">
        <f ca="1">+'Maestro infraestructura'!K223</f>
        <v>Activo</v>
      </c>
      <c r="F224" s="1" t="str">
        <f ca="1">+'Maestro infraestructura'!V223</f>
        <v>VENCIDO</v>
      </c>
      <c r="G224" s="1" t="str">
        <f>+'Maestro infraestructura'!X223</f>
        <v>LEGAL</v>
      </c>
      <c r="H224" s="1">
        <f>+'Maestro infraestructura'!Y223</f>
        <v>2</v>
      </c>
      <c r="I224" s="1"/>
      <c r="J224" s="6">
        <f>+'Maestro infraestructura'!T223</f>
        <v>46258</v>
      </c>
      <c r="K224" s="6">
        <f t="shared" ca="1" si="23"/>
        <v>46258</v>
      </c>
      <c r="L224" s="6"/>
    </row>
    <row r="225" spans="1:12" x14ac:dyDescent="0.2">
      <c r="A225" s="1" t="str">
        <f>+'Maestro infraestructura'!A224</f>
        <v>EDIFICIO PRINCIPAL</v>
      </c>
      <c r="B225" s="1" t="str">
        <f>+'Maestro infraestructura'!B224</f>
        <v>5° Piso</v>
      </c>
      <c r="C225" s="1" t="str">
        <f>+'Maestro infraestructura'!C224</f>
        <v>Pasillo N500</v>
      </c>
      <c r="D225" s="1" t="str">
        <f>+'Maestro infraestructura'!F224</f>
        <v>Baño alumnos mujeres</v>
      </c>
      <c r="E225" s="25" t="str">
        <f ca="1">+'Maestro infraestructura'!K224</f>
        <v>Activo</v>
      </c>
      <c r="F225" s="1" t="str">
        <f ca="1">+'Maestro infraestructura'!V224</f>
        <v>VENCIDO</v>
      </c>
      <c r="G225" s="1" t="str">
        <f>+'Maestro infraestructura'!X224</f>
        <v>LEGAL</v>
      </c>
      <c r="H225" s="1">
        <f>+'Maestro infraestructura'!Y224</f>
        <v>2</v>
      </c>
      <c r="I225" s="1"/>
      <c r="J225" s="6">
        <f>+'Maestro infraestructura'!T224</f>
        <v>46258</v>
      </c>
      <c r="K225" s="6">
        <f t="shared" ca="1" si="23"/>
        <v>46258</v>
      </c>
      <c r="L225" s="6"/>
    </row>
    <row r="226" spans="1:12" x14ac:dyDescent="0.2">
      <c r="A226" s="1" t="str">
        <f>+'Maestro infraestructura'!A225</f>
        <v>EDIFICIO PRINCIPAL</v>
      </c>
      <c r="B226" s="1" t="str">
        <f>+'Maestro infraestructura'!B225</f>
        <v>5° Piso</v>
      </c>
      <c r="C226" s="1">
        <f>+'Maestro infraestructura'!C225</f>
        <v>501</v>
      </c>
      <c r="D226" s="1" t="str">
        <f>+'Maestro infraestructura'!F225</f>
        <v>Ventanas</v>
      </c>
      <c r="E226" s="25" t="str">
        <f ca="1">+'Maestro infraestructura'!K225</f>
        <v>Activo</v>
      </c>
      <c r="F226" s="1" t="str">
        <f ca="1">+'Maestro infraestructura'!V225</f>
        <v>AL DÍA</v>
      </c>
      <c r="G226" s="1" t="str">
        <f>+'Maestro infraestructura'!X225</f>
        <v>OPERACIÓN</v>
      </c>
      <c r="H226" s="1">
        <f>+'Maestro infraestructura'!Y225</f>
        <v>2</v>
      </c>
      <c r="I226" s="1"/>
      <c r="J226" s="6">
        <f>+'Maestro infraestructura'!T225</f>
        <v>46563</v>
      </c>
      <c r="K226" s="6">
        <f t="shared" ca="1" si="23"/>
        <v>46563</v>
      </c>
      <c r="L226" s="6"/>
    </row>
    <row r="227" spans="1:12" x14ac:dyDescent="0.2">
      <c r="A227" s="1" t="str">
        <f>+'Maestro infraestructura'!A226</f>
        <v>EDIFICIO PRINCIPAL</v>
      </c>
      <c r="B227" s="1" t="str">
        <f>+'Maestro infraestructura'!B226</f>
        <v>5° Piso</v>
      </c>
      <c r="C227" s="1">
        <f>+'Maestro infraestructura'!C226</f>
        <v>501</v>
      </c>
      <c r="D227" s="1" t="str">
        <f>+'Maestro infraestructura'!F226</f>
        <v xml:space="preserve">Baranda </v>
      </c>
      <c r="E227" s="25" t="str">
        <f ca="1">+'Maestro infraestructura'!K226</f>
        <v>Activo</v>
      </c>
      <c r="F227" s="1" t="str">
        <f ca="1">+'Maestro infraestructura'!V226</f>
        <v>AL DÍA</v>
      </c>
      <c r="G227" s="1" t="str">
        <f>+'Maestro infraestructura'!X226</f>
        <v>SEGURIDAD</v>
      </c>
      <c r="H227" s="1">
        <f>+'Maestro infraestructura'!Y226</f>
        <v>1</v>
      </c>
      <c r="I227" s="1"/>
      <c r="J227" s="6">
        <f>+'Maestro infraestructura'!T226</f>
        <v>46563</v>
      </c>
      <c r="K227" s="6">
        <f t="shared" ca="1" si="23"/>
        <v>46563</v>
      </c>
      <c r="L227" s="6"/>
    </row>
    <row r="228" spans="1:12" x14ac:dyDescent="0.2">
      <c r="A228" s="1" t="str">
        <f>+'Maestro infraestructura'!A227</f>
        <v>EDIFICIO PRINCIPAL</v>
      </c>
      <c r="B228" s="1" t="str">
        <f>+'Maestro infraestructura'!B227</f>
        <v>5° Piso</v>
      </c>
      <c r="C228" s="1">
        <f>+'Maestro infraestructura'!C227</f>
        <v>501</v>
      </c>
      <c r="D228" s="1" t="str">
        <f>+'Maestro infraestructura'!F227</f>
        <v>Piso</v>
      </c>
      <c r="E228" s="25" t="str">
        <f ca="1">+'Maestro infraestructura'!K227</f>
        <v>Activo</v>
      </c>
      <c r="F228" s="1" t="str">
        <f ca="1">+'Maestro infraestructura'!V227</f>
        <v>AL DÍA</v>
      </c>
      <c r="G228" s="1" t="str">
        <f>+'Maestro infraestructura'!X227</f>
        <v>GENERAL</v>
      </c>
      <c r="H228" s="1">
        <f>+'Maestro infraestructura'!Y227</f>
        <v>2</v>
      </c>
      <c r="I228" s="1"/>
      <c r="J228" s="6">
        <f>+'Maestro infraestructura'!T227</f>
        <v>46563</v>
      </c>
      <c r="K228" s="6">
        <f t="shared" ca="1" si="23"/>
        <v>46563</v>
      </c>
      <c r="L228" s="6"/>
    </row>
    <row r="229" spans="1:12" x14ac:dyDescent="0.2">
      <c r="A229" s="1" t="str">
        <f>+'Maestro infraestructura'!A228</f>
        <v>EDIFICIO PRINCIPAL</v>
      </c>
      <c r="B229" s="1" t="str">
        <f>+'Maestro infraestructura'!B228</f>
        <v>5° Piso</v>
      </c>
      <c r="C229" s="1">
        <f>+'Maestro infraestructura'!C228</f>
        <v>501</v>
      </c>
      <c r="D229" s="1" t="str">
        <f>+'Maestro infraestructura'!F228</f>
        <v>Enchufes</v>
      </c>
      <c r="E229" s="25" t="str">
        <f ca="1">+'Maestro infraestructura'!K228</f>
        <v>Activo</v>
      </c>
      <c r="F229" s="1" t="str">
        <f ca="1">+'Maestro infraestructura'!V228</f>
        <v>AL DÍA</v>
      </c>
      <c r="G229" s="1" t="str">
        <f>+'Maestro infraestructura'!X228</f>
        <v>GENERAL</v>
      </c>
      <c r="H229" s="1">
        <f>+'Maestro infraestructura'!Y228</f>
        <v>2</v>
      </c>
      <c r="I229" s="1"/>
      <c r="J229" s="6">
        <f>+'Maestro infraestructura'!T228</f>
        <v>46563</v>
      </c>
      <c r="K229" s="6">
        <f t="shared" ca="1" si="23"/>
        <v>46563</v>
      </c>
      <c r="L229" s="6"/>
    </row>
    <row r="230" spans="1:12" x14ac:dyDescent="0.2">
      <c r="A230" s="1" t="str">
        <f>+'Maestro infraestructura'!A229</f>
        <v>EDIFICIO PRINCIPAL</v>
      </c>
      <c r="B230" s="1" t="str">
        <f>+'Maestro infraestructura'!B229</f>
        <v>5° Piso</v>
      </c>
      <c r="C230" s="1">
        <f>+'Maestro infraestructura'!C229</f>
        <v>501</v>
      </c>
      <c r="D230" s="1" t="str">
        <f>+'Maestro infraestructura'!F229</f>
        <v>TV</v>
      </c>
      <c r="E230" s="25" t="str">
        <f ca="1">+'Maestro infraestructura'!K229</f>
        <v>Activo</v>
      </c>
      <c r="F230" s="1" t="str">
        <f ca="1">+'Maestro infraestructura'!V229</f>
        <v>AL DÍA</v>
      </c>
      <c r="G230" s="1" t="str">
        <f>+'Maestro infraestructura'!X229</f>
        <v>OPERACIÓN</v>
      </c>
      <c r="H230" s="1">
        <f>+'Maestro infraestructura'!Y229</f>
        <v>2</v>
      </c>
      <c r="I230" s="1"/>
      <c r="J230" s="6">
        <f>+'Maestro infraestructura'!T229</f>
        <v>46563</v>
      </c>
      <c r="K230" s="6">
        <f t="shared" ca="1" si="23"/>
        <v>46563</v>
      </c>
      <c r="L230" s="6"/>
    </row>
    <row r="231" spans="1:12" x14ac:dyDescent="0.2">
      <c r="A231" s="1" t="str">
        <f>+'Maestro infraestructura'!A230</f>
        <v>EDIFICIO PRINCIPAL</v>
      </c>
      <c r="B231" s="1" t="str">
        <f>+'Maestro infraestructura'!B230</f>
        <v>5° Piso</v>
      </c>
      <c r="C231" s="1">
        <f>+'Maestro infraestructura'!C230</f>
        <v>501</v>
      </c>
      <c r="D231" s="1" t="str">
        <f>+'Maestro infraestructura'!F230</f>
        <v>Pizarra</v>
      </c>
      <c r="E231" s="25" t="str">
        <f ca="1">+'Maestro infraestructura'!K230</f>
        <v>Activo</v>
      </c>
      <c r="F231" s="1" t="str">
        <f ca="1">+'Maestro infraestructura'!V230</f>
        <v>AL DÍA</v>
      </c>
      <c r="G231" s="1" t="str">
        <f>+'Maestro infraestructura'!X230</f>
        <v>OPERACIÓN</v>
      </c>
      <c r="H231" s="1">
        <f>+'Maestro infraestructura'!Y230</f>
        <v>2</v>
      </c>
      <c r="I231" s="1"/>
      <c r="J231" s="6">
        <f>+'Maestro infraestructura'!T230</f>
        <v>46563</v>
      </c>
      <c r="K231" s="6">
        <f t="shared" ca="1" si="23"/>
        <v>46563</v>
      </c>
      <c r="L231" s="6"/>
    </row>
    <row r="232" spans="1:12" x14ac:dyDescent="0.2">
      <c r="A232" s="1" t="str">
        <f>+'Maestro infraestructura'!A231</f>
        <v>EDIFICIO PRINCIPAL</v>
      </c>
      <c r="B232" s="1" t="str">
        <f>+'Maestro infraestructura'!B231</f>
        <v>5° Piso</v>
      </c>
      <c r="C232" s="1">
        <f>+'Maestro infraestructura'!C231</f>
        <v>501</v>
      </c>
      <c r="D232" s="1" t="str">
        <f>+'Maestro infraestructura'!F231</f>
        <v>Puertas</v>
      </c>
      <c r="E232" s="25" t="str">
        <f ca="1">+'Maestro infraestructura'!K231</f>
        <v>Activo</v>
      </c>
      <c r="F232" s="1" t="str">
        <f ca="1">+'Maestro infraestructura'!V231</f>
        <v>AL DÍA</v>
      </c>
      <c r="G232" s="1" t="str">
        <f>+'Maestro infraestructura'!X231</f>
        <v>GENERAL</v>
      </c>
      <c r="H232" s="1">
        <f>+'Maestro infraestructura'!Y231</f>
        <v>2</v>
      </c>
      <c r="I232" s="1"/>
      <c r="J232" s="6">
        <f>+'Maestro infraestructura'!T231</f>
        <v>46563</v>
      </c>
      <c r="K232" s="6">
        <f t="shared" ca="1" si="23"/>
        <v>46563</v>
      </c>
      <c r="L232" s="6"/>
    </row>
    <row r="233" spans="1:12" x14ac:dyDescent="0.2">
      <c r="A233" s="1" t="str">
        <f>+'Maestro infraestructura'!A232</f>
        <v>EDIFICIO PRINCIPAL</v>
      </c>
      <c r="B233" s="1" t="str">
        <f>+'Maestro infraestructura'!B232</f>
        <v>5° Piso</v>
      </c>
      <c r="C233" s="1">
        <f>+'Maestro infraestructura'!C232</f>
        <v>502</v>
      </c>
      <c r="D233" s="1" t="str">
        <f>+'Maestro infraestructura'!F232</f>
        <v>Ventanas</v>
      </c>
      <c r="E233" s="25" t="str">
        <f ca="1">+'Maestro infraestructura'!K232</f>
        <v>Activo</v>
      </c>
      <c r="F233" s="1" t="str">
        <f ca="1">+'Maestro infraestructura'!V232</f>
        <v>AL DÍA</v>
      </c>
      <c r="G233" s="1" t="str">
        <f>+'Maestro infraestructura'!X232</f>
        <v>OPERACIÓN</v>
      </c>
      <c r="H233" s="1">
        <f>+'Maestro infraestructura'!Y232</f>
        <v>2</v>
      </c>
      <c r="I233" s="1"/>
      <c r="J233" s="6">
        <f>+'Maestro infraestructura'!T232</f>
        <v>46563</v>
      </c>
      <c r="K233" s="6">
        <f t="shared" ca="1" si="23"/>
        <v>46563</v>
      </c>
      <c r="L233" s="6"/>
    </row>
    <row r="234" spans="1:12" x14ac:dyDescent="0.2">
      <c r="A234" s="1" t="str">
        <f>+'Maestro infraestructura'!A233</f>
        <v>EDIFICIO PRINCIPAL</v>
      </c>
      <c r="B234" s="1" t="str">
        <f>+'Maestro infraestructura'!B233</f>
        <v>5° Piso</v>
      </c>
      <c r="C234" s="1">
        <f>+'Maestro infraestructura'!C233</f>
        <v>502</v>
      </c>
      <c r="D234" s="1" t="str">
        <f>+'Maestro infraestructura'!F233</f>
        <v xml:space="preserve">Baranda </v>
      </c>
      <c r="E234" s="25" t="str">
        <f ca="1">+'Maestro infraestructura'!K233</f>
        <v>Activo</v>
      </c>
      <c r="F234" s="1" t="str">
        <f ca="1">+'Maestro infraestructura'!V233</f>
        <v>AL DÍA</v>
      </c>
      <c r="G234" s="1" t="str">
        <f>+'Maestro infraestructura'!X233</f>
        <v>SEGURIDAD</v>
      </c>
      <c r="H234" s="1">
        <f>+'Maestro infraestructura'!Y233</f>
        <v>1</v>
      </c>
      <c r="I234" s="1"/>
      <c r="J234" s="6">
        <f>+'Maestro infraestructura'!T233</f>
        <v>46563</v>
      </c>
      <c r="K234" s="6">
        <f t="shared" ca="1" si="23"/>
        <v>46563</v>
      </c>
      <c r="L234" s="6"/>
    </row>
    <row r="235" spans="1:12" x14ac:dyDescent="0.2">
      <c r="A235" s="1" t="str">
        <f>+'Maestro infraestructura'!A234</f>
        <v>EDIFICIO PRINCIPAL</v>
      </c>
      <c r="B235" s="1" t="str">
        <f>+'Maestro infraestructura'!B234</f>
        <v>5° Piso</v>
      </c>
      <c r="C235" s="1">
        <f>+'Maestro infraestructura'!C234</f>
        <v>502</v>
      </c>
      <c r="D235" s="1" t="str">
        <f>+'Maestro infraestructura'!F234</f>
        <v>Piso</v>
      </c>
      <c r="E235" s="25" t="str">
        <f ca="1">+'Maestro infraestructura'!K234</f>
        <v>Activo</v>
      </c>
      <c r="F235" s="1" t="str">
        <f ca="1">+'Maestro infraestructura'!V234</f>
        <v>AL DÍA</v>
      </c>
      <c r="G235" s="1" t="str">
        <f>+'Maestro infraestructura'!X234</f>
        <v>GENERAL</v>
      </c>
      <c r="H235" s="1">
        <f>+'Maestro infraestructura'!Y234</f>
        <v>2</v>
      </c>
      <c r="I235" s="1"/>
      <c r="J235" s="6">
        <f>+'Maestro infraestructura'!T234</f>
        <v>46563</v>
      </c>
      <c r="K235" s="6">
        <f t="shared" ca="1" si="23"/>
        <v>46563</v>
      </c>
      <c r="L235" s="6"/>
    </row>
    <row r="236" spans="1:12" x14ac:dyDescent="0.2">
      <c r="A236" s="1" t="str">
        <f>+'Maestro infraestructura'!A235</f>
        <v>EDIFICIO PRINCIPAL</v>
      </c>
      <c r="B236" s="1" t="str">
        <f>+'Maestro infraestructura'!B235</f>
        <v>5° Piso</v>
      </c>
      <c r="C236" s="1">
        <f>+'Maestro infraestructura'!C235</f>
        <v>502</v>
      </c>
      <c r="D236" s="1" t="str">
        <f>+'Maestro infraestructura'!F235</f>
        <v>Enchufes</v>
      </c>
      <c r="E236" s="25" t="str">
        <f ca="1">+'Maestro infraestructura'!K235</f>
        <v>Activo</v>
      </c>
      <c r="F236" s="1" t="str">
        <f ca="1">+'Maestro infraestructura'!V235</f>
        <v>AL DÍA</v>
      </c>
      <c r="G236" s="1" t="str">
        <f>+'Maestro infraestructura'!X235</f>
        <v>GENERAL</v>
      </c>
      <c r="H236" s="1">
        <f>+'Maestro infraestructura'!Y235</f>
        <v>2</v>
      </c>
      <c r="I236" s="1"/>
      <c r="J236" s="6">
        <f>+'Maestro infraestructura'!T235</f>
        <v>46563</v>
      </c>
      <c r="K236" s="6">
        <f t="shared" ca="1" si="23"/>
        <v>46563</v>
      </c>
      <c r="L236" s="6"/>
    </row>
    <row r="237" spans="1:12" x14ac:dyDescent="0.2">
      <c r="A237" s="1" t="str">
        <f>+'Maestro infraestructura'!A236</f>
        <v>EDIFICIO PRINCIPAL</v>
      </c>
      <c r="B237" s="1" t="str">
        <f>+'Maestro infraestructura'!B236</f>
        <v>5° Piso</v>
      </c>
      <c r="C237" s="1">
        <f>+'Maestro infraestructura'!C236</f>
        <v>502</v>
      </c>
      <c r="D237" s="1" t="str">
        <f>+'Maestro infraestructura'!F236</f>
        <v>TV</v>
      </c>
      <c r="E237" s="25" t="str">
        <f ca="1">+'Maestro infraestructura'!K236</f>
        <v>Activo</v>
      </c>
      <c r="F237" s="1" t="str">
        <f ca="1">+'Maestro infraestructura'!V236</f>
        <v>AL DÍA</v>
      </c>
      <c r="G237" s="1" t="str">
        <f>+'Maestro infraestructura'!X236</f>
        <v>OPERACIÓN</v>
      </c>
      <c r="H237" s="1">
        <f>+'Maestro infraestructura'!Y236</f>
        <v>2</v>
      </c>
      <c r="I237" s="1"/>
      <c r="J237" s="6">
        <f>+'Maestro infraestructura'!T236</f>
        <v>46563</v>
      </c>
      <c r="K237" s="6">
        <f t="shared" ca="1" si="23"/>
        <v>46563</v>
      </c>
      <c r="L237" s="6"/>
    </row>
    <row r="238" spans="1:12" x14ac:dyDescent="0.2">
      <c r="A238" s="1" t="str">
        <f>+'Maestro infraestructura'!A237</f>
        <v>EDIFICIO PRINCIPAL</v>
      </c>
      <c r="B238" s="1" t="str">
        <f>+'Maestro infraestructura'!B237</f>
        <v>5° Piso</v>
      </c>
      <c r="C238" s="1">
        <f>+'Maestro infraestructura'!C237</f>
        <v>502</v>
      </c>
      <c r="D238" s="1" t="str">
        <f>+'Maestro infraestructura'!F237</f>
        <v>Pizarra</v>
      </c>
      <c r="E238" s="25" t="str">
        <f ca="1">+'Maestro infraestructura'!K237</f>
        <v>Activo</v>
      </c>
      <c r="F238" s="1" t="str">
        <f ca="1">+'Maestro infraestructura'!V237</f>
        <v>AL DÍA</v>
      </c>
      <c r="G238" s="1" t="str">
        <f>+'Maestro infraestructura'!X237</f>
        <v>OPERACIÓN</v>
      </c>
      <c r="H238" s="1">
        <f>+'Maestro infraestructura'!Y237</f>
        <v>2</v>
      </c>
      <c r="I238" s="1"/>
      <c r="J238" s="6">
        <f>+'Maestro infraestructura'!T237</f>
        <v>46563</v>
      </c>
      <c r="K238" s="6">
        <f t="shared" ca="1" si="23"/>
        <v>46563</v>
      </c>
      <c r="L238" s="6"/>
    </row>
    <row r="239" spans="1:12" x14ac:dyDescent="0.2">
      <c r="A239" s="1" t="str">
        <f>+'Maestro infraestructura'!A238</f>
        <v>EDIFICIO PRINCIPAL</v>
      </c>
      <c r="B239" s="1" t="str">
        <f>+'Maestro infraestructura'!B238</f>
        <v>5° Piso</v>
      </c>
      <c r="C239" s="1">
        <f>+'Maestro infraestructura'!C238</f>
        <v>502</v>
      </c>
      <c r="D239" s="1" t="str">
        <f>+'Maestro infraestructura'!F238</f>
        <v>Puertas</v>
      </c>
      <c r="E239" s="25" t="str">
        <f ca="1">+'Maestro infraestructura'!K238</f>
        <v>Activo</v>
      </c>
      <c r="F239" s="1" t="str">
        <f ca="1">+'Maestro infraestructura'!V238</f>
        <v>AL DÍA</v>
      </c>
      <c r="G239" s="1" t="str">
        <f>+'Maestro infraestructura'!X238</f>
        <v>GENERAL</v>
      </c>
      <c r="H239" s="1">
        <f>+'Maestro infraestructura'!Y238</f>
        <v>2</v>
      </c>
      <c r="I239" s="1"/>
      <c r="J239" s="6">
        <f>+'Maestro infraestructura'!T238</f>
        <v>46563</v>
      </c>
      <c r="K239" s="6">
        <f t="shared" ca="1" si="23"/>
        <v>46563</v>
      </c>
      <c r="L239" s="6"/>
    </row>
    <row r="240" spans="1:12" x14ac:dyDescent="0.2">
      <c r="A240" s="1" t="str">
        <f>+'Maestro infraestructura'!A239</f>
        <v>EDIFICIO PRINCIPAL</v>
      </c>
      <c r="B240" s="1" t="str">
        <f>+'Maestro infraestructura'!B239</f>
        <v>5° Piso</v>
      </c>
      <c r="C240" s="1">
        <f>+'Maestro infraestructura'!C239</f>
        <v>503</v>
      </c>
      <c r="D240" s="1" t="str">
        <f>+'Maestro infraestructura'!F239</f>
        <v>Ventanas</v>
      </c>
      <c r="E240" s="25" t="str">
        <f ca="1">+'Maestro infraestructura'!K239</f>
        <v>Activo</v>
      </c>
      <c r="F240" s="1" t="str">
        <f ca="1">+'Maestro infraestructura'!V239</f>
        <v>AL DÍA</v>
      </c>
      <c r="G240" s="1" t="str">
        <f>+'Maestro infraestructura'!X239</f>
        <v>OPERACIÓN</v>
      </c>
      <c r="H240" s="1">
        <f>+'Maestro infraestructura'!Y239</f>
        <v>2</v>
      </c>
      <c r="I240" s="1"/>
      <c r="J240" s="6">
        <f>+'Maestro infraestructura'!T239</f>
        <v>46563</v>
      </c>
      <c r="K240" s="6">
        <f t="shared" ca="1" si="23"/>
        <v>46563</v>
      </c>
      <c r="L240" s="6"/>
    </row>
    <row r="241" spans="1:12" x14ac:dyDescent="0.2">
      <c r="A241" s="1" t="str">
        <f>+'Maestro infraestructura'!A240</f>
        <v>EDIFICIO PRINCIPAL</v>
      </c>
      <c r="B241" s="1" t="str">
        <f>+'Maestro infraestructura'!B240</f>
        <v>5° Piso</v>
      </c>
      <c r="C241" s="1">
        <f>+'Maestro infraestructura'!C240</f>
        <v>503</v>
      </c>
      <c r="D241" s="1" t="str">
        <f>+'Maestro infraestructura'!F240</f>
        <v xml:space="preserve">Baranda </v>
      </c>
      <c r="E241" s="25" t="str">
        <f ca="1">+'Maestro infraestructura'!K240</f>
        <v>Activo</v>
      </c>
      <c r="F241" s="1" t="str">
        <f ca="1">+'Maestro infraestructura'!V240</f>
        <v>AL DÍA</v>
      </c>
      <c r="G241" s="1" t="str">
        <f>+'Maestro infraestructura'!X240</f>
        <v>SEGURIDAD</v>
      </c>
      <c r="H241" s="1">
        <f>+'Maestro infraestructura'!Y240</f>
        <v>1</v>
      </c>
      <c r="I241" s="1"/>
      <c r="J241" s="6">
        <f>+'Maestro infraestructura'!T240</f>
        <v>46563</v>
      </c>
      <c r="K241" s="6">
        <f t="shared" ca="1" si="23"/>
        <v>46563</v>
      </c>
      <c r="L241" s="6"/>
    </row>
    <row r="242" spans="1:12" x14ac:dyDescent="0.2">
      <c r="A242" s="1" t="str">
        <f>+'Maestro infraestructura'!A241</f>
        <v>EDIFICIO PRINCIPAL</v>
      </c>
      <c r="B242" s="1" t="str">
        <f>+'Maestro infraestructura'!B241</f>
        <v>5° Piso</v>
      </c>
      <c r="C242" s="1">
        <f>+'Maestro infraestructura'!C241</f>
        <v>503</v>
      </c>
      <c r="D242" s="1" t="str">
        <f>+'Maestro infraestructura'!F241</f>
        <v>Piso</v>
      </c>
      <c r="E242" s="25" t="str">
        <f ca="1">+'Maestro infraestructura'!K241</f>
        <v>Activo</v>
      </c>
      <c r="F242" s="1" t="str">
        <f ca="1">+'Maestro infraestructura'!V241</f>
        <v>AL DÍA</v>
      </c>
      <c r="G242" s="1" t="str">
        <f>+'Maestro infraestructura'!X241</f>
        <v>GENERAL</v>
      </c>
      <c r="H242" s="1">
        <f>+'Maestro infraestructura'!Y241</f>
        <v>2</v>
      </c>
      <c r="I242" s="1"/>
      <c r="J242" s="6">
        <f>+'Maestro infraestructura'!T241</f>
        <v>46563</v>
      </c>
      <c r="K242" s="6">
        <f t="shared" ca="1" si="23"/>
        <v>46563</v>
      </c>
      <c r="L242" s="6"/>
    </row>
    <row r="243" spans="1:12" x14ac:dyDescent="0.2">
      <c r="A243" s="1" t="str">
        <f>+'Maestro infraestructura'!A242</f>
        <v>EDIFICIO PRINCIPAL</v>
      </c>
      <c r="B243" s="1" t="str">
        <f>+'Maestro infraestructura'!B242</f>
        <v>5° Piso</v>
      </c>
      <c r="C243" s="1">
        <f>+'Maestro infraestructura'!C242</f>
        <v>503</v>
      </c>
      <c r="D243" s="1" t="str">
        <f>+'Maestro infraestructura'!F242</f>
        <v>Enchufes</v>
      </c>
      <c r="E243" s="25" t="str">
        <f ca="1">+'Maestro infraestructura'!K242</f>
        <v>Activo</v>
      </c>
      <c r="F243" s="1" t="str">
        <f ca="1">+'Maestro infraestructura'!V242</f>
        <v>AL DÍA</v>
      </c>
      <c r="G243" s="1" t="str">
        <f>+'Maestro infraestructura'!X242</f>
        <v>GENERAL</v>
      </c>
      <c r="H243" s="1">
        <f>+'Maestro infraestructura'!Y242</f>
        <v>2</v>
      </c>
      <c r="I243" s="1"/>
      <c r="J243" s="6">
        <f>+'Maestro infraestructura'!T242</f>
        <v>46563</v>
      </c>
      <c r="K243" s="6">
        <f t="shared" ca="1" si="23"/>
        <v>46563</v>
      </c>
      <c r="L243" s="6"/>
    </row>
    <row r="244" spans="1:12" x14ac:dyDescent="0.2">
      <c r="A244" s="1" t="str">
        <f>+'Maestro infraestructura'!A243</f>
        <v>EDIFICIO PRINCIPAL</v>
      </c>
      <c r="B244" s="1" t="str">
        <f>+'Maestro infraestructura'!B243</f>
        <v>5° Piso</v>
      </c>
      <c r="C244" s="1">
        <f>+'Maestro infraestructura'!C243</f>
        <v>503</v>
      </c>
      <c r="D244" s="1" t="str">
        <f>+'Maestro infraestructura'!F243</f>
        <v>TV</v>
      </c>
      <c r="E244" s="25" t="str">
        <f ca="1">+'Maestro infraestructura'!K243</f>
        <v>Activo</v>
      </c>
      <c r="F244" s="1" t="str">
        <f ca="1">+'Maestro infraestructura'!V243</f>
        <v>AL DÍA</v>
      </c>
      <c r="G244" s="1" t="str">
        <f>+'Maestro infraestructura'!X243</f>
        <v>OPERACIÓN</v>
      </c>
      <c r="H244" s="1">
        <f>+'Maestro infraestructura'!Y243</f>
        <v>2</v>
      </c>
      <c r="I244" s="1"/>
      <c r="J244" s="6">
        <f>+'Maestro infraestructura'!T243</f>
        <v>46563</v>
      </c>
      <c r="K244" s="6">
        <f t="shared" ca="1" si="23"/>
        <v>46563</v>
      </c>
      <c r="L244" s="6"/>
    </row>
    <row r="245" spans="1:12" x14ac:dyDescent="0.2">
      <c r="A245" s="1" t="str">
        <f>+'Maestro infraestructura'!A244</f>
        <v>EDIFICIO PRINCIPAL</v>
      </c>
      <c r="B245" s="1" t="str">
        <f>+'Maestro infraestructura'!B244</f>
        <v>5° Piso</v>
      </c>
      <c r="C245" s="1">
        <f>+'Maestro infraestructura'!C244</f>
        <v>503</v>
      </c>
      <c r="D245" s="1" t="str">
        <f>+'Maestro infraestructura'!F244</f>
        <v>Pizarra</v>
      </c>
      <c r="E245" s="25" t="str">
        <f ca="1">+'Maestro infraestructura'!K244</f>
        <v>Activo</v>
      </c>
      <c r="F245" s="1" t="str">
        <f ca="1">+'Maestro infraestructura'!V244</f>
        <v>AL DÍA</v>
      </c>
      <c r="G245" s="1" t="str">
        <f>+'Maestro infraestructura'!X244</f>
        <v>OPERACIÓN</v>
      </c>
      <c r="H245" s="1">
        <f>+'Maestro infraestructura'!Y244</f>
        <v>2</v>
      </c>
      <c r="I245" s="1"/>
      <c r="J245" s="6">
        <f>+'Maestro infraestructura'!T244</f>
        <v>46563</v>
      </c>
      <c r="K245" s="6">
        <f t="shared" ca="1" si="23"/>
        <v>46563</v>
      </c>
      <c r="L245" s="6"/>
    </row>
    <row r="246" spans="1:12" x14ac:dyDescent="0.2">
      <c r="A246" s="1" t="str">
        <f>+'Maestro infraestructura'!A245</f>
        <v>EDIFICIO PRINCIPAL</v>
      </c>
      <c r="B246" s="1" t="str">
        <f>+'Maestro infraestructura'!B245</f>
        <v>5° Piso</v>
      </c>
      <c r="C246" s="1">
        <f>+'Maestro infraestructura'!C245</f>
        <v>503</v>
      </c>
      <c r="D246" s="1" t="str">
        <f>+'Maestro infraestructura'!F245</f>
        <v>Puertas</v>
      </c>
      <c r="E246" s="25" t="str">
        <f ca="1">+'Maestro infraestructura'!K245</f>
        <v>Activo</v>
      </c>
      <c r="F246" s="1" t="str">
        <f ca="1">+'Maestro infraestructura'!V245</f>
        <v>AL DÍA</v>
      </c>
      <c r="G246" s="1" t="str">
        <f>+'Maestro infraestructura'!X245</f>
        <v>GENERAL</v>
      </c>
      <c r="H246" s="1">
        <f>+'Maestro infraestructura'!Y245</f>
        <v>2</v>
      </c>
      <c r="I246" s="1"/>
      <c r="J246" s="6">
        <f>+'Maestro infraestructura'!T245</f>
        <v>46563</v>
      </c>
      <c r="K246" s="6">
        <f t="shared" ca="1" si="23"/>
        <v>46563</v>
      </c>
      <c r="L246" s="6"/>
    </row>
    <row r="247" spans="1:12" x14ac:dyDescent="0.2">
      <c r="A247" s="1" t="str">
        <f>+'Maestro infraestructura'!A246</f>
        <v>EDIFICIO PRINCIPAL</v>
      </c>
      <c r="B247" s="1" t="str">
        <f>+'Maestro infraestructura'!B246</f>
        <v>5° Piso</v>
      </c>
      <c r="C247" s="1">
        <f>+'Maestro infraestructura'!C246</f>
        <v>504</v>
      </c>
      <c r="D247" s="1" t="str">
        <f>+'Maestro infraestructura'!F246</f>
        <v>Ventanas</v>
      </c>
      <c r="E247" s="25" t="str">
        <f ca="1">+'Maestro infraestructura'!K246</f>
        <v>Activo</v>
      </c>
      <c r="F247" s="1" t="str">
        <f ca="1">+'Maestro infraestructura'!V246</f>
        <v>AL DÍA</v>
      </c>
      <c r="G247" s="1" t="str">
        <f>+'Maestro infraestructura'!X246</f>
        <v>OPERACIÓN</v>
      </c>
      <c r="H247" s="1">
        <f>+'Maestro infraestructura'!Y246</f>
        <v>2</v>
      </c>
      <c r="I247" s="1"/>
      <c r="J247" s="6">
        <f>+'Maestro infraestructura'!T246</f>
        <v>46563</v>
      </c>
      <c r="K247" s="6">
        <f t="shared" ca="1" si="23"/>
        <v>46563</v>
      </c>
      <c r="L247" s="6"/>
    </row>
    <row r="248" spans="1:12" x14ac:dyDescent="0.2">
      <c r="A248" s="1" t="str">
        <f>+'Maestro infraestructura'!A247</f>
        <v>EDIFICIO PRINCIPAL</v>
      </c>
      <c r="B248" s="1" t="str">
        <f>+'Maestro infraestructura'!B247</f>
        <v>5° Piso</v>
      </c>
      <c r="C248" s="1">
        <f>+'Maestro infraestructura'!C247</f>
        <v>504</v>
      </c>
      <c r="D248" s="1" t="str">
        <f>+'Maestro infraestructura'!F247</f>
        <v xml:space="preserve">Baranda </v>
      </c>
      <c r="E248" s="25" t="str">
        <f ca="1">+'Maestro infraestructura'!K247</f>
        <v>Activo</v>
      </c>
      <c r="F248" s="1" t="str">
        <f ca="1">+'Maestro infraestructura'!V247</f>
        <v>AL DÍA</v>
      </c>
      <c r="G248" s="1" t="str">
        <f>+'Maestro infraestructura'!X247</f>
        <v>SEGURIDAD</v>
      </c>
      <c r="H248" s="1">
        <f>+'Maestro infraestructura'!Y247</f>
        <v>1</v>
      </c>
      <c r="I248" s="1"/>
      <c r="J248" s="6">
        <f>+'Maestro infraestructura'!T247</f>
        <v>46563</v>
      </c>
      <c r="K248" s="6">
        <f t="shared" ca="1" si="23"/>
        <v>46563</v>
      </c>
      <c r="L248" s="6"/>
    </row>
    <row r="249" spans="1:12" x14ac:dyDescent="0.2">
      <c r="A249" s="1" t="str">
        <f>+'Maestro infraestructura'!A248</f>
        <v>EDIFICIO PRINCIPAL</v>
      </c>
      <c r="B249" s="1" t="str">
        <f>+'Maestro infraestructura'!B248</f>
        <v>5° Piso</v>
      </c>
      <c r="C249" s="1">
        <f>+'Maestro infraestructura'!C248</f>
        <v>504</v>
      </c>
      <c r="D249" s="1" t="str">
        <f>+'Maestro infraestructura'!F248</f>
        <v>Piso</v>
      </c>
      <c r="E249" s="25" t="str">
        <f ca="1">+'Maestro infraestructura'!K248</f>
        <v>Activo</v>
      </c>
      <c r="F249" s="1" t="str">
        <f ca="1">+'Maestro infraestructura'!V248</f>
        <v>AL DÍA</v>
      </c>
      <c r="G249" s="1" t="str">
        <f>+'Maestro infraestructura'!X248</f>
        <v>GENERAL</v>
      </c>
      <c r="H249" s="1">
        <f>+'Maestro infraestructura'!Y248</f>
        <v>2</v>
      </c>
      <c r="I249" s="1"/>
      <c r="J249" s="6">
        <f>+'Maestro infraestructura'!T248</f>
        <v>46563</v>
      </c>
      <c r="K249" s="6">
        <f t="shared" ca="1" si="23"/>
        <v>46563</v>
      </c>
      <c r="L249" s="6"/>
    </row>
    <row r="250" spans="1:12" x14ac:dyDescent="0.2">
      <c r="A250" s="1" t="str">
        <f>+'Maestro infraestructura'!A249</f>
        <v>EDIFICIO PRINCIPAL</v>
      </c>
      <c r="B250" s="1" t="str">
        <f>+'Maestro infraestructura'!B249</f>
        <v>5° Piso</v>
      </c>
      <c r="C250" s="1">
        <f>+'Maestro infraestructura'!C249</f>
        <v>504</v>
      </c>
      <c r="D250" s="1" t="str">
        <f>+'Maestro infraestructura'!F249</f>
        <v>Enchufes</v>
      </c>
      <c r="E250" s="25" t="str">
        <f ca="1">+'Maestro infraestructura'!K249</f>
        <v>Activo</v>
      </c>
      <c r="F250" s="1" t="str">
        <f ca="1">+'Maestro infraestructura'!V249</f>
        <v>AL DÍA</v>
      </c>
      <c r="G250" s="1" t="str">
        <f>+'Maestro infraestructura'!X249</f>
        <v>GENERAL</v>
      </c>
      <c r="H250" s="1">
        <f>+'Maestro infraestructura'!Y249</f>
        <v>2</v>
      </c>
      <c r="I250" s="1"/>
      <c r="J250" s="6">
        <f>+'Maestro infraestructura'!T249</f>
        <v>46563</v>
      </c>
      <c r="K250" s="6">
        <f t="shared" ca="1" si="23"/>
        <v>46563</v>
      </c>
      <c r="L250" s="6"/>
    </row>
    <row r="251" spans="1:12" x14ac:dyDescent="0.2">
      <c r="A251" s="1" t="str">
        <f>+'Maestro infraestructura'!A250</f>
        <v>EDIFICIO PRINCIPAL</v>
      </c>
      <c r="B251" s="1" t="str">
        <f>+'Maestro infraestructura'!B250</f>
        <v>5° Piso</v>
      </c>
      <c r="C251" s="1">
        <f>+'Maestro infraestructura'!C250</f>
        <v>504</v>
      </c>
      <c r="D251" s="1" t="str">
        <f>+'Maestro infraestructura'!F250</f>
        <v>TV</v>
      </c>
      <c r="E251" s="25" t="str">
        <f ca="1">+'Maestro infraestructura'!K250</f>
        <v>Activo</v>
      </c>
      <c r="F251" s="1" t="str">
        <f ca="1">+'Maestro infraestructura'!V250</f>
        <v>AL DÍA</v>
      </c>
      <c r="G251" s="1" t="str">
        <f>+'Maestro infraestructura'!X250</f>
        <v>OPERACIÓN</v>
      </c>
      <c r="H251" s="1">
        <f>+'Maestro infraestructura'!Y250</f>
        <v>2</v>
      </c>
      <c r="I251" s="1"/>
      <c r="J251" s="6">
        <f>+'Maestro infraestructura'!T250</f>
        <v>46563</v>
      </c>
      <c r="K251" s="6">
        <f t="shared" ca="1" si="23"/>
        <v>46563</v>
      </c>
      <c r="L251" s="6"/>
    </row>
    <row r="252" spans="1:12" x14ac:dyDescent="0.2">
      <c r="A252" s="1" t="str">
        <f>+'Maestro infraestructura'!A251</f>
        <v>EDIFICIO PRINCIPAL</v>
      </c>
      <c r="B252" s="1" t="str">
        <f>+'Maestro infraestructura'!B251</f>
        <v>5° Piso</v>
      </c>
      <c r="C252" s="1">
        <f>+'Maestro infraestructura'!C251</f>
        <v>504</v>
      </c>
      <c r="D252" s="1" t="str">
        <f>+'Maestro infraestructura'!F251</f>
        <v>Pizarra</v>
      </c>
      <c r="E252" s="25" t="str">
        <f ca="1">+'Maestro infraestructura'!K251</f>
        <v>Activo</v>
      </c>
      <c r="F252" s="1" t="str">
        <f ca="1">+'Maestro infraestructura'!V251</f>
        <v>AL DÍA</v>
      </c>
      <c r="G252" s="1" t="str">
        <f>+'Maestro infraestructura'!X251</f>
        <v>OPERACIÓN</v>
      </c>
      <c r="H252" s="1">
        <f>+'Maestro infraestructura'!Y251</f>
        <v>2</v>
      </c>
      <c r="I252" s="1"/>
      <c r="J252" s="6">
        <f>+'Maestro infraestructura'!T251</f>
        <v>46563</v>
      </c>
      <c r="K252" s="6">
        <f t="shared" ca="1" si="23"/>
        <v>46563</v>
      </c>
      <c r="L252" s="6"/>
    </row>
    <row r="253" spans="1:12" x14ac:dyDescent="0.2">
      <c r="A253" s="1" t="str">
        <f>+'Maestro infraestructura'!A252</f>
        <v>EDIFICIO PRINCIPAL</v>
      </c>
      <c r="B253" s="1" t="str">
        <f>+'Maestro infraestructura'!B252</f>
        <v>5° Piso</v>
      </c>
      <c r="C253" s="1">
        <f>+'Maestro infraestructura'!C252</f>
        <v>504</v>
      </c>
      <c r="D253" s="1" t="str">
        <f>+'Maestro infraestructura'!F252</f>
        <v>Puertas</v>
      </c>
      <c r="E253" s="25" t="str">
        <f ca="1">+'Maestro infraestructura'!K252</f>
        <v>Activo</v>
      </c>
      <c r="F253" s="1" t="str">
        <f ca="1">+'Maestro infraestructura'!V252</f>
        <v>AL DÍA</v>
      </c>
      <c r="G253" s="1" t="str">
        <f>+'Maestro infraestructura'!X252</f>
        <v>GENERAL</v>
      </c>
      <c r="H253" s="1">
        <f>+'Maestro infraestructura'!Y252</f>
        <v>2</v>
      </c>
      <c r="I253" s="1"/>
      <c r="J253" s="6">
        <f>+'Maestro infraestructura'!T252</f>
        <v>46563</v>
      </c>
      <c r="K253" s="6">
        <f t="shared" ca="1" si="23"/>
        <v>46563</v>
      </c>
      <c r="L253" s="6"/>
    </row>
    <row r="254" spans="1:12" x14ac:dyDescent="0.2">
      <c r="A254" s="1" t="str">
        <f>+'Maestro infraestructura'!A253</f>
        <v>EDIFICIO PRINCIPAL</v>
      </c>
      <c r="B254" s="1" t="str">
        <f>+'Maestro infraestructura'!B253</f>
        <v>5° Piso</v>
      </c>
      <c r="C254" s="1">
        <f>+'Maestro infraestructura'!C253</f>
        <v>506</v>
      </c>
      <c r="D254" s="1" t="str">
        <f>+'Maestro infraestructura'!F253</f>
        <v>Ventanas</v>
      </c>
      <c r="E254" s="25" t="str">
        <f ca="1">+'Maestro infraestructura'!K253</f>
        <v>Activo</v>
      </c>
      <c r="F254" s="1" t="str">
        <f ca="1">+'Maestro infraestructura'!V253</f>
        <v>AL DÍA</v>
      </c>
      <c r="G254" s="1" t="str">
        <f>+'Maestro infraestructura'!X253</f>
        <v>OPERACIÓN</v>
      </c>
      <c r="H254" s="1">
        <f>+'Maestro infraestructura'!Y253</f>
        <v>2</v>
      </c>
      <c r="I254" s="1"/>
      <c r="J254" s="6">
        <f>+'Maestro infraestructura'!T253</f>
        <v>46563</v>
      </c>
      <c r="K254" s="6">
        <f t="shared" ca="1" si="23"/>
        <v>46563</v>
      </c>
      <c r="L254" s="6"/>
    </row>
    <row r="255" spans="1:12" x14ac:dyDescent="0.2">
      <c r="A255" s="1" t="str">
        <f>+'Maestro infraestructura'!A254</f>
        <v>EDIFICIO PRINCIPAL</v>
      </c>
      <c r="B255" s="1" t="str">
        <f>+'Maestro infraestructura'!B254</f>
        <v>5° Piso</v>
      </c>
      <c r="C255" s="1">
        <f>+'Maestro infraestructura'!C254</f>
        <v>506</v>
      </c>
      <c r="D255" s="1" t="str">
        <f>+'Maestro infraestructura'!F254</f>
        <v xml:space="preserve">Baranda </v>
      </c>
      <c r="E255" s="25" t="str">
        <f ca="1">+'Maestro infraestructura'!K254</f>
        <v>Activo</v>
      </c>
      <c r="F255" s="1" t="str">
        <f ca="1">+'Maestro infraestructura'!V254</f>
        <v>AL DÍA</v>
      </c>
      <c r="G255" s="1" t="str">
        <f>+'Maestro infraestructura'!X254</f>
        <v>SEGURIDAD</v>
      </c>
      <c r="H255" s="1">
        <f>+'Maestro infraestructura'!Y254</f>
        <v>1</v>
      </c>
      <c r="I255" s="1"/>
      <c r="J255" s="6">
        <f>+'Maestro infraestructura'!T254</f>
        <v>46563</v>
      </c>
      <c r="K255" s="6">
        <f t="shared" ca="1" si="23"/>
        <v>46563</v>
      </c>
      <c r="L255" s="6"/>
    </row>
    <row r="256" spans="1:12" x14ac:dyDescent="0.2">
      <c r="A256" s="1" t="str">
        <f>+'Maestro infraestructura'!A255</f>
        <v>EDIFICIO PRINCIPAL</v>
      </c>
      <c r="B256" s="1" t="str">
        <f>+'Maestro infraestructura'!B255</f>
        <v>5° Piso</v>
      </c>
      <c r="C256" s="1">
        <f>+'Maestro infraestructura'!C255</f>
        <v>506</v>
      </c>
      <c r="D256" s="1" t="str">
        <f>+'Maestro infraestructura'!F255</f>
        <v>Piso</v>
      </c>
      <c r="E256" s="25" t="str">
        <f ca="1">+'Maestro infraestructura'!K255</f>
        <v>Activo</v>
      </c>
      <c r="F256" s="1" t="str">
        <f ca="1">+'Maestro infraestructura'!V255</f>
        <v>AL DÍA</v>
      </c>
      <c r="G256" s="1" t="str">
        <f>+'Maestro infraestructura'!X255</f>
        <v>GENERAL</v>
      </c>
      <c r="H256" s="1">
        <f>+'Maestro infraestructura'!Y255</f>
        <v>2</v>
      </c>
      <c r="I256" s="1"/>
      <c r="J256" s="6">
        <f>+'Maestro infraestructura'!T255</f>
        <v>46563</v>
      </c>
      <c r="K256" s="6">
        <f t="shared" ca="1" si="23"/>
        <v>46563</v>
      </c>
      <c r="L256" s="6"/>
    </row>
    <row r="257" spans="1:12" x14ac:dyDescent="0.2">
      <c r="A257" s="1" t="str">
        <f>+'Maestro infraestructura'!A256</f>
        <v>EDIFICIO PRINCIPAL</v>
      </c>
      <c r="B257" s="1" t="str">
        <f>+'Maestro infraestructura'!B256</f>
        <v>5° Piso</v>
      </c>
      <c r="C257" s="1">
        <f>+'Maestro infraestructura'!C256</f>
        <v>506</v>
      </c>
      <c r="D257" s="1" t="str">
        <f>+'Maestro infraestructura'!F256</f>
        <v>Enchufes</v>
      </c>
      <c r="E257" s="25" t="str">
        <f ca="1">+'Maestro infraestructura'!K256</f>
        <v>Activo</v>
      </c>
      <c r="F257" s="1" t="str">
        <f ca="1">+'Maestro infraestructura'!V256</f>
        <v>AL DÍA</v>
      </c>
      <c r="G257" s="1" t="str">
        <f>+'Maestro infraestructura'!X256</f>
        <v>GENERAL</v>
      </c>
      <c r="H257" s="1">
        <f>+'Maestro infraestructura'!Y256</f>
        <v>2</v>
      </c>
      <c r="I257" s="1"/>
      <c r="J257" s="6">
        <f>+'Maestro infraestructura'!T256</f>
        <v>46563</v>
      </c>
      <c r="K257" s="6">
        <f t="shared" ca="1" si="23"/>
        <v>46563</v>
      </c>
      <c r="L257" s="6"/>
    </row>
    <row r="258" spans="1:12" x14ac:dyDescent="0.2">
      <c r="A258" s="1" t="str">
        <f>+'Maestro infraestructura'!A257</f>
        <v>EDIFICIO PRINCIPAL</v>
      </c>
      <c r="B258" s="1" t="str">
        <f>+'Maestro infraestructura'!B257</f>
        <v>5° Piso</v>
      </c>
      <c r="C258" s="1">
        <f>+'Maestro infraestructura'!C257</f>
        <v>506</v>
      </c>
      <c r="D258" s="1" t="str">
        <f>+'Maestro infraestructura'!F257</f>
        <v>TV</v>
      </c>
      <c r="E258" s="25" t="str">
        <f ca="1">+'Maestro infraestructura'!K257</f>
        <v>Activo</v>
      </c>
      <c r="F258" s="1" t="str">
        <f ca="1">+'Maestro infraestructura'!V257</f>
        <v>AL DÍA</v>
      </c>
      <c r="G258" s="1" t="str">
        <f>+'Maestro infraestructura'!X257</f>
        <v>OPERACIÓN</v>
      </c>
      <c r="H258" s="1">
        <f>+'Maestro infraestructura'!Y257</f>
        <v>2</v>
      </c>
      <c r="I258" s="1"/>
      <c r="J258" s="6">
        <f>+'Maestro infraestructura'!T257</f>
        <v>46563</v>
      </c>
      <c r="K258" s="6">
        <f t="shared" ca="1" si="23"/>
        <v>46563</v>
      </c>
      <c r="L258" s="6"/>
    </row>
    <row r="259" spans="1:12" x14ac:dyDescent="0.2">
      <c r="A259" s="1" t="str">
        <f>+'Maestro infraestructura'!A258</f>
        <v>EDIFICIO PRINCIPAL</v>
      </c>
      <c r="B259" s="1" t="str">
        <f>+'Maestro infraestructura'!B258</f>
        <v>5° Piso</v>
      </c>
      <c r="C259" s="1">
        <f>+'Maestro infraestructura'!C258</f>
        <v>506</v>
      </c>
      <c r="D259" s="1" t="str">
        <f>+'Maestro infraestructura'!F258</f>
        <v>Pizarra</v>
      </c>
      <c r="E259" s="25" t="str">
        <f ca="1">+'Maestro infraestructura'!K258</f>
        <v>Activo</v>
      </c>
      <c r="F259" s="1" t="str">
        <f ca="1">+'Maestro infraestructura'!V258</f>
        <v>AL DÍA</v>
      </c>
      <c r="G259" s="1" t="str">
        <f>+'Maestro infraestructura'!X258</f>
        <v>OPERACIÓN</v>
      </c>
      <c r="H259" s="1">
        <f>+'Maestro infraestructura'!Y258</f>
        <v>2</v>
      </c>
      <c r="I259" s="1"/>
      <c r="J259" s="6">
        <f>+'Maestro infraestructura'!T258</f>
        <v>46563</v>
      </c>
      <c r="K259" s="6">
        <f t="shared" ca="1" si="23"/>
        <v>46563</v>
      </c>
      <c r="L259" s="6"/>
    </row>
    <row r="260" spans="1:12" x14ac:dyDescent="0.2">
      <c r="A260" s="1" t="str">
        <f>+'Maestro infraestructura'!A259</f>
        <v>EDIFICIO PRINCIPAL</v>
      </c>
      <c r="B260" s="1" t="str">
        <f>+'Maestro infraestructura'!B259</f>
        <v>5° Piso</v>
      </c>
      <c r="C260" s="1">
        <f>+'Maestro infraestructura'!C259</f>
        <v>506</v>
      </c>
      <c r="D260" s="1" t="str">
        <f>+'Maestro infraestructura'!F259</f>
        <v>Puertas</v>
      </c>
      <c r="E260" s="25" t="str">
        <f ca="1">+'Maestro infraestructura'!K259</f>
        <v>Activo</v>
      </c>
      <c r="F260" s="1" t="str">
        <f ca="1">+'Maestro infraestructura'!V259</f>
        <v>AL DÍA</v>
      </c>
      <c r="G260" s="1" t="str">
        <f>+'Maestro infraestructura'!X259</f>
        <v>GENERAL</v>
      </c>
      <c r="H260" s="1">
        <f>+'Maestro infraestructura'!Y259</f>
        <v>2</v>
      </c>
      <c r="I260" s="1"/>
      <c r="J260" s="6">
        <f>+'Maestro infraestructura'!T259</f>
        <v>46563</v>
      </c>
      <c r="K260" s="6">
        <f t="shared" ref="K260:K323" ca="1" si="24">IF(E260="Cambiar o Inspección externa",1/1/2027,IF(E260="cambiar",1/1/2027,J260))</f>
        <v>46563</v>
      </c>
      <c r="L260" s="6"/>
    </row>
    <row r="261" spans="1:12" x14ac:dyDescent="0.2">
      <c r="A261" s="1" t="str">
        <f>+'Maestro infraestructura'!A260</f>
        <v>EDIFICIO PRINCIPAL</v>
      </c>
      <c r="B261" s="1" t="str">
        <f>+'Maestro infraestructura'!B260</f>
        <v>5° Piso</v>
      </c>
      <c r="C261" s="1">
        <f>+'Maestro infraestructura'!C260</f>
        <v>507</v>
      </c>
      <c r="D261" s="1" t="str">
        <f>+'Maestro infraestructura'!F260</f>
        <v>Ventanas</v>
      </c>
      <c r="E261" s="25" t="str">
        <f ca="1">+'Maestro infraestructura'!K260</f>
        <v>Activo</v>
      </c>
      <c r="F261" s="1" t="str">
        <f ca="1">+'Maestro infraestructura'!V260</f>
        <v>AL DÍA</v>
      </c>
      <c r="G261" s="1" t="str">
        <f>+'Maestro infraestructura'!X260</f>
        <v>OPERACIÓN</v>
      </c>
      <c r="H261" s="1">
        <f>+'Maestro infraestructura'!Y260</f>
        <v>2</v>
      </c>
      <c r="I261" s="1"/>
      <c r="J261" s="6">
        <f>+'Maestro infraestructura'!T260</f>
        <v>46563</v>
      </c>
      <c r="K261" s="6">
        <f t="shared" ca="1" si="24"/>
        <v>46563</v>
      </c>
      <c r="L261" s="6"/>
    </row>
    <row r="262" spans="1:12" x14ac:dyDescent="0.2">
      <c r="A262" s="1" t="str">
        <f>+'Maestro infraestructura'!A261</f>
        <v>EDIFICIO PRINCIPAL</v>
      </c>
      <c r="B262" s="1" t="str">
        <f>+'Maestro infraestructura'!B261</f>
        <v>5° Piso</v>
      </c>
      <c r="C262" s="1">
        <f>+'Maestro infraestructura'!C261</f>
        <v>507</v>
      </c>
      <c r="D262" s="1" t="str">
        <f>+'Maestro infraestructura'!F261</f>
        <v xml:space="preserve">Baranda </v>
      </c>
      <c r="E262" s="25" t="str">
        <f ca="1">+'Maestro infraestructura'!K261</f>
        <v>Activo</v>
      </c>
      <c r="F262" s="1" t="str">
        <f ca="1">+'Maestro infraestructura'!V261</f>
        <v>AL DÍA</v>
      </c>
      <c r="G262" s="1" t="str">
        <f>+'Maestro infraestructura'!X261</f>
        <v>SEGURIDAD</v>
      </c>
      <c r="H262" s="1">
        <f>+'Maestro infraestructura'!Y261</f>
        <v>1</v>
      </c>
      <c r="I262" s="1"/>
      <c r="J262" s="6">
        <f>+'Maestro infraestructura'!T261</f>
        <v>46563</v>
      </c>
      <c r="K262" s="6">
        <f t="shared" ca="1" si="24"/>
        <v>46563</v>
      </c>
      <c r="L262" s="6"/>
    </row>
    <row r="263" spans="1:12" x14ac:dyDescent="0.2">
      <c r="A263" s="1" t="str">
        <f>+'Maestro infraestructura'!A262</f>
        <v>EDIFICIO PRINCIPAL</v>
      </c>
      <c r="B263" s="1" t="str">
        <f>+'Maestro infraestructura'!B262</f>
        <v>5° Piso</v>
      </c>
      <c r="C263" s="1">
        <f>+'Maestro infraestructura'!C262</f>
        <v>507</v>
      </c>
      <c r="D263" s="1" t="str">
        <f>+'Maestro infraestructura'!F262</f>
        <v>Piso</v>
      </c>
      <c r="E263" s="25" t="str">
        <f ca="1">+'Maestro infraestructura'!K262</f>
        <v>Activo</v>
      </c>
      <c r="F263" s="1" t="str">
        <f ca="1">+'Maestro infraestructura'!V262</f>
        <v>AL DÍA</v>
      </c>
      <c r="G263" s="1" t="str">
        <f>+'Maestro infraestructura'!X262</f>
        <v>GENERAL</v>
      </c>
      <c r="H263" s="1">
        <f>+'Maestro infraestructura'!Y262</f>
        <v>2</v>
      </c>
      <c r="I263" s="1"/>
      <c r="J263" s="6">
        <f>+'Maestro infraestructura'!T262</f>
        <v>46563</v>
      </c>
      <c r="K263" s="6">
        <f t="shared" ca="1" si="24"/>
        <v>46563</v>
      </c>
      <c r="L263" s="6"/>
    </row>
    <row r="264" spans="1:12" x14ac:dyDescent="0.2">
      <c r="A264" s="1" t="str">
        <f>+'Maestro infraestructura'!A263</f>
        <v>EDIFICIO PRINCIPAL</v>
      </c>
      <c r="B264" s="1" t="str">
        <f>+'Maestro infraestructura'!B263</f>
        <v>5° Piso</v>
      </c>
      <c r="C264" s="1">
        <f>+'Maestro infraestructura'!C263</f>
        <v>507</v>
      </c>
      <c r="D264" s="1" t="str">
        <f>+'Maestro infraestructura'!F263</f>
        <v>Enchufes</v>
      </c>
      <c r="E264" s="25" t="str">
        <f ca="1">+'Maestro infraestructura'!K263</f>
        <v>Activo</v>
      </c>
      <c r="F264" s="1" t="str">
        <f ca="1">+'Maestro infraestructura'!V263</f>
        <v>AL DÍA</v>
      </c>
      <c r="G264" s="1" t="str">
        <f>+'Maestro infraestructura'!X263</f>
        <v>GENERAL</v>
      </c>
      <c r="H264" s="1">
        <f>+'Maestro infraestructura'!Y263</f>
        <v>2</v>
      </c>
      <c r="I264" s="1"/>
      <c r="J264" s="6">
        <f>+'Maestro infraestructura'!T263</f>
        <v>46563</v>
      </c>
      <c r="K264" s="6">
        <f t="shared" ca="1" si="24"/>
        <v>46563</v>
      </c>
      <c r="L264" s="6"/>
    </row>
    <row r="265" spans="1:12" x14ac:dyDescent="0.2">
      <c r="A265" s="1" t="str">
        <f>+'Maestro infraestructura'!A264</f>
        <v>EDIFICIO PRINCIPAL</v>
      </c>
      <c r="B265" s="1" t="str">
        <f>+'Maestro infraestructura'!B264</f>
        <v>5° Piso</v>
      </c>
      <c r="C265" s="1">
        <f>+'Maestro infraestructura'!C264</f>
        <v>507</v>
      </c>
      <c r="D265" s="1" t="str">
        <f>+'Maestro infraestructura'!F264</f>
        <v>TV</v>
      </c>
      <c r="E265" s="25" t="str">
        <f ca="1">+'Maestro infraestructura'!K264</f>
        <v>Activo</v>
      </c>
      <c r="F265" s="1" t="str">
        <f ca="1">+'Maestro infraestructura'!V264</f>
        <v>AL DÍA</v>
      </c>
      <c r="G265" s="1" t="str">
        <f>+'Maestro infraestructura'!X264</f>
        <v>OPERACIÓN</v>
      </c>
      <c r="H265" s="1">
        <f>+'Maestro infraestructura'!Y264</f>
        <v>2</v>
      </c>
      <c r="I265" s="1"/>
      <c r="J265" s="6">
        <f>+'Maestro infraestructura'!T264</f>
        <v>46563</v>
      </c>
      <c r="K265" s="6">
        <f t="shared" ca="1" si="24"/>
        <v>46563</v>
      </c>
      <c r="L265" s="6"/>
    </row>
    <row r="266" spans="1:12" x14ac:dyDescent="0.2">
      <c r="A266" s="1" t="str">
        <f>+'Maestro infraestructura'!A265</f>
        <v>EDIFICIO PRINCIPAL</v>
      </c>
      <c r="B266" s="1" t="str">
        <f>+'Maestro infraestructura'!B265</f>
        <v>5° Piso</v>
      </c>
      <c r="C266" s="1">
        <f>+'Maestro infraestructura'!C265</f>
        <v>507</v>
      </c>
      <c r="D266" s="1" t="str">
        <f>+'Maestro infraestructura'!F265</f>
        <v>Pizarra</v>
      </c>
      <c r="E266" s="25" t="str">
        <f ca="1">+'Maestro infraestructura'!K265</f>
        <v>Activo</v>
      </c>
      <c r="F266" s="1" t="str">
        <f ca="1">+'Maestro infraestructura'!V265</f>
        <v>AL DÍA</v>
      </c>
      <c r="G266" s="1" t="str">
        <f>+'Maestro infraestructura'!X265</f>
        <v>OPERACIÓN</v>
      </c>
      <c r="H266" s="1">
        <f>+'Maestro infraestructura'!Y265</f>
        <v>2</v>
      </c>
      <c r="I266" s="1"/>
      <c r="J266" s="6">
        <f>+'Maestro infraestructura'!T265</f>
        <v>46563</v>
      </c>
      <c r="K266" s="6">
        <f t="shared" ca="1" si="24"/>
        <v>46563</v>
      </c>
      <c r="L266" s="6"/>
    </row>
    <row r="267" spans="1:12" x14ac:dyDescent="0.2">
      <c r="A267" s="1" t="str">
        <f>+'Maestro infraestructura'!A266</f>
        <v>EDIFICIO PRINCIPAL</v>
      </c>
      <c r="B267" s="1" t="str">
        <f>+'Maestro infraestructura'!B266</f>
        <v>5° Piso</v>
      </c>
      <c r="C267" s="1">
        <f>+'Maestro infraestructura'!C266</f>
        <v>507</v>
      </c>
      <c r="D267" s="1" t="str">
        <f>+'Maestro infraestructura'!F266</f>
        <v>Puertas</v>
      </c>
      <c r="E267" s="25" t="str">
        <f ca="1">+'Maestro infraestructura'!K266</f>
        <v>Activo</v>
      </c>
      <c r="F267" s="1" t="str">
        <f ca="1">+'Maestro infraestructura'!V266</f>
        <v>AL DÍA</v>
      </c>
      <c r="G267" s="1" t="str">
        <f>+'Maestro infraestructura'!X266</f>
        <v>GENERAL</v>
      </c>
      <c r="H267" s="1">
        <f>+'Maestro infraestructura'!Y266</f>
        <v>2</v>
      </c>
      <c r="I267" s="1"/>
      <c r="J267" s="6">
        <f>+'Maestro infraestructura'!T266</f>
        <v>46563</v>
      </c>
      <c r="K267" s="6">
        <f t="shared" ca="1" si="24"/>
        <v>46563</v>
      </c>
      <c r="L267" s="6"/>
    </row>
    <row r="268" spans="1:12" x14ac:dyDescent="0.2">
      <c r="A268" s="1" t="str">
        <f>+'Maestro infraestructura'!A267</f>
        <v>EDIFICIO PRINCIPAL</v>
      </c>
      <c r="B268" s="1" t="str">
        <f>+'Maestro infraestructura'!B267</f>
        <v>5° Piso</v>
      </c>
      <c r="C268" s="1">
        <f>+'Maestro infraestructura'!C267</f>
        <v>508</v>
      </c>
      <c r="D268" s="1" t="str">
        <f>+'Maestro infraestructura'!F267</f>
        <v>Ventanas</v>
      </c>
      <c r="E268" s="25" t="str">
        <f ca="1">+'Maestro infraestructura'!K267</f>
        <v>Activo</v>
      </c>
      <c r="F268" s="1" t="str">
        <f ca="1">+'Maestro infraestructura'!V267</f>
        <v>AL DÍA</v>
      </c>
      <c r="G268" s="1" t="str">
        <f>+'Maestro infraestructura'!X267</f>
        <v>OPERACIÓN</v>
      </c>
      <c r="H268" s="1">
        <f>+'Maestro infraestructura'!Y267</f>
        <v>2</v>
      </c>
      <c r="I268" s="1"/>
      <c r="J268" s="6">
        <f>+'Maestro infraestructura'!T267</f>
        <v>46563</v>
      </c>
      <c r="K268" s="6">
        <f t="shared" ca="1" si="24"/>
        <v>46563</v>
      </c>
      <c r="L268" s="6"/>
    </row>
    <row r="269" spans="1:12" x14ac:dyDescent="0.2">
      <c r="A269" s="1" t="str">
        <f>+'Maestro infraestructura'!A268</f>
        <v>EDIFICIO PRINCIPAL</v>
      </c>
      <c r="B269" s="1" t="str">
        <f>+'Maestro infraestructura'!B268</f>
        <v>5° Piso</v>
      </c>
      <c r="C269" s="1">
        <f>+'Maestro infraestructura'!C268</f>
        <v>508</v>
      </c>
      <c r="D269" s="1" t="str">
        <f>+'Maestro infraestructura'!F268</f>
        <v xml:space="preserve">Baranda </v>
      </c>
      <c r="E269" s="25" t="str">
        <f ca="1">+'Maestro infraestructura'!K268</f>
        <v>Activo</v>
      </c>
      <c r="F269" s="1" t="str">
        <f ca="1">+'Maestro infraestructura'!V268</f>
        <v>AL DÍA</v>
      </c>
      <c r="G269" s="1" t="str">
        <f>+'Maestro infraestructura'!X268</f>
        <v>SEGURIDAD</v>
      </c>
      <c r="H269" s="1">
        <f>+'Maestro infraestructura'!Y268</f>
        <v>1</v>
      </c>
      <c r="I269" s="1"/>
      <c r="J269" s="6">
        <f>+'Maestro infraestructura'!T268</f>
        <v>46563</v>
      </c>
      <c r="K269" s="6">
        <f t="shared" ca="1" si="24"/>
        <v>46563</v>
      </c>
      <c r="L269" s="6"/>
    </row>
    <row r="270" spans="1:12" x14ac:dyDescent="0.2">
      <c r="A270" s="1" t="str">
        <f>+'Maestro infraestructura'!A269</f>
        <v>EDIFICIO PRINCIPAL</v>
      </c>
      <c r="B270" s="1" t="str">
        <f>+'Maestro infraestructura'!B269</f>
        <v>5° Piso</v>
      </c>
      <c r="C270" s="1">
        <f>+'Maestro infraestructura'!C269</f>
        <v>508</v>
      </c>
      <c r="D270" s="1" t="str">
        <f>+'Maestro infraestructura'!F269</f>
        <v>Piso</v>
      </c>
      <c r="E270" s="25" t="str">
        <f ca="1">+'Maestro infraestructura'!K269</f>
        <v>Activo</v>
      </c>
      <c r="F270" s="1" t="str">
        <f ca="1">+'Maestro infraestructura'!V269</f>
        <v>AL DÍA</v>
      </c>
      <c r="G270" s="1" t="str">
        <f>+'Maestro infraestructura'!X269</f>
        <v>GENERAL</v>
      </c>
      <c r="H270" s="1">
        <f>+'Maestro infraestructura'!Y269</f>
        <v>2</v>
      </c>
      <c r="I270" s="1"/>
      <c r="J270" s="6">
        <f>+'Maestro infraestructura'!T269</f>
        <v>46563</v>
      </c>
      <c r="K270" s="6">
        <f t="shared" ca="1" si="24"/>
        <v>46563</v>
      </c>
      <c r="L270" s="6"/>
    </row>
    <row r="271" spans="1:12" x14ac:dyDescent="0.2">
      <c r="A271" s="1" t="str">
        <f>+'Maestro infraestructura'!A270</f>
        <v>EDIFICIO PRINCIPAL</v>
      </c>
      <c r="B271" s="1" t="str">
        <f>+'Maestro infraestructura'!B270</f>
        <v>5° Piso</v>
      </c>
      <c r="C271" s="1">
        <f>+'Maestro infraestructura'!C270</f>
        <v>508</v>
      </c>
      <c r="D271" s="1" t="str">
        <f>+'Maestro infraestructura'!F270</f>
        <v>Enchufes</v>
      </c>
      <c r="E271" s="25" t="str">
        <f ca="1">+'Maestro infraestructura'!K270</f>
        <v>Activo</v>
      </c>
      <c r="F271" s="1" t="str">
        <f ca="1">+'Maestro infraestructura'!V270</f>
        <v>AL DÍA</v>
      </c>
      <c r="G271" s="1" t="str">
        <f>+'Maestro infraestructura'!X270</f>
        <v>GENERAL</v>
      </c>
      <c r="H271" s="1">
        <f>+'Maestro infraestructura'!Y270</f>
        <v>2</v>
      </c>
      <c r="I271" s="1"/>
      <c r="J271" s="6">
        <f>+'Maestro infraestructura'!T270</f>
        <v>46563</v>
      </c>
      <c r="K271" s="6">
        <f t="shared" ca="1" si="24"/>
        <v>46563</v>
      </c>
      <c r="L271" s="6"/>
    </row>
    <row r="272" spans="1:12" x14ac:dyDescent="0.2">
      <c r="A272" s="1" t="str">
        <f>+'Maestro infraestructura'!A271</f>
        <v>EDIFICIO PRINCIPAL</v>
      </c>
      <c r="B272" s="1" t="str">
        <f>+'Maestro infraestructura'!B271</f>
        <v>5° Piso</v>
      </c>
      <c r="C272" s="1">
        <f>+'Maestro infraestructura'!C271</f>
        <v>508</v>
      </c>
      <c r="D272" s="1" t="str">
        <f>+'Maestro infraestructura'!F271</f>
        <v>TV</v>
      </c>
      <c r="E272" s="25" t="str">
        <f ca="1">+'Maestro infraestructura'!K271</f>
        <v>Activo</v>
      </c>
      <c r="F272" s="1" t="str">
        <f ca="1">+'Maestro infraestructura'!V271</f>
        <v>AL DÍA</v>
      </c>
      <c r="G272" s="1" t="str">
        <f>+'Maestro infraestructura'!X271</f>
        <v>OPERACIÓN</v>
      </c>
      <c r="H272" s="1">
        <f>+'Maestro infraestructura'!Y271</f>
        <v>2</v>
      </c>
      <c r="I272" s="1"/>
      <c r="J272" s="6">
        <f>+'Maestro infraestructura'!T271</f>
        <v>46563</v>
      </c>
      <c r="K272" s="6">
        <f t="shared" ca="1" si="24"/>
        <v>46563</v>
      </c>
      <c r="L272" s="6"/>
    </row>
    <row r="273" spans="1:12" x14ac:dyDescent="0.2">
      <c r="A273" s="1" t="str">
        <f>+'Maestro infraestructura'!A272</f>
        <v>EDIFICIO PRINCIPAL</v>
      </c>
      <c r="B273" s="1" t="str">
        <f>+'Maestro infraestructura'!B272</f>
        <v>5° Piso</v>
      </c>
      <c r="C273" s="1">
        <f>+'Maestro infraestructura'!C272</f>
        <v>508</v>
      </c>
      <c r="D273" s="1" t="str">
        <f>+'Maestro infraestructura'!F272</f>
        <v>Pizarra</v>
      </c>
      <c r="E273" s="25" t="str">
        <f ca="1">+'Maestro infraestructura'!K272</f>
        <v>Activo</v>
      </c>
      <c r="F273" s="1" t="str">
        <f ca="1">+'Maestro infraestructura'!V272</f>
        <v>AL DÍA</v>
      </c>
      <c r="G273" s="1" t="str">
        <f>+'Maestro infraestructura'!X272</f>
        <v>OPERACIÓN</v>
      </c>
      <c r="H273" s="1">
        <f>+'Maestro infraestructura'!Y272</f>
        <v>2</v>
      </c>
      <c r="I273" s="1"/>
      <c r="J273" s="6">
        <f>+'Maestro infraestructura'!T272</f>
        <v>46563</v>
      </c>
      <c r="K273" s="6">
        <f t="shared" ca="1" si="24"/>
        <v>46563</v>
      </c>
      <c r="L273" s="6"/>
    </row>
    <row r="274" spans="1:12" x14ac:dyDescent="0.2">
      <c r="A274" s="1" t="str">
        <f>+'Maestro infraestructura'!A273</f>
        <v>EDIFICIO PRINCIPAL</v>
      </c>
      <c r="B274" s="1" t="str">
        <f>+'Maestro infraestructura'!B273</f>
        <v>5° Piso</v>
      </c>
      <c r="C274" s="1">
        <f>+'Maestro infraestructura'!C273</f>
        <v>508</v>
      </c>
      <c r="D274" s="1" t="str">
        <f>+'Maestro infraestructura'!F273</f>
        <v>Puertas</v>
      </c>
      <c r="E274" s="25" t="str">
        <f ca="1">+'Maestro infraestructura'!K273</f>
        <v>Activo</v>
      </c>
      <c r="F274" s="1" t="str">
        <f ca="1">+'Maestro infraestructura'!V273</f>
        <v>AL DÍA</v>
      </c>
      <c r="G274" s="1" t="str">
        <f>+'Maestro infraestructura'!X273</f>
        <v>GENERAL</v>
      </c>
      <c r="H274" s="1">
        <f>+'Maestro infraestructura'!Y273</f>
        <v>2</v>
      </c>
      <c r="I274" s="1"/>
      <c r="J274" s="6">
        <f>+'Maestro infraestructura'!T273</f>
        <v>46563</v>
      </c>
      <c r="K274" s="6">
        <f t="shared" ca="1" si="24"/>
        <v>46563</v>
      </c>
      <c r="L274" s="6"/>
    </row>
    <row r="275" spans="1:12" x14ac:dyDescent="0.2">
      <c r="A275" s="1" t="str">
        <f>+'Maestro infraestructura'!A274</f>
        <v>EDIFICIO PRINCIPAL</v>
      </c>
      <c r="B275" s="1" t="str">
        <f>+'Maestro infraestructura'!B274</f>
        <v>5° Piso</v>
      </c>
      <c r="C275" s="1">
        <f>+'Maestro infraestructura'!C274</f>
        <v>509</v>
      </c>
      <c r="D275" s="1" t="str">
        <f>+'Maestro infraestructura'!F274</f>
        <v>Ventanas</v>
      </c>
      <c r="E275" s="25" t="str">
        <f ca="1">+'Maestro infraestructura'!K274</f>
        <v>Activo</v>
      </c>
      <c r="F275" s="1" t="str">
        <f ca="1">+'Maestro infraestructura'!V274</f>
        <v>AL DÍA</v>
      </c>
      <c r="G275" s="1" t="str">
        <f>+'Maestro infraestructura'!X274</f>
        <v>OPERACIÓN</v>
      </c>
      <c r="H275" s="1">
        <f>+'Maestro infraestructura'!Y274</f>
        <v>2</v>
      </c>
      <c r="I275" s="1"/>
      <c r="J275" s="6">
        <f>+'Maestro infraestructura'!T274</f>
        <v>46563</v>
      </c>
      <c r="K275" s="6">
        <f t="shared" ca="1" si="24"/>
        <v>46563</v>
      </c>
      <c r="L275" s="6"/>
    </row>
    <row r="276" spans="1:12" x14ac:dyDescent="0.2">
      <c r="A276" s="1" t="str">
        <f>+'Maestro infraestructura'!A275</f>
        <v>EDIFICIO PRINCIPAL</v>
      </c>
      <c r="B276" s="1" t="str">
        <f>+'Maestro infraestructura'!B275</f>
        <v>5° Piso</v>
      </c>
      <c r="C276" s="1">
        <f>+'Maestro infraestructura'!C275</f>
        <v>509</v>
      </c>
      <c r="D276" s="1" t="str">
        <f>+'Maestro infraestructura'!F275</f>
        <v xml:space="preserve">Baranda </v>
      </c>
      <c r="E276" s="25" t="str">
        <f ca="1">+'Maestro infraestructura'!K275</f>
        <v>Activo</v>
      </c>
      <c r="F276" s="1" t="str">
        <f ca="1">+'Maestro infraestructura'!V275</f>
        <v>AL DÍA</v>
      </c>
      <c r="G276" s="1" t="str">
        <f>+'Maestro infraestructura'!X275</f>
        <v>SEGURIDAD</v>
      </c>
      <c r="H276" s="1">
        <f>+'Maestro infraestructura'!Y275</f>
        <v>1</v>
      </c>
      <c r="I276" s="1"/>
      <c r="J276" s="6">
        <f>+'Maestro infraestructura'!T275</f>
        <v>46563</v>
      </c>
      <c r="K276" s="6">
        <f t="shared" ca="1" si="24"/>
        <v>46563</v>
      </c>
      <c r="L276" s="6"/>
    </row>
    <row r="277" spans="1:12" x14ac:dyDescent="0.2">
      <c r="A277" s="1" t="str">
        <f>+'Maestro infraestructura'!A276</f>
        <v>EDIFICIO PRINCIPAL</v>
      </c>
      <c r="B277" s="1" t="str">
        <f>+'Maestro infraestructura'!B276</f>
        <v>5° Piso</v>
      </c>
      <c r="C277" s="1">
        <f>+'Maestro infraestructura'!C276</f>
        <v>509</v>
      </c>
      <c r="D277" s="1" t="str">
        <f>+'Maestro infraestructura'!F276</f>
        <v>Piso</v>
      </c>
      <c r="E277" s="25" t="str">
        <f ca="1">+'Maestro infraestructura'!K276</f>
        <v>Activo</v>
      </c>
      <c r="F277" s="1" t="str">
        <f ca="1">+'Maestro infraestructura'!V276</f>
        <v>AL DÍA</v>
      </c>
      <c r="G277" s="1" t="str">
        <f>+'Maestro infraestructura'!X276</f>
        <v>GENERAL</v>
      </c>
      <c r="H277" s="1">
        <f>+'Maestro infraestructura'!Y276</f>
        <v>2</v>
      </c>
      <c r="I277" s="1"/>
      <c r="J277" s="6">
        <f>+'Maestro infraestructura'!T276</f>
        <v>46563</v>
      </c>
      <c r="K277" s="6">
        <f t="shared" ca="1" si="24"/>
        <v>46563</v>
      </c>
      <c r="L277" s="6"/>
    </row>
    <row r="278" spans="1:12" x14ac:dyDescent="0.2">
      <c r="A278" s="1" t="str">
        <f>+'Maestro infraestructura'!A277</f>
        <v>EDIFICIO PRINCIPAL</v>
      </c>
      <c r="B278" s="1" t="str">
        <f>+'Maestro infraestructura'!B277</f>
        <v>5° Piso</v>
      </c>
      <c r="C278" s="1">
        <f>+'Maestro infraestructura'!C277</f>
        <v>509</v>
      </c>
      <c r="D278" s="1" t="str">
        <f>+'Maestro infraestructura'!F277</f>
        <v>Enchufes</v>
      </c>
      <c r="E278" s="25" t="str">
        <f ca="1">+'Maestro infraestructura'!K277</f>
        <v>Activo</v>
      </c>
      <c r="F278" s="1" t="str">
        <f ca="1">+'Maestro infraestructura'!V277</f>
        <v>AL DÍA</v>
      </c>
      <c r="G278" s="1" t="str">
        <f>+'Maestro infraestructura'!X277</f>
        <v>GENERAL</v>
      </c>
      <c r="H278" s="1">
        <f>+'Maestro infraestructura'!Y277</f>
        <v>2</v>
      </c>
      <c r="I278" s="1"/>
      <c r="J278" s="6">
        <f>+'Maestro infraestructura'!T277</f>
        <v>46563</v>
      </c>
      <c r="K278" s="6">
        <f t="shared" ca="1" si="24"/>
        <v>46563</v>
      </c>
      <c r="L278" s="6"/>
    </row>
    <row r="279" spans="1:12" x14ac:dyDescent="0.2">
      <c r="A279" s="1" t="str">
        <f>+'Maestro infraestructura'!A278</f>
        <v>EDIFICIO PRINCIPAL</v>
      </c>
      <c r="B279" s="1" t="str">
        <f>+'Maestro infraestructura'!B278</f>
        <v>5° Piso</v>
      </c>
      <c r="C279" s="1">
        <f>+'Maestro infraestructura'!C278</f>
        <v>509</v>
      </c>
      <c r="D279" s="1" t="str">
        <f>+'Maestro infraestructura'!F278</f>
        <v>TV</v>
      </c>
      <c r="E279" s="25" t="str">
        <f ca="1">+'Maestro infraestructura'!K278</f>
        <v>Activo</v>
      </c>
      <c r="F279" s="1" t="str">
        <f ca="1">+'Maestro infraestructura'!V278</f>
        <v>AL DÍA</v>
      </c>
      <c r="G279" s="1" t="str">
        <f>+'Maestro infraestructura'!X278</f>
        <v>OPERACIÓN</v>
      </c>
      <c r="H279" s="1">
        <f>+'Maestro infraestructura'!Y278</f>
        <v>2</v>
      </c>
      <c r="I279" s="1"/>
      <c r="J279" s="6">
        <f>+'Maestro infraestructura'!T278</f>
        <v>46563</v>
      </c>
      <c r="K279" s="6">
        <f t="shared" ca="1" si="24"/>
        <v>46563</v>
      </c>
      <c r="L279" s="6"/>
    </row>
    <row r="280" spans="1:12" x14ac:dyDescent="0.2">
      <c r="A280" s="1" t="str">
        <f>+'Maestro infraestructura'!A279</f>
        <v>EDIFICIO PRINCIPAL</v>
      </c>
      <c r="B280" s="1" t="str">
        <f>+'Maestro infraestructura'!B279</f>
        <v>5° Piso</v>
      </c>
      <c r="C280" s="1">
        <f>+'Maestro infraestructura'!C279</f>
        <v>509</v>
      </c>
      <c r="D280" s="1" t="str">
        <f>+'Maestro infraestructura'!F279</f>
        <v>Pizarra</v>
      </c>
      <c r="E280" s="25" t="str">
        <f ca="1">+'Maestro infraestructura'!K279</f>
        <v>Activo</v>
      </c>
      <c r="F280" s="1" t="str">
        <f ca="1">+'Maestro infraestructura'!V279</f>
        <v>AL DÍA</v>
      </c>
      <c r="G280" s="1" t="str">
        <f>+'Maestro infraestructura'!X279</f>
        <v>OPERACIÓN</v>
      </c>
      <c r="H280" s="1">
        <f>+'Maestro infraestructura'!Y279</f>
        <v>2</v>
      </c>
      <c r="I280" s="1"/>
      <c r="J280" s="6">
        <f>+'Maestro infraestructura'!T279</f>
        <v>46563</v>
      </c>
      <c r="K280" s="6">
        <f t="shared" ca="1" si="24"/>
        <v>46563</v>
      </c>
      <c r="L280" s="6"/>
    </row>
    <row r="281" spans="1:12" x14ac:dyDescent="0.2">
      <c r="A281" s="1" t="str">
        <f>+'Maestro infraestructura'!A280</f>
        <v>EDIFICIO PRINCIPAL</v>
      </c>
      <c r="B281" s="1" t="str">
        <f>+'Maestro infraestructura'!B280</f>
        <v>5° Piso</v>
      </c>
      <c r="C281" s="1">
        <f>+'Maestro infraestructura'!C280</f>
        <v>509</v>
      </c>
      <c r="D281" s="1" t="str">
        <f>+'Maestro infraestructura'!F280</f>
        <v>Puertas</v>
      </c>
      <c r="E281" s="25" t="str">
        <f ca="1">+'Maestro infraestructura'!K280</f>
        <v>Activo</v>
      </c>
      <c r="F281" s="1" t="str">
        <f ca="1">+'Maestro infraestructura'!V280</f>
        <v>AL DÍA</v>
      </c>
      <c r="G281" s="1" t="str">
        <f>+'Maestro infraestructura'!X280</f>
        <v>GENERAL</v>
      </c>
      <c r="H281" s="1">
        <f>+'Maestro infraestructura'!Y280</f>
        <v>2</v>
      </c>
      <c r="I281" s="1"/>
      <c r="J281" s="6">
        <f>+'Maestro infraestructura'!T280</f>
        <v>46563</v>
      </c>
      <c r="K281" s="6">
        <f t="shared" ca="1" si="24"/>
        <v>46563</v>
      </c>
      <c r="L281" s="6"/>
    </row>
    <row r="282" spans="1:12" x14ac:dyDescent="0.2">
      <c r="A282" s="1" t="str">
        <f>+'Maestro infraestructura'!A281</f>
        <v>EDIFICIO PRINCIPAL</v>
      </c>
      <c r="B282" s="1" t="str">
        <f>+'Maestro infraestructura'!B281</f>
        <v>5° Piso</v>
      </c>
      <c r="C282" s="1">
        <f>+'Maestro infraestructura'!C281</f>
        <v>510</v>
      </c>
      <c r="D282" s="1" t="str">
        <f>+'Maestro infraestructura'!F281</f>
        <v>Ventanas</v>
      </c>
      <c r="E282" s="25" t="str">
        <f ca="1">+'Maestro infraestructura'!K281</f>
        <v>Activo</v>
      </c>
      <c r="F282" s="1" t="str">
        <f ca="1">+'Maestro infraestructura'!V281</f>
        <v>AL DÍA</v>
      </c>
      <c r="G282" s="1" t="str">
        <f>+'Maestro infraestructura'!X281</f>
        <v>OPERACIÓN</v>
      </c>
      <c r="H282" s="1">
        <f>+'Maestro infraestructura'!Y281</f>
        <v>2</v>
      </c>
      <c r="I282" s="1"/>
      <c r="J282" s="6">
        <f>+'Maestro infraestructura'!T281</f>
        <v>46563</v>
      </c>
      <c r="K282" s="6">
        <f t="shared" ca="1" si="24"/>
        <v>46563</v>
      </c>
      <c r="L282" s="6"/>
    </row>
    <row r="283" spans="1:12" x14ac:dyDescent="0.2">
      <c r="A283" s="1" t="str">
        <f>+'Maestro infraestructura'!A282</f>
        <v>EDIFICIO PRINCIPAL</v>
      </c>
      <c r="B283" s="1" t="str">
        <f>+'Maestro infraestructura'!B282</f>
        <v>5° Piso</v>
      </c>
      <c r="C283" s="1">
        <f>+'Maestro infraestructura'!C282</f>
        <v>510</v>
      </c>
      <c r="D283" s="1" t="str">
        <f>+'Maestro infraestructura'!F282</f>
        <v xml:space="preserve">Baranda </v>
      </c>
      <c r="E283" s="25" t="str">
        <f ca="1">+'Maestro infraestructura'!K282</f>
        <v>Activo</v>
      </c>
      <c r="F283" s="1" t="str">
        <f ca="1">+'Maestro infraestructura'!V282</f>
        <v>AL DÍA</v>
      </c>
      <c r="G283" s="1" t="str">
        <f>+'Maestro infraestructura'!X282</f>
        <v>SEGURIDAD</v>
      </c>
      <c r="H283" s="1">
        <f>+'Maestro infraestructura'!Y282</f>
        <v>1</v>
      </c>
      <c r="I283" s="1"/>
      <c r="J283" s="6">
        <f>+'Maestro infraestructura'!T282</f>
        <v>46563</v>
      </c>
      <c r="K283" s="6">
        <f t="shared" ca="1" si="24"/>
        <v>46563</v>
      </c>
      <c r="L283" s="6"/>
    </row>
    <row r="284" spans="1:12" x14ac:dyDescent="0.2">
      <c r="A284" s="1" t="str">
        <f>+'Maestro infraestructura'!A283</f>
        <v>EDIFICIO PRINCIPAL</v>
      </c>
      <c r="B284" s="1" t="str">
        <f>+'Maestro infraestructura'!B283</f>
        <v>5° Piso</v>
      </c>
      <c r="C284" s="1">
        <f>+'Maestro infraestructura'!C283</f>
        <v>510</v>
      </c>
      <c r="D284" s="1" t="str">
        <f>+'Maestro infraestructura'!F283</f>
        <v>Piso</v>
      </c>
      <c r="E284" s="25" t="str">
        <f ca="1">+'Maestro infraestructura'!K283</f>
        <v>Activo</v>
      </c>
      <c r="F284" s="1" t="str">
        <f ca="1">+'Maestro infraestructura'!V283</f>
        <v>AL DÍA</v>
      </c>
      <c r="G284" s="1" t="str">
        <f>+'Maestro infraestructura'!X283</f>
        <v>GENERAL</v>
      </c>
      <c r="H284" s="1">
        <f>+'Maestro infraestructura'!Y283</f>
        <v>2</v>
      </c>
      <c r="I284" s="1"/>
      <c r="J284" s="6">
        <f>+'Maestro infraestructura'!T283</f>
        <v>46563</v>
      </c>
      <c r="K284" s="6">
        <f t="shared" ca="1" si="24"/>
        <v>46563</v>
      </c>
      <c r="L284" s="6"/>
    </row>
    <row r="285" spans="1:12" x14ac:dyDescent="0.2">
      <c r="A285" s="1" t="str">
        <f>+'Maestro infraestructura'!A284</f>
        <v>EDIFICIO PRINCIPAL</v>
      </c>
      <c r="B285" s="1" t="str">
        <f>+'Maestro infraestructura'!B284</f>
        <v>5° Piso</v>
      </c>
      <c r="C285" s="1">
        <f>+'Maestro infraestructura'!C284</f>
        <v>510</v>
      </c>
      <c r="D285" s="1" t="str">
        <f>+'Maestro infraestructura'!F284</f>
        <v>Enchufes</v>
      </c>
      <c r="E285" s="25" t="str">
        <f ca="1">+'Maestro infraestructura'!K284</f>
        <v>Activo</v>
      </c>
      <c r="F285" s="1" t="str">
        <f ca="1">+'Maestro infraestructura'!V284</f>
        <v>AL DÍA</v>
      </c>
      <c r="G285" s="1" t="str">
        <f>+'Maestro infraestructura'!X284</f>
        <v>GENERAL</v>
      </c>
      <c r="H285" s="1">
        <f>+'Maestro infraestructura'!Y284</f>
        <v>2</v>
      </c>
      <c r="I285" s="1"/>
      <c r="J285" s="6">
        <f>+'Maestro infraestructura'!T284</f>
        <v>46563</v>
      </c>
      <c r="K285" s="6">
        <f t="shared" ca="1" si="24"/>
        <v>46563</v>
      </c>
      <c r="L285" s="6"/>
    </row>
    <row r="286" spans="1:12" x14ac:dyDescent="0.2">
      <c r="A286" s="1" t="str">
        <f>+'Maestro infraestructura'!A285</f>
        <v>EDIFICIO PRINCIPAL</v>
      </c>
      <c r="B286" s="1" t="str">
        <f>+'Maestro infraestructura'!B285</f>
        <v>5° Piso</v>
      </c>
      <c r="C286" s="1">
        <f>+'Maestro infraestructura'!C285</f>
        <v>510</v>
      </c>
      <c r="D286" s="1" t="str">
        <f>+'Maestro infraestructura'!F285</f>
        <v>TV</v>
      </c>
      <c r="E286" s="25" t="str">
        <f ca="1">+'Maestro infraestructura'!K285</f>
        <v>Activo</v>
      </c>
      <c r="F286" s="1" t="str">
        <f ca="1">+'Maestro infraestructura'!V285</f>
        <v>AL DÍA</v>
      </c>
      <c r="G286" s="1" t="str">
        <f>+'Maestro infraestructura'!X285</f>
        <v>OPERACIÓN</v>
      </c>
      <c r="H286" s="1">
        <f>+'Maestro infraestructura'!Y285</f>
        <v>2</v>
      </c>
      <c r="I286" s="1"/>
      <c r="J286" s="6">
        <f>+'Maestro infraestructura'!T285</f>
        <v>46563</v>
      </c>
      <c r="K286" s="6">
        <f t="shared" ca="1" si="24"/>
        <v>46563</v>
      </c>
      <c r="L286" s="6"/>
    </row>
    <row r="287" spans="1:12" x14ac:dyDescent="0.2">
      <c r="A287" s="1" t="str">
        <f>+'Maestro infraestructura'!A286</f>
        <v>EDIFICIO PRINCIPAL</v>
      </c>
      <c r="B287" s="1" t="str">
        <f>+'Maestro infraestructura'!B286</f>
        <v>5° Piso</v>
      </c>
      <c r="C287" s="1">
        <f>+'Maestro infraestructura'!C286</f>
        <v>510</v>
      </c>
      <c r="D287" s="1" t="str">
        <f>+'Maestro infraestructura'!F286</f>
        <v>Pizarra</v>
      </c>
      <c r="E287" s="25" t="str">
        <f ca="1">+'Maestro infraestructura'!K286</f>
        <v>Activo</v>
      </c>
      <c r="F287" s="1" t="str">
        <f ca="1">+'Maestro infraestructura'!V286</f>
        <v>AL DÍA</v>
      </c>
      <c r="G287" s="1" t="str">
        <f>+'Maestro infraestructura'!X286</f>
        <v>OPERACIÓN</v>
      </c>
      <c r="H287" s="1">
        <f>+'Maestro infraestructura'!Y286</f>
        <v>2</v>
      </c>
      <c r="I287" s="1"/>
      <c r="J287" s="6">
        <f>+'Maestro infraestructura'!T286</f>
        <v>46563</v>
      </c>
      <c r="K287" s="6">
        <f t="shared" ca="1" si="24"/>
        <v>46563</v>
      </c>
      <c r="L287" s="6"/>
    </row>
    <row r="288" spans="1:12" x14ac:dyDescent="0.2">
      <c r="A288" s="1" t="str">
        <f>+'Maestro infraestructura'!A287</f>
        <v>EDIFICIO PRINCIPAL</v>
      </c>
      <c r="B288" s="1" t="str">
        <f>+'Maestro infraestructura'!B287</f>
        <v>5° Piso</v>
      </c>
      <c r="C288" s="1">
        <f>+'Maestro infraestructura'!C287</f>
        <v>510</v>
      </c>
      <c r="D288" s="1" t="str">
        <f>+'Maestro infraestructura'!F287</f>
        <v>Puertas</v>
      </c>
      <c r="E288" s="25" t="str">
        <f ca="1">+'Maestro infraestructura'!K287</f>
        <v>Activo</v>
      </c>
      <c r="F288" s="1" t="str">
        <f ca="1">+'Maestro infraestructura'!V287</f>
        <v>AL DÍA</v>
      </c>
      <c r="G288" s="1" t="str">
        <f>+'Maestro infraestructura'!X287</f>
        <v>GENERAL</v>
      </c>
      <c r="H288" s="1">
        <f>+'Maestro infraestructura'!Y287</f>
        <v>2</v>
      </c>
      <c r="I288" s="1"/>
      <c r="J288" s="6">
        <f>+'Maestro infraestructura'!T287</f>
        <v>46563</v>
      </c>
      <c r="K288" s="6">
        <f t="shared" ca="1" si="24"/>
        <v>46563</v>
      </c>
      <c r="L288" s="6"/>
    </row>
    <row r="289" spans="1:12" x14ac:dyDescent="0.2">
      <c r="A289" s="1" t="str">
        <f>+'Maestro infraestructura'!A288</f>
        <v>EDIFICIO PRINCIPAL</v>
      </c>
      <c r="B289" s="1" t="str">
        <f>+'Maestro infraestructura'!B288</f>
        <v>5° Piso</v>
      </c>
      <c r="C289" s="1">
        <f>+'Maestro infraestructura'!C288</f>
        <v>511</v>
      </c>
      <c r="D289" s="1" t="str">
        <f>+'Maestro infraestructura'!F288</f>
        <v>Ventanas</v>
      </c>
      <c r="E289" s="25" t="str">
        <f ca="1">+'Maestro infraestructura'!K288</f>
        <v>Activo</v>
      </c>
      <c r="F289" s="1" t="str">
        <f ca="1">+'Maestro infraestructura'!V288</f>
        <v>AL DÍA</v>
      </c>
      <c r="G289" s="1" t="str">
        <f>+'Maestro infraestructura'!X288</f>
        <v>OPERACIÓN</v>
      </c>
      <c r="H289" s="1">
        <f>+'Maestro infraestructura'!Y288</f>
        <v>2</v>
      </c>
      <c r="I289" s="1"/>
      <c r="J289" s="6">
        <f>+'Maestro infraestructura'!T288</f>
        <v>46563</v>
      </c>
      <c r="K289" s="6">
        <f t="shared" ca="1" si="24"/>
        <v>46563</v>
      </c>
      <c r="L289" s="6"/>
    </row>
    <row r="290" spans="1:12" x14ac:dyDescent="0.2">
      <c r="A290" s="1" t="str">
        <f>+'Maestro infraestructura'!A289</f>
        <v>EDIFICIO PRINCIPAL</v>
      </c>
      <c r="B290" s="1" t="str">
        <f>+'Maestro infraestructura'!B289</f>
        <v>5° Piso</v>
      </c>
      <c r="C290" s="1">
        <f>+'Maestro infraestructura'!C289</f>
        <v>511</v>
      </c>
      <c r="D290" s="1" t="str">
        <f>+'Maestro infraestructura'!F289</f>
        <v xml:space="preserve">Baranda </v>
      </c>
      <c r="E290" s="25" t="str">
        <f ca="1">+'Maestro infraestructura'!K289</f>
        <v>Activo</v>
      </c>
      <c r="F290" s="1" t="str">
        <f ca="1">+'Maestro infraestructura'!V289</f>
        <v>AL DÍA</v>
      </c>
      <c r="G290" s="1" t="str">
        <f>+'Maestro infraestructura'!X289</f>
        <v>SEGURIDAD</v>
      </c>
      <c r="H290" s="1">
        <f>+'Maestro infraestructura'!Y289</f>
        <v>1</v>
      </c>
      <c r="I290" s="1"/>
      <c r="J290" s="6">
        <f>+'Maestro infraestructura'!T289</f>
        <v>46563</v>
      </c>
      <c r="K290" s="6">
        <f t="shared" ca="1" si="24"/>
        <v>46563</v>
      </c>
      <c r="L290" s="6"/>
    </row>
    <row r="291" spans="1:12" x14ac:dyDescent="0.2">
      <c r="A291" s="1" t="str">
        <f>+'Maestro infraestructura'!A290</f>
        <v>EDIFICIO PRINCIPAL</v>
      </c>
      <c r="B291" s="1" t="str">
        <f>+'Maestro infraestructura'!B290</f>
        <v>5° Piso</v>
      </c>
      <c r="C291" s="1">
        <f>+'Maestro infraestructura'!C290</f>
        <v>511</v>
      </c>
      <c r="D291" s="1" t="str">
        <f>+'Maestro infraestructura'!F290</f>
        <v>Piso</v>
      </c>
      <c r="E291" s="25" t="str">
        <f ca="1">+'Maestro infraestructura'!K290</f>
        <v>Presupuestar</v>
      </c>
      <c r="F291" s="1" t="str">
        <f ca="1">+'Maestro infraestructura'!V290</f>
        <v>AL DÍA</v>
      </c>
      <c r="G291" s="1" t="str">
        <f>+'Maestro infraestructura'!X290</f>
        <v>GENERAL</v>
      </c>
      <c r="H291" s="1">
        <f>+'Maestro infraestructura'!Y290</f>
        <v>2</v>
      </c>
      <c r="I291" s="1"/>
      <c r="J291" s="6">
        <f>+'Maestro infraestructura'!T290</f>
        <v>46563</v>
      </c>
      <c r="K291" s="6">
        <f t="shared" ca="1" si="24"/>
        <v>46563</v>
      </c>
      <c r="L291" s="6"/>
    </row>
    <row r="292" spans="1:12" x14ac:dyDescent="0.2">
      <c r="A292" s="1" t="str">
        <f>+'Maestro infraestructura'!A291</f>
        <v>EDIFICIO PRINCIPAL</v>
      </c>
      <c r="B292" s="1" t="str">
        <f>+'Maestro infraestructura'!B291</f>
        <v>5° Piso</v>
      </c>
      <c r="C292" s="1">
        <f>+'Maestro infraestructura'!C291</f>
        <v>511</v>
      </c>
      <c r="D292" s="1" t="str">
        <f>+'Maestro infraestructura'!F291</f>
        <v>Enchufes</v>
      </c>
      <c r="E292" s="25" t="str">
        <f ca="1">+'Maestro infraestructura'!K291</f>
        <v>Activo</v>
      </c>
      <c r="F292" s="1" t="str">
        <f ca="1">+'Maestro infraestructura'!V291</f>
        <v>AL DÍA</v>
      </c>
      <c r="G292" s="1" t="str">
        <f>+'Maestro infraestructura'!X291</f>
        <v>GENERAL</v>
      </c>
      <c r="H292" s="1">
        <f>+'Maestro infraestructura'!Y291</f>
        <v>2</v>
      </c>
      <c r="I292" s="1"/>
      <c r="J292" s="6">
        <f>+'Maestro infraestructura'!T291</f>
        <v>46563</v>
      </c>
      <c r="K292" s="6">
        <f t="shared" ca="1" si="24"/>
        <v>46563</v>
      </c>
      <c r="L292" s="6"/>
    </row>
    <row r="293" spans="1:12" x14ac:dyDescent="0.2">
      <c r="A293" s="1" t="str">
        <f>+'Maestro infraestructura'!A292</f>
        <v>EDIFICIO PRINCIPAL</v>
      </c>
      <c r="B293" s="1" t="str">
        <f>+'Maestro infraestructura'!B292</f>
        <v>5° Piso</v>
      </c>
      <c r="C293" s="1">
        <f>+'Maestro infraestructura'!C292</f>
        <v>511</v>
      </c>
      <c r="D293" s="1" t="str">
        <f>+'Maestro infraestructura'!F292</f>
        <v>TV</v>
      </c>
      <c r="E293" s="25" t="str">
        <f ca="1">+'Maestro infraestructura'!K292</f>
        <v>Activo</v>
      </c>
      <c r="F293" s="1" t="str">
        <f ca="1">+'Maestro infraestructura'!V292</f>
        <v>AL DÍA</v>
      </c>
      <c r="G293" s="1" t="str">
        <f>+'Maestro infraestructura'!X292</f>
        <v>OPERACIÓN</v>
      </c>
      <c r="H293" s="1">
        <f>+'Maestro infraestructura'!Y292</f>
        <v>2</v>
      </c>
      <c r="I293" s="1"/>
      <c r="J293" s="6">
        <f>+'Maestro infraestructura'!T292</f>
        <v>46563</v>
      </c>
      <c r="K293" s="6">
        <f t="shared" ca="1" si="24"/>
        <v>46563</v>
      </c>
      <c r="L293" s="6"/>
    </row>
    <row r="294" spans="1:12" x14ac:dyDescent="0.2">
      <c r="A294" s="1" t="str">
        <f>+'Maestro infraestructura'!A293</f>
        <v>EDIFICIO PRINCIPAL</v>
      </c>
      <c r="B294" s="1" t="str">
        <f>+'Maestro infraestructura'!B293</f>
        <v>5° Piso</v>
      </c>
      <c r="C294" s="1">
        <f>+'Maestro infraestructura'!C293</f>
        <v>511</v>
      </c>
      <c r="D294" s="1" t="str">
        <f>+'Maestro infraestructura'!F293</f>
        <v>Pizarra</v>
      </c>
      <c r="E294" s="25" t="str">
        <f ca="1">+'Maestro infraestructura'!K293</f>
        <v>Activo</v>
      </c>
      <c r="F294" s="1" t="str">
        <f ca="1">+'Maestro infraestructura'!V293</f>
        <v>AL DÍA</v>
      </c>
      <c r="G294" s="1" t="str">
        <f>+'Maestro infraestructura'!X293</f>
        <v>OPERACIÓN</v>
      </c>
      <c r="H294" s="1">
        <f>+'Maestro infraestructura'!Y293</f>
        <v>2</v>
      </c>
      <c r="I294" s="1"/>
      <c r="J294" s="6">
        <f>+'Maestro infraestructura'!T293</f>
        <v>46563</v>
      </c>
      <c r="K294" s="6">
        <f t="shared" ca="1" si="24"/>
        <v>46563</v>
      </c>
      <c r="L294" s="6"/>
    </row>
    <row r="295" spans="1:12" x14ac:dyDescent="0.2">
      <c r="A295" s="1" t="str">
        <f>+'Maestro infraestructura'!A294</f>
        <v>EDIFICIO PRINCIPAL</v>
      </c>
      <c r="B295" s="1" t="str">
        <f>+'Maestro infraestructura'!B294</f>
        <v>5° Piso</v>
      </c>
      <c r="C295" s="1">
        <f>+'Maestro infraestructura'!C294</f>
        <v>511</v>
      </c>
      <c r="D295" s="1" t="str">
        <f>+'Maestro infraestructura'!F294</f>
        <v>Puertas</v>
      </c>
      <c r="E295" s="25" t="str">
        <f ca="1">+'Maestro infraestructura'!K294</f>
        <v>Activo</v>
      </c>
      <c r="F295" s="1" t="str">
        <f ca="1">+'Maestro infraestructura'!V294</f>
        <v>AL DÍA</v>
      </c>
      <c r="G295" s="1" t="str">
        <f>+'Maestro infraestructura'!X294</f>
        <v>GENERAL</v>
      </c>
      <c r="H295" s="1">
        <f>+'Maestro infraestructura'!Y294</f>
        <v>2</v>
      </c>
      <c r="I295" s="1"/>
      <c r="J295" s="6">
        <f>+'Maestro infraestructura'!T294</f>
        <v>46563</v>
      </c>
      <c r="K295" s="6">
        <f t="shared" ca="1" si="24"/>
        <v>46563</v>
      </c>
      <c r="L295" s="6"/>
    </row>
    <row r="296" spans="1:12" x14ac:dyDescent="0.2">
      <c r="A296" s="1" t="str">
        <f>+'Maestro infraestructura'!A295</f>
        <v>EDIFICIO PRINCIPAL</v>
      </c>
      <c r="B296" s="1" t="str">
        <f>+'Maestro infraestructura'!B295</f>
        <v>5° Piso</v>
      </c>
      <c r="C296" s="1">
        <f>+'Maestro infraestructura'!C295</f>
        <v>512</v>
      </c>
      <c r="D296" s="1" t="str">
        <f>+'Maestro infraestructura'!F295</f>
        <v>Ventanas</v>
      </c>
      <c r="E296" s="25" t="str">
        <f ca="1">+'Maestro infraestructura'!K295</f>
        <v>Activo</v>
      </c>
      <c r="F296" s="1" t="str">
        <f ca="1">+'Maestro infraestructura'!V295</f>
        <v>AL DÍA</v>
      </c>
      <c r="G296" s="1" t="str">
        <f>+'Maestro infraestructura'!X295</f>
        <v>OPERACIÓN</v>
      </c>
      <c r="H296" s="1">
        <f>+'Maestro infraestructura'!Y295</f>
        <v>2</v>
      </c>
      <c r="I296" s="1"/>
      <c r="J296" s="6">
        <f>+'Maestro infraestructura'!T295</f>
        <v>46563</v>
      </c>
      <c r="K296" s="6">
        <f t="shared" ca="1" si="24"/>
        <v>46563</v>
      </c>
      <c r="L296" s="6"/>
    </row>
    <row r="297" spans="1:12" x14ac:dyDescent="0.2">
      <c r="A297" s="1" t="str">
        <f>+'Maestro infraestructura'!A296</f>
        <v>EDIFICIO PRINCIPAL</v>
      </c>
      <c r="B297" s="1" t="str">
        <f>+'Maestro infraestructura'!B296</f>
        <v>5° Piso</v>
      </c>
      <c r="C297" s="1">
        <f>+'Maestro infraestructura'!C296</f>
        <v>512</v>
      </c>
      <c r="D297" s="1" t="str">
        <f>+'Maestro infraestructura'!F296</f>
        <v xml:space="preserve">Baranda </v>
      </c>
      <c r="E297" s="25" t="str">
        <f ca="1">+'Maestro infraestructura'!K296</f>
        <v>Activo</v>
      </c>
      <c r="F297" s="1" t="str">
        <f ca="1">+'Maestro infraestructura'!V296</f>
        <v>AL DÍA</v>
      </c>
      <c r="G297" s="1" t="str">
        <f>+'Maestro infraestructura'!X296</f>
        <v>SEGURIDAD</v>
      </c>
      <c r="H297" s="1">
        <f>+'Maestro infraestructura'!Y296</f>
        <v>1</v>
      </c>
      <c r="I297" s="1"/>
      <c r="J297" s="6">
        <f>+'Maestro infraestructura'!T296</f>
        <v>46563</v>
      </c>
      <c r="K297" s="6">
        <f t="shared" ca="1" si="24"/>
        <v>46563</v>
      </c>
      <c r="L297" s="6"/>
    </row>
    <row r="298" spans="1:12" x14ac:dyDescent="0.2">
      <c r="A298" s="1" t="str">
        <f>+'Maestro infraestructura'!A297</f>
        <v>EDIFICIO PRINCIPAL</v>
      </c>
      <c r="B298" s="1" t="str">
        <f>+'Maestro infraestructura'!B297</f>
        <v>5° Piso</v>
      </c>
      <c r="C298" s="1">
        <f>+'Maestro infraestructura'!C297</f>
        <v>512</v>
      </c>
      <c r="D298" s="1" t="str">
        <f>+'Maestro infraestructura'!F297</f>
        <v>Piso</v>
      </c>
      <c r="E298" s="25" t="str">
        <f ca="1">+'Maestro infraestructura'!K297</f>
        <v>Presupuestar</v>
      </c>
      <c r="F298" s="1" t="str">
        <f ca="1">+'Maestro infraestructura'!V297</f>
        <v>AL DÍA</v>
      </c>
      <c r="G298" s="1" t="str">
        <f>+'Maestro infraestructura'!X297</f>
        <v>GENERAL</v>
      </c>
      <c r="H298" s="1">
        <f>+'Maestro infraestructura'!Y297</f>
        <v>2</v>
      </c>
      <c r="I298" s="1"/>
      <c r="J298" s="6">
        <f>+'Maestro infraestructura'!T297</f>
        <v>46563</v>
      </c>
      <c r="K298" s="6">
        <f t="shared" ca="1" si="24"/>
        <v>46563</v>
      </c>
      <c r="L298" s="6"/>
    </row>
    <row r="299" spans="1:12" x14ac:dyDescent="0.2">
      <c r="A299" s="1" t="str">
        <f>+'Maestro infraestructura'!A298</f>
        <v>EDIFICIO PRINCIPAL</v>
      </c>
      <c r="B299" s="1" t="str">
        <f>+'Maestro infraestructura'!B298</f>
        <v>5° Piso</v>
      </c>
      <c r="C299" s="1">
        <f>+'Maestro infraestructura'!C298</f>
        <v>512</v>
      </c>
      <c r="D299" s="1" t="str">
        <f>+'Maestro infraestructura'!F298</f>
        <v>Enchufes</v>
      </c>
      <c r="E299" s="25" t="str">
        <f ca="1">+'Maestro infraestructura'!K298</f>
        <v>Activo</v>
      </c>
      <c r="F299" s="1" t="str">
        <f ca="1">+'Maestro infraestructura'!V298</f>
        <v>AL DÍA</v>
      </c>
      <c r="G299" s="1" t="str">
        <f>+'Maestro infraestructura'!X298</f>
        <v>GENERAL</v>
      </c>
      <c r="H299" s="1">
        <f>+'Maestro infraestructura'!Y298</f>
        <v>2</v>
      </c>
      <c r="I299" s="1"/>
      <c r="J299" s="6">
        <f>+'Maestro infraestructura'!T298</f>
        <v>46563</v>
      </c>
      <c r="K299" s="6">
        <f t="shared" ca="1" si="24"/>
        <v>46563</v>
      </c>
      <c r="L299" s="6"/>
    </row>
    <row r="300" spans="1:12" x14ac:dyDescent="0.2">
      <c r="A300" s="1" t="str">
        <f>+'Maestro infraestructura'!A299</f>
        <v>EDIFICIO PRINCIPAL</v>
      </c>
      <c r="B300" s="1" t="str">
        <f>+'Maestro infraestructura'!B299</f>
        <v>5° Piso</v>
      </c>
      <c r="C300" s="1">
        <f>+'Maestro infraestructura'!C299</f>
        <v>512</v>
      </c>
      <c r="D300" s="1" t="str">
        <f>+'Maestro infraestructura'!F299</f>
        <v>TV</v>
      </c>
      <c r="E300" s="25" t="str">
        <f ca="1">+'Maestro infraestructura'!K299</f>
        <v>Activo</v>
      </c>
      <c r="F300" s="1" t="str">
        <f ca="1">+'Maestro infraestructura'!V299</f>
        <v>AL DÍA</v>
      </c>
      <c r="G300" s="1" t="str">
        <f>+'Maestro infraestructura'!X299</f>
        <v>OPERACIÓN</v>
      </c>
      <c r="H300" s="1">
        <f>+'Maestro infraestructura'!Y299</f>
        <v>2</v>
      </c>
      <c r="I300" s="1"/>
      <c r="J300" s="6">
        <f>+'Maestro infraestructura'!T299</f>
        <v>46563</v>
      </c>
      <c r="K300" s="6">
        <f t="shared" ca="1" si="24"/>
        <v>46563</v>
      </c>
      <c r="L300" s="6"/>
    </row>
    <row r="301" spans="1:12" x14ac:dyDescent="0.2">
      <c r="A301" s="1" t="str">
        <f>+'Maestro infraestructura'!A300</f>
        <v>EDIFICIO PRINCIPAL</v>
      </c>
      <c r="B301" s="1" t="str">
        <f>+'Maestro infraestructura'!B300</f>
        <v>5° Piso</v>
      </c>
      <c r="C301" s="1">
        <f>+'Maestro infraestructura'!C300</f>
        <v>512</v>
      </c>
      <c r="D301" s="1" t="str">
        <f>+'Maestro infraestructura'!F300</f>
        <v>Pizarra</v>
      </c>
      <c r="E301" s="25" t="str">
        <f ca="1">+'Maestro infraestructura'!K300</f>
        <v>Activo</v>
      </c>
      <c r="F301" s="1" t="str">
        <f ca="1">+'Maestro infraestructura'!V300</f>
        <v>AL DÍA</v>
      </c>
      <c r="G301" s="1" t="str">
        <f>+'Maestro infraestructura'!X300</f>
        <v>OPERACIÓN</v>
      </c>
      <c r="H301" s="1">
        <f>+'Maestro infraestructura'!Y300</f>
        <v>2</v>
      </c>
      <c r="I301" s="1"/>
      <c r="J301" s="6">
        <f>+'Maestro infraestructura'!T300</f>
        <v>46563</v>
      </c>
      <c r="K301" s="6">
        <f t="shared" ca="1" si="24"/>
        <v>46563</v>
      </c>
      <c r="L301" s="6"/>
    </row>
    <row r="302" spans="1:12" x14ac:dyDescent="0.2">
      <c r="A302" s="1" t="str">
        <f>+'Maestro infraestructura'!A301</f>
        <v>EDIFICIO PRINCIPAL</v>
      </c>
      <c r="B302" s="1" t="str">
        <f>+'Maestro infraestructura'!B301</f>
        <v>5° Piso</v>
      </c>
      <c r="C302" s="1">
        <f>+'Maestro infraestructura'!C301</f>
        <v>512</v>
      </c>
      <c r="D302" s="1" t="str">
        <f>+'Maestro infraestructura'!F301</f>
        <v>Puertas</v>
      </c>
      <c r="E302" s="25" t="str">
        <f ca="1">+'Maestro infraestructura'!K301</f>
        <v>Activo</v>
      </c>
      <c r="F302" s="1" t="str">
        <f ca="1">+'Maestro infraestructura'!V301</f>
        <v>AL DÍA</v>
      </c>
      <c r="G302" s="1" t="str">
        <f>+'Maestro infraestructura'!X301</f>
        <v>GENERAL</v>
      </c>
      <c r="H302" s="1">
        <f>+'Maestro infraestructura'!Y301</f>
        <v>2</v>
      </c>
      <c r="I302" s="1"/>
      <c r="J302" s="6">
        <f>+'Maestro infraestructura'!T301</f>
        <v>46563</v>
      </c>
      <c r="K302" s="6">
        <f t="shared" ca="1" si="24"/>
        <v>46563</v>
      </c>
      <c r="L302" s="6"/>
    </row>
    <row r="303" spans="1:12" x14ac:dyDescent="0.2">
      <c r="A303" s="1" t="str">
        <f>+'Maestro infraestructura'!A302</f>
        <v>EDIFICIO PRINCIPAL</v>
      </c>
      <c r="B303" s="1" t="str">
        <f>+'Maestro infraestructura'!B302</f>
        <v>5° Piso</v>
      </c>
      <c r="C303" s="1">
        <f>+'Maestro infraestructura'!C302</f>
        <v>513</v>
      </c>
      <c r="D303" s="1" t="str">
        <f>+'Maestro infraestructura'!F302</f>
        <v>Ventanas</v>
      </c>
      <c r="E303" s="25" t="str">
        <f ca="1">+'Maestro infraestructura'!K302</f>
        <v>Activo</v>
      </c>
      <c r="F303" s="1" t="str">
        <f ca="1">+'Maestro infraestructura'!V302</f>
        <v>AL DÍA</v>
      </c>
      <c r="G303" s="1" t="str">
        <f>+'Maestro infraestructura'!X302</f>
        <v>OPERACIÓN</v>
      </c>
      <c r="H303" s="1">
        <f>+'Maestro infraestructura'!Y302</f>
        <v>2</v>
      </c>
      <c r="I303" s="1"/>
      <c r="J303" s="6">
        <f>+'Maestro infraestructura'!T302</f>
        <v>46563</v>
      </c>
      <c r="K303" s="6">
        <f t="shared" ca="1" si="24"/>
        <v>46563</v>
      </c>
      <c r="L303" s="6"/>
    </row>
    <row r="304" spans="1:12" x14ac:dyDescent="0.2">
      <c r="A304" s="1" t="str">
        <f>+'Maestro infraestructura'!A303</f>
        <v>EDIFICIO PRINCIPAL</v>
      </c>
      <c r="B304" s="1" t="str">
        <f>+'Maestro infraestructura'!B303</f>
        <v>5° Piso</v>
      </c>
      <c r="C304" s="1">
        <f>+'Maestro infraestructura'!C303</f>
        <v>513</v>
      </c>
      <c r="D304" s="1" t="str">
        <f>+'Maestro infraestructura'!F303</f>
        <v xml:space="preserve">Baranda </v>
      </c>
      <c r="E304" s="25" t="str">
        <f ca="1">+'Maestro infraestructura'!K303</f>
        <v>Activo</v>
      </c>
      <c r="F304" s="1" t="str">
        <f ca="1">+'Maestro infraestructura'!V303</f>
        <v>AL DÍA</v>
      </c>
      <c r="G304" s="1" t="str">
        <f>+'Maestro infraestructura'!X303</f>
        <v>SEGURIDAD</v>
      </c>
      <c r="H304" s="1">
        <f>+'Maestro infraestructura'!Y303</f>
        <v>1</v>
      </c>
      <c r="I304" s="1"/>
      <c r="J304" s="6">
        <f>+'Maestro infraestructura'!T303</f>
        <v>46563</v>
      </c>
      <c r="K304" s="6">
        <f t="shared" ca="1" si="24"/>
        <v>46563</v>
      </c>
      <c r="L304" s="6"/>
    </row>
    <row r="305" spans="1:12" x14ac:dyDescent="0.2">
      <c r="A305" s="1" t="str">
        <f>+'Maestro infraestructura'!A304</f>
        <v>EDIFICIO PRINCIPAL</v>
      </c>
      <c r="B305" s="1" t="str">
        <f>+'Maestro infraestructura'!B304</f>
        <v>5° Piso</v>
      </c>
      <c r="C305" s="1">
        <f>+'Maestro infraestructura'!C304</f>
        <v>513</v>
      </c>
      <c r="D305" s="1" t="str">
        <f>+'Maestro infraestructura'!F304</f>
        <v>Piso</v>
      </c>
      <c r="E305" s="25" t="str">
        <f ca="1">+'Maestro infraestructura'!K304</f>
        <v>Activo</v>
      </c>
      <c r="F305" s="1" t="str">
        <f ca="1">+'Maestro infraestructura'!V304</f>
        <v>AL DÍA</v>
      </c>
      <c r="G305" s="1" t="str">
        <f>+'Maestro infraestructura'!X304</f>
        <v>GENERAL</v>
      </c>
      <c r="H305" s="1">
        <f>+'Maestro infraestructura'!Y304</f>
        <v>2</v>
      </c>
      <c r="I305" s="1"/>
      <c r="J305" s="6">
        <f>+'Maestro infraestructura'!T304</f>
        <v>46563</v>
      </c>
      <c r="K305" s="6">
        <f t="shared" ca="1" si="24"/>
        <v>46563</v>
      </c>
      <c r="L305" s="6"/>
    </row>
    <row r="306" spans="1:12" x14ac:dyDescent="0.2">
      <c r="A306" s="1" t="str">
        <f>+'Maestro infraestructura'!A305</f>
        <v>EDIFICIO PRINCIPAL</v>
      </c>
      <c r="B306" s="1" t="str">
        <f>+'Maestro infraestructura'!B305</f>
        <v>5° Piso</v>
      </c>
      <c r="C306" s="1">
        <f>+'Maestro infraestructura'!C305</f>
        <v>513</v>
      </c>
      <c r="D306" s="1" t="str">
        <f>+'Maestro infraestructura'!F305</f>
        <v>Enchufes</v>
      </c>
      <c r="E306" s="25" t="str">
        <f ca="1">+'Maestro infraestructura'!K305</f>
        <v>Activo</v>
      </c>
      <c r="F306" s="1" t="str">
        <f ca="1">+'Maestro infraestructura'!V305</f>
        <v>AL DÍA</v>
      </c>
      <c r="G306" s="1" t="str">
        <f>+'Maestro infraestructura'!X305</f>
        <v>GENERAL</v>
      </c>
      <c r="H306" s="1">
        <f>+'Maestro infraestructura'!Y305</f>
        <v>2</v>
      </c>
      <c r="I306" s="1"/>
      <c r="J306" s="6">
        <f>+'Maestro infraestructura'!T305</f>
        <v>46563</v>
      </c>
      <c r="K306" s="6">
        <f t="shared" ca="1" si="24"/>
        <v>46563</v>
      </c>
      <c r="L306" s="6"/>
    </row>
    <row r="307" spans="1:12" x14ac:dyDescent="0.2">
      <c r="A307" s="1" t="str">
        <f>+'Maestro infraestructura'!A306</f>
        <v>EDIFICIO PRINCIPAL</v>
      </c>
      <c r="B307" s="1" t="str">
        <f>+'Maestro infraestructura'!B306</f>
        <v>5° Piso</v>
      </c>
      <c r="C307" s="1">
        <f>+'Maestro infraestructura'!C306</f>
        <v>513</v>
      </c>
      <c r="D307" s="1" t="str">
        <f>+'Maestro infraestructura'!F306</f>
        <v>TV</v>
      </c>
      <c r="E307" s="25" t="str">
        <f ca="1">+'Maestro infraestructura'!K306</f>
        <v>Activo</v>
      </c>
      <c r="F307" s="1" t="str">
        <f ca="1">+'Maestro infraestructura'!V306</f>
        <v>AL DÍA</v>
      </c>
      <c r="G307" s="1" t="str">
        <f>+'Maestro infraestructura'!X306</f>
        <v>OPERACIÓN</v>
      </c>
      <c r="H307" s="1">
        <f>+'Maestro infraestructura'!Y306</f>
        <v>2</v>
      </c>
      <c r="I307" s="1"/>
      <c r="J307" s="6">
        <f>+'Maestro infraestructura'!T306</f>
        <v>46563</v>
      </c>
      <c r="K307" s="6">
        <f t="shared" ca="1" si="24"/>
        <v>46563</v>
      </c>
      <c r="L307" s="6"/>
    </row>
    <row r="308" spans="1:12" x14ac:dyDescent="0.2">
      <c r="A308" s="1" t="str">
        <f>+'Maestro infraestructura'!A307</f>
        <v>EDIFICIO PRINCIPAL</v>
      </c>
      <c r="B308" s="1" t="str">
        <f>+'Maestro infraestructura'!B307</f>
        <v>5° Piso</v>
      </c>
      <c r="C308" s="1">
        <f>+'Maestro infraestructura'!C307</f>
        <v>513</v>
      </c>
      <c r="D308" s="1" t="str">
        <f>+'Maestro infraestructura'!F307</f>
        <v>Pizarra</v>
      </c>
      <c r="E308" s="25" t="str">
        <f ca="1">+'Maestro infraestructura'!K307</f>
        <v>Activo</v>
      </c>
      <c r="F308" s="1" t="str">
        <f ca="1">+'Maestro infraestructura'!V307</f>
        <v>AL DÍA</v>
      </c>
      <c r="G308" s="1" t="str">
        <f>+'Maestro infraestructura'!X307</f>
        <v>OPERACIÓN</v>
      </c>
      <c r="H308" s="1">
        <f>+'Maestro infraestructura'!Y307</f>
        <v>2</v>
      </c>
      <c r="I308" s="1"/>
      <c r="J308" s="6">
        <f>+'Maestro infraestructura'!T307</f>
        <v>46563</v>
      </c>
      <c r="K308" s="6">
        <f t="shared" ca="1" si="24"/>
        <v>46563</v>
      </c>
      <c r="L308" s="6"/>
    </row>
    <row r="309" spans="1:12" x14ac:dyDescent="0.2">
      <c r="A309" s="1" t="str">
        <f>+'Maestro infraestructura'!A308</f>
        <v>EDIFICIO PRINCIPAL</v>
      </c>
      <c r="B309" s="1" t="str">
        <f>+'Maestro infraestructura'!B308</f>
        <v>5° Piso</v>
      </c>
      <c r="C309" s="1">
        <f>+'Maestro infraestructura'!C308</f>
        <v>513</v>
      </c>
      <c r="D309" s="1" t="str">
        <f>+'Maestro infraestructura'!F308</f>
        <v>Puertas</v>
      </c>
      <c r="E309" s="25" t="str">
        <f ca="1">+'Maestro infraestructura'!K308</f>
        <v>Activo</v>
      </c>
      <c r="F309" s="1" t="str">
        <f ca="1">+'Maestro infraestructura'!V308</f>
        <v>AL DÍA</v>
      </c>
      <c r="G309" s="1" t="str">
        <f>+'Maestro infraestructura'!X308</f>
        <v>GENERAL</v>
      </c>
      <c r="H309" s="1">
        <f>+'Maestro infraestructura'!Y308</f>
        <v>2</v>
      </c>
      <c r="I309" s="1"/>
      <c r="J309" s="6">
        <f>+'Maestro infraestructura'!T308</f>
        <v>46563</v>
      </c>
      <c r="K309" s="6">
        <f t="shared" ca="1" si="24"/>
        <v>46563</v>
      </c>
      <c r="L309" s="6"/>
    </row>
    <row r="310" spans="1:12" x14ac:dyDescent="0.2">
      <c r="A310" s="1" t="str">
        <f>+'Maestro infraestructura'!A309</f>
        <v>EDIFICIO PRINCIPAL</v>
      </c>
      <c r="B310" s="1" t="str">
        <f>+'Maestro infraestructura'!B309</f>
        <v>5° Piso</v>
      </c>
      <c r="C310" s="1">
        <f>+'Maestro infraestructura'!C309</f>
        <v>515</v>
      </c>
      <c r="D310" s="1" t="str">
        <f>+'Maestro infraestructura'!F309</f>
        <v>Ventanas</v>
      </c>
      <c r="E310" s="25" t="str">
        <f ca="1">+'Maestro infraestructura'!K309</f>
        <v>Activo</v>
      </c>
      <c r="F310" s="1" t="str">
        <f ca="1">+'Maestro infraestructura'!V309</f>
        <v>AL DÍA</v>
      </c>
      <c r="G310" s="1" t="str">
        <f>+'Maestro infraestructura'!X309</f>
        <v>OPERACIÓN</v>
      </c>
      <c r="H310" s="1">
        <f>+'Maestro infraestructura'!Y309</f>
        <v>2</v>
      </c>
      <c r="I310" s="1"/>
      <c r="J310" s="6">
        <f>+'Maestro infraestructura'!T309</f>
        <v>46563</v>
      </c>
      <c r="K310" s="6">
        <f t="shared" ca="1" si="24"/>
        <v>46563</v>
      </c>
      <c r="L310" s="6"/>
    </row>
    <row r="311" spans="1:12" x14ac:dyDescent="0.2">
      <c r="A311" s="1" t="str">
        <f>+'Maestro infraestructura'!A310</f>
        <v>EDIFICIO PRINCIPAL</v>
      </c>
      <c r="B311" s="1" t="str">
        <f>+'Maestro infraestructura'!B310</f>
        <v>5° Piso</v>
      </c>
      <c r="C311" s="1">
        <f>+'Maestro infraestructura'!C310</f>
        <v>515</v>
      </c>
      <c r="D311" s="1" t="str">
        <f>+'Maestro infraestructura'!F310</f>
        <v xml:space="preserve">Baranda </v>
      </c>
      <c r="E311" s="25" t="str">
        <f ca="1">+'Maestro infraestructura'!K310</f>
        <v>Activo</v>
      </c>
      <c r="F311" s="1" t="str">
        <f ca="1">+'Maestro infraestructura'!V310</f>
        <v>AL DÍA</v>
      </c>
      <c r="G311" s="1" t="str">
        <f>+'Maestro infraestructura'!X310</f>
        <v>SEGURIDAD</v>
      </c>
      <c r="H311" s="1">
        <f>+'Maestro infraestructura'!Y310</f>
        <v>1</v>
      </c>
      <c r="I311" s="1"/>
      <c r="J311" s="6">
        <f>+'Maestro infraestructura'!T310</f>
        <v>46563</v>
      </c>
      <c r="K311" s="6">
        <f t="shared" ca="1" si="24"/>
        <v>46563</v>
      </c>
      <c r="L311" s="6"/>
    </row>
    <row r="312" spans="1:12" x14ac:dyDescent="0.2">
      <c r="A312" s="1" t="str">
        <f>+'Maestro infraestructura'!A311</f>
        <v>EDIFICIO PRINCIPAL</v>
      </c>
      <c r="B312" s="1" t="str">
        <f>+'Maestro infraestructura'!B311</f>
        <v>5° Piso</v>
      </c>
      <c r="C312" s="1">
        <f>+'Maestro infraestructura'!C311</f>
        <v>515</v>
      </c>
      <c r="D312" s="1" t="str">
        <f>+'Maestro infraestructura'!F311</f>
        <v>Piso</v>
      </c>
      <c r="E312" s="25" t="str">
        <f ca="1">+'Maestro infraestructura'!K311</f>
        <v>Activo</v>
      </c>
      <c r="F312" s="1" t="str">
        <f ca="1">+'Maestro infraestructura'!V311</f>
        <v>AL DÍA</v>
      </c>
      <c r="G312" s="1" t="str">
        <f>+'Maestro infraestructura'!X311</f>
        <v>GENERAL</v>
      </c>
      <c r="H312" s="1">
        <f>+'Maestro infraestructura'!Y311</f>
        <v>2</v>
      </c>
      <c r="I312" s="1"/>
      <c r="J312" s="6">
        <f>+'Maestro infraestructura'!T311</f>
        <v>46563</v>
      </c>
      <c r="K312" s="6">
        <f t="shared" ca="1" si="24"/>
        <v>46563</v>
      </c>
      <c r="L312" s="6"/>
    </row>
    <row r="313" spans="1:12" x14ac:dyDescent="0.2">
      <c r="A313" s="1" t="str">
        <f>+'Maestro infraestructura'!A312</f>
        <v>EDIFICIO PRINCIPAL</v>
      </c>
      <c r="B313" s="1" t="str">
        <f>+'Maestro infraestructura'!B312</f>
        <v>5° Piso</v>
      </c>
      <c r="C313" s="1">
        <f>+'Maestro infraestructura'!C312</f>
        <v>515</v>
      </c>
      <c r="D313" s="1" t="str">
        <f>+'Maestro infraestructura'!F312</f>
        <v>Enchufes</v>
      </c>
      <c r="E313" s="25" t="str">
        <f ca="1">+'Maestro infraestructura'!K312</f>
        <v>Activo</v>
      </c>
      <c r="F313" s="1" t="str">
        <f ca="1">+'Maestro infraestructura'!V312</f>
        <v>AL DÍA</v>
      </c>
      <c r="G313" s="1" t="str">
        <f>+'Maestro infraestructura'!X312</f>
        <v>GENERAL</v>
      </c>
      <c r="H313" s="1">
        <f>+'Maestro infraestructura'!Y312</f>
        <v>2</v>
      </c>
      <c r="I313" s="1"/>
      <c r="J313" s="6">
        <f>+'Maestro infraestructura'!T312</f>
        <v>46563</v>
      </c>
      <c r="K313" s="6">
        <f t="shared" ca="1" si="24"/>
        <v>46563</v>
      </c>
      <c r="L313" s="6"/>
    </row>
    <row r="314" spans="1:12" x14ac:dyDescent="0.2">
      <c r="A314" s="1" t="str">
        <f>+'Maestro infraestructura'!A313</f>
        <v>EDIFICIO PRINCIPAL</v>
      </c>
      <c r="B314" s="1" t="str">
        <f>+'Maestro infraestructura'!B313</f>
        <v>5° Piso</v>
      </c>
      <c r="C314" s="1">
        <f>+'Maestro infraestructura'!C313</f>
        <v>515</v>
      </c>
      <c r="D314" s="1" t="str">
        <f>+'Maestro infraestructura'!F313</f>
        <v>TV</v>
      </c>
      <c r="E314" s="25" t="str">
        <f ca="1">+'Maestro infraestructura'!K313</f>
        <v>Activo</v>
      </c>
      <c r="F314" s="1" t="str">
        <f ca="1">+'Maestro infraestructura'!V313</f>
        <v>AL DÍA</v>
      </c>
      <c r="G314" s="1" t="str">
        <f>+'Maestro infraestructura'!X313</f>
        <v>OPERACIÓN</v>
      </c>
      <c r="H314" s="1">
        <f>+'Maestro infraestructura'!Y313</f>
        <v>2</v>
      </c>
      <c r="I314" s="1"/>
      <c r="J314" s="6">
        <f>+'Maestro infraestructura'!T313</f>
        <v>46563</v>
      </c>
      <c r="K314" s="6">
        <f t="shared" ca="1" si="24"/>
        <v>46563</v>
      </c>
      <c r="L314" s="6"/>
    </row>
    <row r="315" spans="1:12" x14ac:dyDescent="0.2">
      <c r="A315" s="1" t="str">
        <f>+'Maestro infraestructura'!A314</f>
        <v>EDIFICIO PRINCIPAL</v>
      </c>
      <c r="B315" s="1" t="str">
        <f>+'Maestro infraestructura'!B314</f>
        <v>5° Piso</v>
      </c>
      <c r="C315" s="1">
        <f>+'Maestro infraestructura'!C314</f>
        <v>515</v>
      </c>
      <c r="D315" s="1" t="str">
        <f>+'Maestro infraestructura'!F314</f>
        <v>Pizarra</v>
      </c>
      <c r="E315" s="25" t="str">
        <f ca="1">+'Maestro infraestructura'!K314</f>
        <v>Activo</v>
      </c>
      <c r="F315" s="1" t="str">
        <f ca="1">+'Maestro infraestructura'!V314</f>
        <v>AL DÍA</v>
      </c>
      <c r="G315" s="1" t="str">
        <f>+'Maestro infraestructura'!X314</f>
        <v>OPERACIÓN</v>
      </c>
      <c r="H315" s="1">
        <f>+'Maestro infraestructura'!Y314</f>
        <v>2</v>
      </c>
      <c r="I315" s="1"/>
      <c r="J315" s="6">
        <f>+'Maestro infraestructura'!T314</f>
        <v>46563</v>
      </c>
      <c r="K315" s="6">
        <f t="shared" ca="1" si="24"/>
        <v>46563</v>
      </c>
      <c r="L315" s="6"/>
    </row>
    <row r="316" spans="1:12" x14ac:dyDescent="0.2">
      <c r="A316" s="1" t="str">
        <f>+'Maestro infraestructura'!A315</f>
        <v>EDIFICIO PRINCIPAL</v>
      </c>
      <c r="B316" s="1" t="str">
        <f>+'Maestro infraestructura'!B315</f>
        <v>5° Piso</v>
      </c>
      <c r="C316" s="1">
        <f>+'Maestro infraestructura'!C315</f>
        <v>515</v>
      </c>
      <c r="D316" s="1" t="str">
        <f>+'Maestro infraestructura'!F315</f>
        <v>Puertas</v>
      </c>
      <c r="E316" s="25" t="str">
        <f ca="1">+'Maestro infraestructura'!K315</f>
        <v>Activo</v>
      </c>
      <c r="F316" s="1" t="str">
        <f ca="1">+'Maestro infraestructura'!V315</f>
        <v>AL DÍA</v>
      </c>
      <c r="G316" s="1" t="str">
        <f>+'Maestro infraestructura'!X315</f>
        <v>GENERAL</v>
      </c>
      <c r="H316" s="1">
        <f>+'Maestro infraestructura'!Y315</f>
        <v>2</v>
      </c>
      <c r="I316" s="1"/>
      <c r="J316" s="6">
        <f>+'Maestro infraestructura'!T315</f>
        <v>46563</v>
      </c>
      <c r="K316" s="6">
        <f t="shared" ca="1" si="24"/>
        <v>46563</v>
      </c>
      <c r="L316" s="6"/>
    </row>
    <row r="317" spans="1:12" x14ac:dyDescent="0.2">
      <c r="A317" s="1" t="str">
        <f>+'Maestro infraestructura'!A316</f>
        <v>EDIFICIO PRINCIPAL</v>
      </c>
      <c r="B317" s="1" t="str">
        <f>+'Maestro infraestructura'!B316</f>
        <v>5° Piso</v>
      </c>
      <c r="C317" s="1">
        <f>+'Maestro infraestructura'!C316</f>
        <v>516</v>
      </c>
      <c r="D317" s="1" t="str">
        <f>+'Maestro infraestructura'!F316</f>
        <v>Ventanas</v>
      </c>
      <c r="E317" s="25" t="str">
        <f ca="1">+'Maestro infraestructura'!K316</f>
        <v>Activo</v>
      </c>
      <c r="F317" s="1" t="str">
        <f ca="1">+'Maestro infraestructura'!V316</f>
        <v>AL DÍA</v>
      </c>
      <c r="G317" s="1" t="str">
        <f>+'Maestro infraestructura'!X316</f>
        <v>OPERACIÓN</v>
      </c>
      <c r="H317" s="1">
        <f>+'Maestro infraestructura'!Y316</f>
        <v>2</v>
      </c>
      <c r="I317" s="1"/>
      <c r="J317" s="6">
        <f>+'Maestro infraestructura'!T316</f>
        <v>46563</v>
      </c>
      <c r="K317" s="6">
        <f t="shared" ca="1" si="24"/>
        <v>46563</v>
      </c>
      <c r="L317" s="6"/>
    </row>
    <row r="318" spans="1:12" x14ac:dyDescent="0.2">
      <c r="A318" s="1" t="str">
        <f>+'Maestro infraestructura'!A317</f>
        <v>EDIFICIO PRINCIPAL</v>
      </c>
      <c r="B318" s="1" t="str">
        <f>+'Maestro infraestructura'!B317</f>
        <v>5° Piso</v>
      </c>
      <c r="C318" s="1">
        <f>+'Maestro infraestructura'!C317</f>
        <v>516</v>
      </c>
      <c r="D318" s="1" t="str">
        <f>+'Maestro infraestructura'!F317</f>
        <v xml:space="preserve">Baranda </v>
      </c>
      <c r="E318" s="25" t="str">
        <f ca="1">+'Maestro infraestructura'!K317</f>
        <v>Activo</v>
      </c>
      <c r="F318" s="1" t="str">
        <f ca="1">+'Maestro infraestructura'!V317</f>
        <v>AL DÍA</v>
      </c>
      <c r="G318" s="1" t="str">
        <f>+'Maestro infraestructura'!X317</f>
        <v>SEGURIDAD</v>
      </c>
      <c r="H318" s="1">
        <f>+'Maestro infraestructura'!Y317</f>
        <v>1</v>
      </c>
      <c r="I318" s="1"/>
      <c r="J318" s="6">
        <f>+'Maestro infraestructura'!T317</f>
        <v>46563</v>
      </c>
      <c r="K318" s="6">
        <f t="shared" ca="1" si="24"/>
        <v>46563</v>
      </c>
      <c r="L318" s="6"/>
    </row>
    <row r="319" spans="1:12" x14ac:dyDescent="0.2">
      <c r="A319" s="1" t="str">
        <f>+'Maestro infraestructura'!A318</f>
        <v>EDIFICIO PRINCIPAL</v>
      </c>
      <c r="B319" s="1" t="str">
        <f>+'Maestro infraestructura'!B318</f>
        <v>5° Piso</v>
      </c>
      <c r="C319" s="1">
        <f>+'Maestro infraestructura'!C318</f>
        <v>516</v>
      </c>
      <c r="D319" s="1" t="str">
        <f>+'Maestro infraestructura'!F318</f>
        <v>Piso</v>
      </c>
      <c r="E319" s="25" t="str">
        <f ca="1">+'Maestro infraestructura'!K318</f>
        <v>Activo</v>
      </c>
      <c r="F319" s="1" t="str">
        <f ca="1">+'Maestro infraestructura'!V318</f>
        <v>AL DÍA</v>
      </c>
      <c r="G319" s="1" t="str">
        <f>+'Maestro infraestructura'!X318</f>
        <v>GENERAL</v>
      </c>
      <c r="H319" s="1">
        <f>+'Maestro infraestructura'!Y318</f>
        <v>2</v>
      </c>
      <c r="I319" s="1"/>
      <c r="J319" s="6">
        <f>+'Maestro infraestructura'!T318</f>
        <v>46563</v>
      </c>
      <c r="K319" s="6">
        <f t="shared" ca="1" si="24"/>
        <v>46563</v>
      </c>
      <c r="L319" s="6"/>
    </row>
    <row r="320" spans="1:12" x14ac:dyDescent="0.2">
      <c r="A320" s="1" t="str">
        <f>+'Maestro infraestructura'!A319</f>
        <v>EDIFICIO PRINCIPAL</v>
      </c>
      <c r="B320" s="1" t="str">
        <f>+'Maestro infraestructura'!B319</f>
        <v>5° Piso</v>
      </c>
      <c r="C320" s="1">
        <f>+'Maestro infraestructura'!C319</f>
        <v>516</v>
      </c>
      <c r="D320" s="1" t="str">
        <f>+'Maestro infraestructura'!F319</f>
        <v>Enchufes</v>
      </c>
      <c r="E320" s="25" t="str">
        <f ca="1">+'Maestro infraestructura'!K319</f>
        <v>Activo</v>
      </c>
      <c r="F320" s="1" t="str">
        <f ca="1">+'Maestro infraestructura'!V319</f>
        <v>AL DÍA</v>
      </c>
      <c r="G320" s="1" t="str">
        <f>+'Maestro infraestructura'!X319</f>
        <v>GENERAL</v>
      </c>
      <c r="H320" s="1">
        <f>+'Maestro infraestructura'!Y319</f>
        <v>2</v>
      </c>
      <c r="I320" s="1"/>
      <c r="J320" s="6">
        <f>+'Maestro infraestructura'!T319</f>
        <v>46563</v>
      </c>
      <c r="K320" s="6">
        <f t="shared" ca="1" si="24"/>
        <v>46563</v>
      </c>
      <c r="L320" s="6"/>
    </row>
    <row r="321" spans="1:12" x14ac:dyDescent="0.2">
      <c r="A321" s="1" t="str">
        <f>+'Maestro infraestructura'!A320</f>
        <v>EDIFICIO PRINCIPAL</v>
      </c>
      <c r="B321" s="1" t="str">
        <f>+'Maestro infraestructura'!B320</f>
        <v>5° Piso</v>
      </c>
      <c r="C321" s="1">
        <f>+'Maestro infraestructura'!C320</f>
        <v>516</v>
      </c>
      <c r="D321" s="1" t="str">
        <f>+'Maestro infraestructura'!F320</f>
        <v>TV</v>
      </c>
      <c r="E321" s="25" t="str">
        <f ca="1">+'Maestro infraestructura'!K320</f>
        <v>Activo</v>
      </c>
      <c r="F321" s="1" t="str">
        <f ca="1">+'Maestro infraestructura'!V320</f>
        <v>AL DÍA</v>
      </c>
      <c r="G321" s="1" t="str">
        <f>+'Maestro infraestructura'!X320</f>
        <v>OPERACIÓN</v>
      </c>
      <c r="H321" s="1">
        <f>+'Maestro infraestructura'!Y320</f>
        <v>2</v>
      </c>
      <c r="I321" s="1"/>
      <c r="J321" s="6">
        <f>+'Maestro infraestructura'!T320</f>
        <v>46563</v>
      </c>
      <c r="K321" s="6">
        <f t="shared" ca="1" si="24"/>
        <v>46563</v>
      </c>
      <c r="L321" s="6"/>
    </row>
    <row r="322" spans="1:12" x14ac:dyDescent="0.2">
      <c r="A322" s="1" t="str">
        <f>+'Maestro infraestructura'!A321</f>
        <v>EDIFICIO PRINCIPAL</v>
      </c>
      <c r="B322" s="1" t="str">
        <f>+'Maestro infraestructura'!B321</f>
        <v>5° Piso</v>
      </c>
      <c r="C322" s="1">
        <f>+'Maestro infraestructura'!C321</f>
        <v>516</v>
      </c>
      <c r="D322" s="1" t="str">
        <f>+'Maestro infraestructura'!F321</f>
        <v>Pizarra</v>
      </c>
      <c r="E322" s="25" t="str">
        <f ca="1">+'Maestro infraestructura'!K321</f>
        <v>Activo</v>
      </c>
      <c r="F322" s="1" t="str">
        <f ca="1">+'Maestro infraestructura'!V321</f>
        <v>AL DÍA</v>
      </c>
      <c r="G322" s="1" t="str">
        <f>+'Maestro infraestructura'!X321</f>
        <v>OPERACIÓN</v>
      </c>
      <c r="H322" s="1">
        <f>+'Maestro infraestructura'!Y321</f>
        <v>2</v>
      </c>
      <c r="I322" s="1"/>
      <c r="J322" s="6">
        <f>+'Maestro infraestructura'!T321</f>
        <v>46563</v>
      </c>
      <c r="K322" s="6">
        <f t="shared" ca="1" si="24"/>
        <v>46563</v>
      </c>
      <c r="L322" s="6"/>
    </row>
    <row r="323" spans="1:12" x14ac:dyDescent="0.2">
      <c r="A323" s="1" t="str">
        <f>+'Maestro infraestructura'!A322</f>
        <v>EDIFICIO PRINCIPAL</v>
      </c>
      <c r="B323" s="1" t="str">
        <f>+'Maestro infraestructura'!B322</f>
        <v>5° Piso</v>
      </c>
      <c r="C323" s="1">
        <f>+'Maestro infraestructura'!C322</f>
        <v>516</v>
      </c>
      <c r="D323" s="1" t="str">
        <f>+'Maestro infraestructura'!F322</f>
        <v>Puertas</v>
      </c>
      <c r="E323" s="25" t="str">
        <f ca="1">+'Maestro infraestructura'!K322</f>
        <v>Activo</v>
      </c>
      <c r="F323" s="1" t="str">
        <f ca="1">+'Maestro infraestructura'!V322</f>
        <v>AL DÍA</v>
      </c>
      <c r="G323" s="1" t="str">
        <f>+'Maestro infraestructura'!X322</f>
        <v>GENERAL</v>
      </c>
      <c r="H323" s="1">
        <f>+'Maestro infraestructura'!Y322</f>
        <v>2</v>
      </c>
      <c r="I323" s="1"/>
      <c r="J323" s="6">
        <f>+'Maestro infraestructura'!T322</f>
        <v>46563</v>
      </c>
      <c r="K323" s="6">
        <f t="shared" ca="1" si="24"/>
        <v>46563</v>
      </c>
      <c r="L323" s="6"/>
    </row>
    <row r="324" spans="1:12" x14ac:dyDescent="0.2">
      <c r="A324" s="1" t="str">
        <f>+'Maestro infraestructura'!A323</f>
        <v>EDIFICIO PRINCIPAL</v>
      </c>
      <c r="B324" s="1" t="str">
        <f>+'Maestro infraestructura'!B323</f>
        <v>5° Piso</v>
      </c>
      <c r="C324" s="1">
        <f>+'Maestro infraestructura'!C323</f>
        <v>522</v>
      </c>
      <c r="D324" s="1" t="str">
        <f>+'Maestro infraestructura'!F323</f>
        <v>Ventanas</v>
      </c>
      <c r="E324" s="25" t="str">
        <f ca="1">+'Maestro infraestructura'!K323</f>
        <v>Activo</v>
      </c>
      <c r="F324" s="1" t="str">
        <f ca="1">+'Maestro infraestructura'!V323</f>
        <v>AL DÍA</v>
      </c>
      <c r="G324" s="1" t="str">
        <f>+'Maestro infraestructura'!X323</f>
        <v>OPERACIÓN</v>
      </c>
      <c r="H324" s="1">
        <f>+'Maestro infraestructura'!Y323</f>
        <v>2</v>
      </c>
      <c r="I324" s="1"/>
      <c r="J324" s="6">
        <f>+'Maestro infraestructura'!T323</f>
        <v>46563</v>
      </c>
      <c r="K324" s="6">
        <f t="shared" ref="K324:K387" ca="1" si="25">IF(E324="Cambiar o Inspección externa",1/1/2027,IF(E324="cambiar",1/1/2027,J324))</f>
        <v>46563</v>
      </c>
      <c r="L324" s="6"/>
    </row>
    <row r="325" spans="1:12" x14ac:dyDescent="0.2">
      <c r="A325" s="1" t="str">
        <f>+'Maestro infraestructura'!A324</f>
        <v>EDIFICIO PRINCIPAL</v>
      </c>
      <c r="B325" s="1" t="str">
        <f>+'Maestro infraestructura'!B324</f>
        <v>5° Piso</v>
      </c>
      <c r="C325" s="1">
        <f>+'Maestro infraestructura'!C324</f>
        <v>522</v>
      </c>
      <c r="D325" s="1" t="str">
        <f>+'Maestro infraestructura'!F324</f>
        <v xml:space="preserve">Baranda </v>
      </c>
      <c r="E325" s="25" t="str">
        <f ca="1">+'Maestro infraestructura'!K324</f>
        <v>Activo</v>
      </c>
      <c r="F325" s="1" t="str">
        <f ca="1">+'Maestro infraestructura'!V324</f>
        <v>AL DÍA</v>
      </c>
      <c r="G325" s="1" t="str">
        <f>+'Maestro infraestructura'!X324</f>
        <v>SEGURIDAD</v>
      </c>
      <c r="H325" s="1">
        <f>+'Maestro infraestructura'!Y324</f>
        <v>1</v>
      </c>
      <c r="I325" s="1"/>
      <c r="J325" s="6">
        <f>+'Maestro infraestructura'!T324</f>
        <v>46563</v>
      </c>
      <c r="K325" s="6">
        <f t="shared" ca="1" si="25"/>
        <v>46563</v>
      </c>
      <c r="L325" s="6"/>
    </row>
    <row r="326" spans="1:12" x14ac:dyDescent="0.2">
      <c r="A326" s="1" t="str">
        <f>+'Maestro infraestructura'!A325</f>
        <v>EDIFICIO PRINCIPAL</v>
      </c>
      <c r="B326" s="1" t="str">
        <f>+'Maestro infraestructura'!B325</f>
        <v>5° Piso</v>
      </c>
      <c r="C326" s="1">
        <f>+'Maestro infraestructura'!C325</f>
        <v>522</v>
      </c>
      <c r="D326" s="1" t="str">
        <f>+'Maestro infraestructura'!F325</f>
        <v>Piso</v>
      </c>
      <c r="E326" s="25" t="str">
        <f ca="1">+'Maestro infraestructura'!K325</f>
        <v>Activo</v>
      </c>
      <c r="F326" s="1" t="str">
        <f ca="1">+'Maestro infraestructura'!V325</f>
        <v>AL DÍA</v>
      </c>
      <c r="G326" s="1" t="str">
        <f>+'Maestro infraestructura'!X325</f>
        <v>GENERAL</v>
      </c>
      <c r="H326" s="1">
        <f>+'Maestro infraestructura'!Y325</f>
        <v>2</v>
      </c>
      <c r="I326" s="1"/>
      <c r="J326" s="6">
        <f>+'Maestro infraestructura'!T325</f>
        <v>46563</v>
      </c>
      <c r="K326" s="6">
        <f t="shared" ca="1" si="25"/>
        <v>46563</v>
      </c>
      <c r="L326" s="6"/>
    </row>
    <row r="327" spans="1:12" x14ac:dyDescent="0.2">
      <c r="A327" s="1" t="str">
        <f>+'Maestro infraestructura'!A326</f>
        <v>EDIFICIO PRINCIPAL</v>
      </c>
      <c r="B327" s="1" t="str">
        <f>+'Maestro infraestructura'!B326</f>
        <v>5° Piso</v>
      </c>
      <c r="C327" s="1">
        <f>+'Maestro infraestructura'!C326</f>
        <v>522</v>
      </c>
      <c r="D327" s="1" t="str">
        <f>+'Maestro infraestructura'!F326</f>
        <v>Enchufes</v>
      </c>
      <c r="E327" s="25" t="str">
        <f ca="1">+'Maestro infraestructura'!K326</f>
        <v>Activo</v>
      </c>
      <c r="F327" s="1" t="str">
        <f ca="1">+'Maestro infraestructura'!V326</f>
        <v>AL DÍA</v>
      </c>
      <c r="G327" s="1" t="str">
        <f>+'Maestro infraestructura'!X326</f>
        <v>GENERAL</v>
      </c>
      <c r="H327" s="1">
        <f>+'Maestro infraestructura'!Y326</f>
        <v>2</v>
      </c>
      <c r="I327" s="1"/>
      <c r="J327" s="6">
        <f>+'Maestro infraestructura'!T326</f>
        <v>46563</v>
      </c>
      <c r="K327" s="6">
        <f t="shared" ca="1" si="25"/>
        <v>46563</v>
      </c>
      <c r="L327" s="6"/>
    </row>
    <row r="328" spans="1:12" x14ac:dyDescent="0.2">
      <c r="A328" s="1" t="str">
        <f>+'Maestro infraestructura'!A327</f>
        <v>EDIFICIO PRINCIPAL</v>
      </c>
      <c r="B328" s="1" t="str">
        <f>+'Maestro infraestructura'!B327</f>
        <v>5° Piso</v>
      </c>
      <c r="C328" s="1">
        <f>+'Maestro infraestructura'!C327</f>
        <v>522</v>
      </c>
      <c r="D328" s="1" t="str">
        <f>+'Maestro infraestructura'!F327</f>
        <v>TV</v>
      </c>
      <c r="E328" s="25" t="str">
        <f ca="1">+'Maestro infraestructura'!K327</f>
        <v>Activo</v>
      </c>
      <c r="F328" s="1" t="str">
        <f ca="1">+'Maestro infraestructura'!V327</f>
        <v>AL DÍA</v>
      </c>
      <c r="G328" s="1" t="str">
        <f>+'Maestro infraestructura'!X327</f>
        <v>OPERACIÓN</v>
      </c>
      <c r="H328" s="1">
        <f>+'Maestro infraestructura'!Y327</f>
        <v>2</v>
      </c>
      <c r="I328" s="1"/>
      <c r="J328" s="6">
        <f>+'Maestro infraestructura'!T327</f>
        <v>46563</v>
      </c>
      <c r="K328" s="6">
        <f t="shared" ca="1" si="25"/>
        <v>46563</v>
      </c>
      <c r="L328" s="6"/>
    </row>
    <row r="329" spans="1:12" x14ac:dyDescent="0.2">
      <c r="A329" s="1" t="str">
        <f>+'Maestro infraestructura'!A328</f>
        <v>EDIFICIO PRINCIPAL</v>
      </c>
      <c r="B329" s="1" t="str">
        <f>+'Maestro infraestructura'!B328</f>
        <v>5° Piso</v>
      </c>
      <c r="C329" s="1">
        <f>+'Maestro infraestructura'!C328</f>
        <v>522</v>
      </c>
      <c r="D329" s="1" t="str">
        <f>+'Maestro infraestructura'!F328</f>
        <v>Pizarra</v>
      </c>
      <c r="E329" s="25" t="str">
        <f ca="1">+'Maestro infraestructura'!K328</f>
        <v>Activo</v>
      </c>
      <c r="F329" s="1" t="str">
        <f ca="1">+'Maestro infraestructura'!V328</f>
        <v>AL DÍA</v>
      </c>
      <c r="G329" s="1" t="str">
        <f>+'Maestro infraestructura'!X328</f>
        <v>OPERACIÓN</v>
      </c>
      <c r="H329" s="1">
        <f>+'Maestro infraestructura'!Y328</f>
        <v>2</v>
      </c>
      <c r="I329" s="1"/>
      <c r="J329" s="6">
        <f>+'Maestro infraestructura'!T328</f>
        <v>46563</v>
      </c>
      <c r="K329" s="6">
        <f t="shared" ca="1" si="25"/>
        <v>46563</v>
      </c>
      <c r="L329" s="6"/>
    </row>
    <row r="330" spans="1:12" x14ac:dyDescent="0.2">
      <c r="A330" s="1" t="str">
        <f>+'Maestro infraestructura'!A329</f>
        <v>EDIFICIO PRINCIPAL</v>
      </c>
      <c r="B330" s="1" t="str">
        <f>+'Maestro infraestructura'!B329</f>
        <v>5° Piso</v>
      </c>
      <c r="C330" s="1">
        <f>+'Maestro infraestructura'!C329</f>
        <v>522</v>
      </c>
      <c r="D330" s="1" t="str">
        <f>+'Maestro infraestructura'!F329</f>
        <v>Puertas</v>
      </c>
      <c r="E330" s="25" t="str">
        <f ca="1">+'Maestro infraestructura'!K329</f>
        <v>Activo</v>
      </c>
      <c r="F330" s="1" t="str">
        <f ca="1">+'Maestro infraestructura'!V329</f>
        <v>AL DÍA</v>
      </c>
      <c r="G330" s="1" t="str">
        <f>+'Maestro infraestructura'!X329</f>
        <v>GENERAL</v>
      </c>
      <c r="H330" s="1">
        <f>+'Maestro infraestructura'!Y329</f>
        <v>2</v>
      </c>
      <c r="I330" s="1"/>
      <c r="J330" s="6">
        <f>+'Maestro infraestructura'!T329</f>
        <v>46563</v>
      </c>
      <c r="K330" s="6">
        <f t="shared" ca="1" si="25"/>
        <v>46563</v>
      </c>
      <c r="L330" s="6"/>
    </row>
    <row r="331" spans="1:12" x14ac:dyDescent="0.2">
      <c r="A331" s="1" t="str">
        <f>+'Maestro infraestructura'!A330</f>
        <v>EDIFICIO PRINCIPAL</v>
      </c>
      <c r="B331" s="1" t="str">
        <f>+'Maestro infraestructura'!B330</f>
        <v>5° Piso</v>
      </c>
      <c r="C331" s="1">
        <f>+'Maestro infraestructura'!C330</f>
        <v>523</v>
      </c>
      <c r="D331" s="1" t="str">
        <f>+'Maestro infraestructura'!F330</f>
        <v>Ventanas</v>
      </c>
      <c r="E331" s="25" t="str">
        <f ca="1">+'Maestro infraestructura'!K330</f>
        <v>Activo</v>
      </c>
      <c r="F331" s="1" t="str">
        <f ca="1">+'Maestro infraestructura'!V330</f>
        <v>AL DÍA</v>
      </c>
      <c r="G331" s="1" t="str">
        <f>+'Maestro infraestructura'!X330</f>
        <v>OPERACIÓN</v>
      </c>
      <c r="H331" s="1">
        <f>+'Maestro infraestructura'!Y330</f>
        <v>2</v>
      </c>
      <c r="I331" s="1"/>
      <c r="J331" s="6">
        <f>+'Maestro infraestructura'!T330</f>
        <v>46563</v>
      </c>
      <c r="K331" s="6">
        <f t="shared" ca="1" si="25"/>
        <v>46563</v>
      </c>
      <c r="L331" s="6"/>
    </row>
    <row r="332" spans="1:12" x14ac:dyDescent="0.2">
      <c r="A332" s="1" t="str">
        <f>+'Maestro infraestructura'!A331</f>
        <v>EDIFICIO PRINCIPAL</v>
      </c>
      <c r="B332" s="1" t="str">
        <f>+'Maestro infraestructura'!B331</f>
        <v>5° Piso</v>
      </c>
      <c r="C332" s="1">
        <f>+'Maestro infraestructura'!C331</f>
        <v>523</v>
      </c>
      <c r="D332" s="1" t="str">
        <f>+'Maestro infraestructura'!F331</f>
        <v xml:space="preserve">Baranda </v>
      </c>
      <c r="E332" s="25" t="str">
        <f ca="1">+'Maestro infraestructura'!K331</f>
        <v>Activo</v>
      </c>
      <c r="F332" s="1" t="str">
        <f ca="1">+'Maestro infraestructura'!V331</f>
        <v>AL DÍA</v>
      </c>
      <c r="G332" s="1" t="str">
        <f>+'Maestro infraestructura'!X331</f>
        <v>SEGURIDAD</v>
      </c>
      <c r="H332" s="1">
        <f>+'Maestro infraestructura'!Y331</f>
        <v>1</v>
      </c>
      <c r="I332" s="1"/>
      <c r="J332" s="6">
        <f>+'Maestro infraestructura'!T331</f>
        <v>46563</v>
      </c>
      <c r="K332" s="6">
        <f t="shared" ca="1" si="25"/>
        <v>46563</v>
      </c>
      <c r="L332" s="6"/>
    </row>
    <row r="333" spans="1:12" x14ac:dyDescent="0.2">
      <c r="A333" s="1" t="str">
        <f>+'Maestro infraestructura'!A332</f>
        <v>EDIFICIO PRINCIPAL</v>
      </c>
      <c r="B333" s="1" t="str">
        <f>+'Maestro infraestructura'!B332</f>
        <v>5° Piso</v>
      </c>
      <c r="C333" s="1">
        <f>+'Maestro infraestructura'!C332</f>
        <v>523</v>
      </c>
      <c r="D333" s="1" t="str">
        <f>+'Maestro infraestructura'!F332</f>
        <v>Piso</v>
      </c>
      <c r="E333" s="25" t="str">
        <f ca="1">+'Maestro infraestructura'!K332</f>
        <v>Activo</v>
      </c>
      <c r="F333" s="1" t="str">
        <f ca="1">+'Maestro infraestructura'!V332</f>
        <v>AL DÍA</v>
      </c>
      <c r="G333" s="1" t="str">
        <f>+'Maestro infraestructura'!X332</f>
        <v>GENERAL</v>
      </c>
      <c r="H333" s="1">
        <f>+'Maestro infraestructura'!Y332</f>
        <v>2</v>
      </c>
      <c r="I333" s="1"/>
      <c r="J333" s="6">
        <f>+'Maestro infraestructura'!T332</f>
        <v>46563</v>
      </c>
      <c r="K333" s="6">
        <f t="shared" ca="1" si="25"/>
        <v>46563</v>
      </c>
      <c r="L333" s="6"/>
    </row>
    <row r="334" spans="1:12" x14ac:dyDescent="0.2">
      <c r="A334" s="1" t="str">
        <f>+'Maestro infraestructura'!A333</f>
        <v>EDIFICIO PRINCIPAL</v>
      </c>
      <c r="B334" s="1" t="str">
        <f>+'Maestro infraestructura'!B333</f>
        <v>5° Piso</v>
      </c>
      <c r="C334" s="1">
        <f>+'Maestro infraestructura'!C333</f>
        <v>523</v>
      </c>
      <c r="D334" s="1" t="str">
        <f>+'Maestro infraestructura'!F333</f>
        <v>Enchufes</v>
      </c>
      <c r="E334" s="25" t="str">
        <f ca="1">+'Maestro infraestructura'!K333</f>
        <v>Activo</v>
      </c>
      <c r="F334" s="1" t="str">
        <f ca="1">+'Maestro infraestructura'!V333</f>
        <v>AL DÍA</v>
      </c>
      <c r="G334" s="1" t="str">
        <f>+'Maestro infraestructura'!X333</f>
        <v>GENERAL</v>
      </c>
      <c r="H334" s="1">
        <f>+'Maestro infraestructura'!Y333</f>
        <v>2</v>
      </c>
      <c r="I334" s="1"/>
      <c r="J334" s="6">
        <f>+'Maestro infraestructura'!T333</f>
        <v>46563</v>
      </c>
      <c r="K334" s="6">
        <f t="shared" ca="1" si="25"/>
        <v>46563</v>
      </c>
      <c r="L334" s="6"/>
    </row>
    <row r="335" spans="1:12" x14ac:dyDescent="0.2">
      <c r="A335" s="1" t="str">
        <f>+'Maestro infraestructura'!A334</f>
        <v>EDIFICIO PRINCIPAL</v>
      </c>
      <c r="B335" s="1" t="str">
        <f>+'Maestro infraestructura'!B334</f>
        <v>5° Piso</v>
      </c>
      <c r="C335" s="1">
        <f>+'Maestro infraestructura'!C334</f>
        <v>523</v>
      </c>
      <c r="D335" s="1" t="str">
        <f>+'Maestro infraestructura'!F334</f>
        <v>TV</v>
      </c>
      <c r="E335" s="25" t="str">
        <f ca="1">+'Maestro infraestructura'!K334</f>
        <v>Activo</v>
      </c>
      <c r="F335" s="1" t="str">
        <f ca="1">+'Maestro infraestructura'!V334</f>
        <v>AL DÍA</v>
      </c>
      <c r="G335" s="1" t="str">
        <f>+'Maestro infraestructura'!X334</f>
        <v>OPERACIÓN</v>
      </c>
      <c r="H335" s="1">
        <f>+'Maestro infraestructura'!Y334</f>
        <v>2</v>
      </c>
      <c r="I335" s="1"/>
      <c r="J335" s="6">
        <f>+'Maestro infraestructura'!T334</f>
        <v>46563</v>
      </c>
      <c r="K335" s="6">
        <f t="shared" ca="1" si="25"/>
        <v>46563</v>
      </c>
      <c r="L335" s="6"/>
    </row>
    <row r="336" spans="1:12" x14ac:dyDescent="0.2">
      <c r="A336" s="1" t="str">
        <f>+'Maestro infraestructura'!A335</f>
        <v>EDIFICIO PRINCIPAL</v>
      </c>
      <c r="B336" s="1" t="str">
        <f>+'Maestro infraestructura'!B335</f>
        <v>5° Piso</v>
      </c>
      <c r="C336" s="1">
        <f>+'Maestro infraestructura'!C335</f>
        <v>523</v>
      </c>
      <c r="D336" s="1" t="str">
        <f>+'Maestro infraestructura'!F335</f>
        <v>Pizarra</v>
      </c>
      <c r="E336" s="25" t="str">
        <f ca="1">+'Maestro infraestructura'!K335</f>
        <v>Activo</v>
      </c>
      <c r="F336" s="1" t="str">
        <f ca="1">+'Maestro infraestructura'!V335</f>
        <v>AL DÍA</v>
      </c>
      <c r="G336" s="1" t="str">
        <f>+'Maestro infraestructura'!X335</f>
        <v>OPERACIÓN</v>
      </c>
      <c r="H336" s="1">
        <f>+'Maestro infraestructura'!Y335</f>
        <v>2</v>
      </c>
      <c r="I336" s="1"/>
      <c r="J336" s="6">
        <f>+'Maestro infraestructura'!T335</f>
        <v>46563</v>
      </c>
      <c r="K336" s="6">
        <f t="shared" ca="1" si="25"/>
        <v>46563</v>
      </c>
      <c r="L336" s="6"/>
    </row>
    <row r="337" spans="1:12" x14ac:dyDescent="0.2">
      <c r="A337" s="1" t="str">
        <f>+'Maestro infraestructura'!A336</f>
        <v>EDIFICIO PRINCIPAL</v>
      </c>
      <c r="B337" s="1" t="str">
        <f>+'Maestro infraestructura'!B336</f>
        <v>5° Piso</v>
      </c>
      <c r="C337" s="1">
        <f>+'Maestro infraestructura'!C336</f>
        <v>523</v>
      </c>
      <c r="D337" s="1" t="str">
        <f>+'Maestro infraestructura'!F336</f>
        <v>Puertas</v>
      </c>
      <c r="E337" s="25" t="str">
        <f ca="1">+'Maestro infraestructura'!K336</f>
        <v>Activo</v>
      </c>
      <c r="F337" s="1" t="str">
        <f ca="1">+'Maestro infraestructura'!V336</f>
        <v>AL DÍA</v>
      </c>
      <c r="G337" s="1" t="str">
        <f>+'Maestro infraestructura'!X336</f>
        <v>GENERAL</v>
      </c>
      <c r="H337" s="1">
        <f>+'Maestro infraestructura'!Y336</f>
        <v>2</v>
      </c>
      <c r="I337" s="1"/>
      <c r="J337" s="6">
        <f>+'Maestro infraestructura'!T336</f>
        <v>46563</v>
      </c>
      <c r="K337" s="6">
        <f t="shared" ca="1" si="25"/>
        <v>46563</v>
      </c>
      <c r="L337" s="6"/>
    </row>
    <row r="338" spans="1:12" x14ac:dyDescent="0.2">
      <c r="A338" s="1" t="str">
        <f>+'Maestro infraestructura'!A337</f>
        <v>EDIFICIO PRINCIPAL</v>
      </c>
      <c r="B338" s="1" t="str">
        <f>+'Maestro infraestructura'!B337</f>
        <v>5° Piso</v>
      </c>
      <c r="C338" s="1">
        <f>+'Maestro infraestructura'!C337</f>
        <v>524</v>
      </c>
      <c r="D338" s="1" t="str">
        <f>+'Maestro infraestructura'!F337</f>
        <v>Ventanas</v>
      </c>
      <c r="E338" s="25" t="str">
        <f ca="1">+'Maestro infraestructura'!K337</f>
        <v>Activo</v>
      </c>
      <c r="F338" s="1" t="str">
        <f ca="1">+'Maestro infraestructura'!V337</f>
        <v>AL DÍA</v>
      </c>
      <c r="G338" s="1" t="str">
        <f>+'Maestro infraestructura'!X337</f>
        <v>OPERACIÓN</v>
      </c>
      <c r="H338" s="1">
        <f>+'Maestro infraestructura'!Y337</f>
        <v>2</v>
      </c>
      <c r="I338" s="1"/>
      <c r="J338" s="6">
        <f>+'Maestro infraestructura'!T337</f>
        <v>46563</v>
      </c>
      <c r="K338" s="6">
        <f t="shared" ca="1" si="25"/>
        <v>46563</v>
      </c>
      <c r="L338" s="6"/>
    </row>
    <row r="339" spans="1:12" x14ac:dyDescent="0.2">
      <c r="A339" s="1" t="str">
        <f>+'Maestro infraestructura'!A338</f>
        <v>EDIFICIO PRINCIPAL</v>
      </c>
      <c r="B339" s="1" t="str">
        <f>+'Maestro infraestructura'!B338</f>
        <v>5° Piso</v>
      </c>
      <c r="C339" s="1">
        <f>+'Maestro infraestructura'!C338</f>
        <v>524</v>
      </c>
      <c r="D339" s="1" t="str">
        <f>+'Maestro infraestructura'!F338</f>
        <v xml:space="preserve">Baranda </v>
      </c>
      <c r="E339" s="25" t="str">
        <f ca="1">+'Maestro infraestructura'!K338</f>
        <v>Activo</v>
      </c>
      <c r="F339" s="1" t="str">
        <f ca="1">+'Maestro infraestructura'!V338</f>
        <v>AL DÍA</v>
      </c>
      <c r="G339" s="1" t="str">
        <f>+'Maestro infraestructura'!X338</f>
        <v>SEGURIDAD</v>
      </c>
      <c r="H339" s="1">
        <f>+'Maestro infraestructura'!Y338</f>
        <v>1</v>
      </c>
      <c r="I339" s="1"/>
      <c r="J339" s="6">
        <f>+'Maestro infraestructura'!T338</f>
        <v>46563</v>
      </c>
      <c r="K339" s="6">
        <f t="shared" ca="1" si="25"/>
        <v>46563</v>
      </c>
      <c r="L339" s="6"/>
    </row>
    <row r="340" spans="1:12" x14ac:dyDescent="0.2">
      <c r="A340" s="1" t="str">
        <f>+'Maestro infraestructura'!A339</f>
        <v>EDIFICIO PRINCIPAL</v>
      </c>
      <c r="B340" s="1" t="str">
        <f>+'Maestro infraestructura'!B339</f>
        <v>5° Piso</v>
      </c>
      <c r="C340" s="1">
        <f>+'Maestro infraestructura'!C339</f>
        <v>524</v>
      </c>
      <c r="D340" s="1" t="str">
        <f>+'Maestro infraestructura'!F339</f>
        <v>Piso</v>
      </c>
      <c r="E340" s="25" t="str">
        <f ca="1">+'Maestro infraestructura'!K339</f>
        <v>Activo</v>
      </c>
      <c r="F340" s="1" t="str">
        <f ca="1">+'Maestro infraestructura'!V339</f>
        <v>AL DÍA</v>
      </c>
      <c r="G340" s="1" t="str">
        <f>+'Maestro infraestructura'!X339</f>
        <v>GENERAL</v>
      </c>
      <c r="H340" s="1">
        <f>+'Maestro infraestructura'!Y339</f>
        <v>2</v>
      </c>
      <c r="I340" s="1"/>
      <c r="J340" s="6">
        <f>+'Maestro infraestructura'!T339</f>
        <v>46563</v>
      </c>
      <c r="K340" s="6">
        <f t="shared" ca="1" si="25"/>
        <v>46563</v>
      </c>
      <c r="L340" s="6"/>
    </row>
    <row r="341" spans="1:12" x14ac:dyDescent="0.2">
      <c r="A341" s="1" t="str">
        <f>+'Maestro infraestructura'!A340</f>
        <v>EDIFICIO PRINCIPAL</v>
      </c>
      <c r="B341" s="1" t="str">
        <f>+'Maestro infraestructura'!B340</f>
        <v>5° Piso</v>
      </c>
      <c r="C341" s="1">
        <f>+'Maestro infraestructura'!C340</f>
        <v>524</v>
      </c>
      <c r="D341" s="1" t="str">
        <f>+'Maestro infraestructura'!F340</f>
        <v>Enchufes</v>
      </c>
      <c r="E341" s="25" t="str">
        <f ca="1">+'Maestro infraestructura'!K340</f>
        <v>Activo</v>
      </c>
      <c r="F341" s="1" t="str">
        <f ca="1">+'Maestro infraestructura'!V340</f>
        <v>AL DÍA</v>
      </c>
      <c r="G341" s="1" t="str">
        <f>+'Maestro infraestructura'!X340</f>
        <v>GENERAL</v>
      </c>
      <c r="H341" s="1">
        <f>+'Maestro infraestructura'!Y340</f>
        <v>2</v>
      </c>
      <c r="I341" s="1"/>
      <c r="J341" s="6">
        <f>+'Maestro infraestructura'!T340</f>
        <v>46563</v>
      </c>
      <c r="K341" s="6">
        <f t="shared" ca="1" si="25"/>
        <v>46563</v>
      </c>
      <c r="L341" s="6"/>
    </row>
    <row r="342" spans="1:12" x14ac:dyDescent="0.2">
      <c r="A342" s="1" t="str">
        <f>+'Maestro infraestructura'!A341</f>
        <v>EDIFICIO PRINCIPAL</v>
      </c>
      <c r="B342" s="1" t="str">
        <f>+'Maestro infraestructura'!B341</f>
        <v>5° Piso</v>
      </c>
      <c r="C342" s="1">
        <f>+'Maestro infraestructura'!C341</f>
        <v>524</v>
      </c>
      <c r="D342" s="1" t="str">
        <f>+'Maestro infraestructura'!F341</f>
        <v>TV</v>
      </c>
      <c r="E342" s="25" t="str">
        <f ca="1">+'Maestro infraestructura'!K341</f>
        <v>Activo</v>
      </c>
      <c r="F342" s="1" t="str">
        <f ca="1">+'Maestro infraestructura'!V341</f>
        <v>AL DÍA</v>
      </c>
      <c r="G342" s="1" t="str">
        <f>+'Maestro infraestructura'!X341</f>
        <v>OPERACIÓN</v>
      </c>
      <c r="H342" s="1">
        <f>+'Maestro infraestructura'!Y341</f>
        <v>2</v>
      </c>
      <c r="I342" s="1"/>
      <c r="J342" s="6">
        <f>+'Maestro infraestructura'!T341</f>
        <v>46563</v>
      </c>
      <c r="K342" s="6">
        <f t="shared" ca="1" si="25"/>
        <v>46563</v>
      </c>
      <c r="L342" s="6"/>
    </row>
    <row r="343" spans="1:12" x14ac:dyDescent="0.2">
      <c r="A343" s="1" t="str">
        <f>+'Maestro infraestructura'!A342</f>
        <v>EDIFICIO PRINCIPAL</v>
      </c>
      <c r="B343" s="1" t="str">
        <f>+'Maestro infraestructura'!B342</f>
        <v>5° Piso</v>
      </c>
      <c r="C343" s="1">
        <f>+'Maestro infraestructura'!C342</f>
        <v>524</v>
      </c>
      <c r="D343" s="1" t="str">
        <f>+'Maestro infraestructura'!F342</f>
        <v>Pizarra</v>
      </c>
      <c r="E343" s="25" t="str">
        <f ca="1">+'Maestro infraestructura'!K342</f>
        <v>Activo</v>
      </c>
      <c r="F343" s="1" t="str">
        <f ca="1">+'Maestro infraestructura'!V342</f>
        <v>AL DÍA</v>
      </c>
      <c r="G343" s="1" t="str">
        <f>+'Maestro infraestructura'!X342</f>
        <v>OPERACIÓN</v>
      </c>
      <c r="H343" s="1">
        <f>+'Maestro infraestructura'!Y342</f>
        <v>2</v>
      </c>
      <c r="I343" s="1"/>
      <c r="J343" s="6">
        <f>+'Maestro infraestructura'!T342</f>
        <v>46563</v>
      </c>
      <c r="K343" s="6">
        <f t="shared" ca="1" si="25"/>
        <v>46563</v>
      </c>
      <c r="L343" s="6"/>
    </row>
    <row r="344" spans="1:12" x14ac:dyDescent="0.2">
      <c r="A344" s="1" t="str">
        <f>+'Maestro infraestructura'!A343</f>
        <v>EDIFICIO PRINCIPAL</v>
      </c>
      <c r="B344" s="1" t="str">
        <f>+'Maestro infraestructura'!B343</f>
        <v>5° Piso</v>
      </c>
      <c r="C344" s="1">
        <f>+'Maestro infraestructura'!C343</f>
        <v>524</v>
      </c>
      <c r="D344" s="1" t="str">
        <f>+'Maestro infraestructura'!F343</f>
        <v>Puertas</v>
      </c>
      <c r="E344" s="25" t="str">
        <f ca="1">+'Maestro infraestructura'!K343</f>
        <v>Activo</v>
      </c>
      <c r="F344" s="1" t="str">
        <f ca="1">+'Maestro infraestructura'!V343</f>
        <v>AL DÍA</v>
      </c>
      <c r="G344" s="1" t="str">
        <f>+'Maestro infraestructura'!X343</f>
        <v>GENERAL</v>
      </c>
      <c r="H344" s="1">
        <f>+'Maestro infraestructura'!Y343</f>
        <v>2</v>
      </c>
      <c r="I344" s="1"/>
      <c r="J344" s="6">
        <f>+'Maestro infraestructura'!T343</f>
        <v>46563</v>
      </c>
      <c r="K344" s="6">
        <f t="shared" ca="1" si="25"/>
        <v>46563</v>
      </c>
      <c r="L344" s="6"/>
    </row>
    <row r="345" spans="1:12" x14ac:dyDescent="0.2">
      <c r="A345" s="1" t="str">
        <f>+'Maestro infraestructura'!A344</f>
        <v>EDIFICIO PRINCIPAL</v>
      </c>
      <c r="B345" s="1" t="str">
        <f>+'Maestro infraestructura'!B344</f>
        <v>5° Piso</v>
      </c>
      <c r="C345" s="1">
        <f>+'Maestro infraestructura'!C344</f>
        <v>525</v>
      </c>
      <c r="D345" s="1" t="str">
        <f>+'Maestro infraestructura'!F344</f>
        <v>Ventanas</v>
      </c>
      <c r="E345" s="25" t="str">
        <f ca="1">+'Maestro infraestructura'!K344</f>
        <v>Activo</v>
      </c>
      <c r="F345" s="1" t="str">
        <f ca="1">+'Maestro infraestructura'!V344</f>
        <v>AL DÍA</v>
      </c>
      <c r="G345" s="1" t="str">
        <f>+'Maestro infraestructura'!X344</f>
        <v>OPERACIÓN</v>
      </c>
      <c r="H345" s="1">
        <f>+'Maestro infraestructura'!Y344</f>
        <v>2</v>
      </c>
      <c r="I345" s="1"/>
      <c r="J345" s="6">
        <f>+'Maestro infraestructura'!T344</f>
        <v>46563</v>
      </c>
      <c r="K345" s="6">
        <f t="shared" ca="1" si="25"/>
        <v>46563</v>
      </c>
      <c r="L345" s="6"/>
    </row>
    <row r="346" spans="1:12" x14ac:dyDescent="0.2">
      <c r="A346" s="1" t="str">
        <f>+'Maestro infraestructura'!A345</f>
        <v>EDIFICIO PRINCIPAL</v>
      </c>
      <c r="B346" s="1" t="str">
        <f>+'Maestro infraestructura'!B345</f>
        <v>5° Piso</v>
      </c>
      <c r="C346" s="1">
        <f>+'Maestro infraestructura'!C345</f>
        <v>525</v>
      </c>
      <c r="D346" s="1" t="str">
        <f>+'Maestro infraestructura'!F345</f>
        <v xml:space="preserve">Baranda </v>
      </c>
      <c r="E346" s="25" t="str">
        <f ca="1">+'Maestro infraestructura'!K345</f>
        <v>Activo</v>
      </c>
      <c r="F346" s="1" t="str">
        <f ca="1">+'Maestro infraestructura'!V345</f>
        <v>AL DÍA</v>
      </c>
      <c r="G346" s="1" t="str">
        <f>+'Maestro infraestructura'!X345</f>
        <v>SEGURIDAD</v>
      </c>
      <c r="H346" s="1">
        <f>+'Maestro infraestructura'!Y345</f>
        <v>1</v>
      </c>
      <c r="I346" s="1"/>
      <c r="J346" s="6">
        <f>+'Maestro infraestructura'!T345</f>
        <v>46563</v>
      </c>
      <c r="K346" s="6">
        <f t="shared" ca="1" si="25"/>
        <v>46563</v>
      </c>
      <c r="L346" s="6"/>
    </row>
    <row r="347" spans="1:12" x14ac:dyDescent="0.2">
      <c r="A347" s="1" t="str">
        <f>+'Maestro infraestructura'!A346</f>
        <v>EDIFICIO PRINCIPAL</v>
      </c>
      <c r="B347" s="1" t="str">
        <f>+'Maestro infraestructura'!B346</f>
        <v>5° Piso</v>
      </c>
      <c r="C347" s="1">
        <f>+'Maestro infraestructura'!C346</f>
        <v>525</v>
      </c>
      <c r="D347" s="1" t="str">
        <f>+'Maestro infraestructura'!F346</f>
        <v>Piso</v>
      </c>
      <c r="E347" s="25" t="str">
        <f ca="1">+'Maestro infraestructura'!K346</f>
        <v>Activo</v>
      </c>
      <c r="F347" s="1" t="str">
        <f ca="1">+'Maestro infraestructura'!V346</f>
        <v>AL DÍA</v>
      </c>
      <c r="G347" s="1" t="str">
        <f>+'Maestro infraestructura'!X346</f>
        <v>GENERAL</v>
      </c>
      <c r="H347" s="1">
        <f>+'Maestro infraestructura'!Y346</f>
        <v>2</v>
      </c>
      <c r="I347" s="1"/>
      <c r="J347" s="6">
        <f>+'Maestro infraestructura'!T346</f>
        <v>46563</v>
      </c>
      <c r="K347" s="6">
        <f t="shared" ca="1" si="25"/>
        <v>46563</v>
      </c>
      <c r="L347" s="6"/>
    </row>
    <row r="348" spans="1:12" x14ac:dyDescent="0.2">
      <c r="A348" s="1" t="str">
        <f>+'Maestro infraestructura'!A347</f>
        <v>EDIFICIO PRINCIPAL</v>
      </c>
      <c r="B348" s="1" t="str">
        <f>+'Maestro infraestructura'!B347</f>
        <v>5° Piso</v>
      </c>
      <c r="C348" s="1">
        <f>+'Maestro infraestructura'!C347</f>
        <v>525</v>
      </c>
      <c r="D348" s="1" t="str">
        <f>+'Maestro infraestructura'!F347</f>
        <v>Enchufes</v>
      </c>
      <c r="E348" s="25" t="str">
        <f ca="1">+'Maestro infraestructura'!K347</f>
        <v>Activo</v>
      </c>
      <c r="F348" s="1" t="str">
        <f ca="1">+'Maestro infraestructura'!V347</f>
        <v>AL DÍA</v>
      </c>
      <c r="G348" s="1" t="str">
        <f>+'Maestro infraestructura'!X347</f>
        <v>GENERAL</v>
      </c>
      <c r="H348" s="1">
        <f>+'Maestro infraestructura'!Y347</f>
        <v>2</v>
      </c>
      <c r="I348" s="1"/>
      <c r="J348" s="6">
        <f>+'Maestro infraestructura'!T347</f>
        <v>46563</v>
      </c>
      <c r="K348" s="6">
        <f t="shared" ca="1" si="25"/>
        <v>46563</v>
      </c>
      <c r="L348" s="6"/>
    </row>
    <row r="349" spans="1:12" x14ac:dyDescent="0.2">
      <c r="A349" s="1" t="str">
        <f>+'Maestro infraestructura'!A348</f>
        <v>EDIFICIO PRINCIPAL</v>
      </c>
      <c r="B349" s="1" t="str">
        <f>+'Maestro infraestructura'!B348</f>
        <v>5° Piso</v>
      </c>
      <c r="C349" s="1">
        <f>+'Maestro infraestructura'!C348</f>
        <v>525</v>
      </c>
      <c r="D349" s="1" t="str">
        <f>+'Maestro infraestructura'!F348</f>
        <v>TV</v>
      </c>
      <c r="E349" s="25" t="str">
        <f ca="1">+'Maestro infraestructura'!K348</f>
        <v>Activo</v>
      </c>
      <c r="F349" s="1" t="str">
        <f ca="1">+'Maestro infraestructura'!V348</f>
        <v>AL DÍA</v>
      </c>
      <c r="G349" s="1" t="str">
        <f>+'Maestro infraestructura'!X348</f>
        <v>OPERACIÓN</v>
      </c>
      <c r="H349" s="1">
        <f>+'Maestro infraestructura'!Y348</f>
        <v>2</v>
      </c>
      <c r="I349" s="1"/>
      <c r="J349" s="6">
        <f>+'Maestro infraestructura'!T348</f>
        <v>46563</v>
      </c>
      <c r="K349" s="6">
        <f t="shared" ca="1" si="25"/>
        <v>46563</v>
      </c>
      <c r="L349" s="6"/>
    </row>
    <row r="350" spans="1:12" x14ac:dyDescent="0.2">
      <c r="A350" s="1" t="str">
        <f>+'Maestro infraestructura'!A349</f>
        <v>EDIFICIO PRINCIPAL</v>
      </c>
      <c r="B350" s="1" t="str">
        <f>+'Maestro infraestructura'!B349</f>
        <v>5° Piso</v>
      </c>
      <c r="C350" s="1">
        <f>+'Maestro infraestructura'!C349</f>
        <v>525</v>
      </c>
      <c r="D350" s="1" t="str">
        <f>+'Maestro infraestructura'!F349</f>
        <v>Pizarra</v>
      </c>
      <c r="E350" s="25" t="str">
        <f ca="1">+'Maestro infraestructura'!K349</f>
        <v>Activo</v>
      </c>
      <c r="F350" s="1" t="str">
        <f ca="1">+'Maestro infraestructura'!V349</f>
        <v>AL DÍA</v>
      </c>
      <c r="G350" s="1" t="str">
        <f>+'Maestro infraestructura'!X349</f>
        <v>OPERACIÓN</v>
      </c>
      <c r="H350" s="1">
        <f>+'Maestro infraestructura'!Y349</f>
        <v>2</v>
      </c>
      <c r="I350" s="1"/>
      <c r="J350" s="6">
        <f>+'Maestro infraestructura'!T349</f>
        <v>46563</v>
      </c>
      <c r="K350" s="6">
        <f t="shared" ca="1" si="25"/>
        <v>46563</v>
      </c>
      <c r="L350" s="6"/>
    </row>
    <row r="351" spans="1:12" x14ac:dyDescent="0.2">
      <c r="A351" s="1" t="str">
        <f>+'Maestro infraestructura'!A350</f>
        <v>EDIFICIO PRINCIPAL</v>
      </c>
      <c r="B351" s="1" t="str">
        <f>+'Maestro infraestructura'!B350</f>
        <v>5° Piso</v>
      </c>
      <c r="C351" s="1">
        <f>+'Maestro infraestructura'!C350</f>
        <v>525</v>
      </c>
      <c r="D351" s="1" t="str">
        <f>+'Maestro infraestructura'!F350</f>
        <v>Puertas</v>
      </c>
      <c r="E351" s="25" t="str">
        <f ca="1">+'Maestro infraestructura'!K350</f>
        <v>Activo</v>
      </c>
      <c r="F351" s="1" t="str">
        <f ca="1">+'Maestro infraestructura'!V350</f>
        <v>AL DÍA</v>
      </c>
      <c r="G351" s="1" t="str">
        <f>+'Maestro infraestructura'!X350</f>
        <v>GENERAL</v>
      </c>
      <c r="H351" s="1">
        <f>+'Maestro infraestructura'!Y350</f>
        <v>2</v>
      </c>
      <c r="I351" s="1"/>
      <c r="J351" s="6">
        <f>+'Maestro infraestructura'!T350</f>
        <v>46563</v>
      </c>
      <c r="K351" s="6">
        <f t="shared" ca="1" si="25"/>
        <v>46563</v>
      </c>
      <c r="L351" s="6"/>
    </row>
    <row r="352" spans="1:12" x14ac:dyDescent="0.2">
      <c r="A352" s="1" t="str">
        <f>+'Maestro infraestructura'!A351</f>
        <v>EDIFICIO PRINCIPAL</v>
      </c>
      <c r="B352" s="1" t="str">
        <f>+'Maestro infraestructura'!B351</f>
        <v>5° Piso</v>
      </c>
      <c r="C352" s="1">
        <f>+'Maestro infraestructura'!C351</f>
        <v>526</v>
      </c>
      <c r="D352" s="1" t="str">
        <f>+'Maestro infraestructura'!F351</f>
        <v>Ventanas</v>
      </c>
      <c r="E352" s="25" t="str">
        <f ca="1">+'Maestro infraestructura'!K351</f>
        <v>Activo</v>
      </c>
      <c r="F352" s="1" t="str">
        <f ca="1">+'Maestro infraestructura'!V351</f>
        <v>AL DÍA</v>
      </c>
      <c r="G352" s="1" t="str">
        <f>+'Maestro infraestructura'!X351</f>
        <v>OPERACIÓN</v>
      </c>
      <c r="H352" s="1">
        <f>+'Maestro infraestructura'!Y351</f>
        <v>2</v>
      </c>
      <c r="I352" s="1"/>
      <c r="J352" s="6">
        <f>+'Maestro infraestructura'!T351</f>
        <v>46563</v>
      </c>
      <c r="K352" s="6">
        <f t="shared" ca="1" si="25"/>
        <v>46563</v>
      </c>
      <c r="L352" s="6"/>
    </row>
    <row r="353" spans="1:12" x14ac:dyDescent="0.2">
      <c r="A353" s="1" t="str">
        <f>+'Maestro infraestructura'!A352</f>
        <v>EDIFICIO PRINCIPAL</v>
      </c>
      <c r="B353" s="1" t="str">
        <f>+'Maestro infraestructura'!B352</f>
        <v>5° Piso</v>
      </c>
      <c r="C353" s="1">
        <f>+'Maestro infraestructura'!C352</f>
        <v>526</v>
      </c>
      <c r="D353" s="1" t="str">
        <f>+'Maestro infraestructura'!F352</f>
        <v xml:space="preserve">Baranda </v>
      </c>
      <c r="E353" s="25" t="str">
        <f ca="1">+'Maestro infraestructura'!K352</f>
        <v>Activo</v>
      </c>
      <c r="F353" s="1" t="str">
        <f ca="1">+'Maestro infraestructura'!V352</f>
        <v>AL DÍA</v>
      </c>
      <c r="G353" s="1" t="str">
        <f>+'Maestro infraestructura'!X352</f>
        <v>SEGURIDAD</v>
      </c>
      <c r="H353" s="1">
        <f>+'Maestro infraestructura'!Y352</f>
        <v>1</v>
      </c>
      <c r="I353" s="1"/>
      <c r="J353" s="6">
        <f>+'Maestro infraestructura'!T352</f>
        <v>46563</v>
      </c>
      <c r="K353" s="6">
        <f t="shared" ca="1" si="25"/>
        <v>46563</v>
      </c>
      <c r="L353" s="6"/>
    </row>
    <row r="354" spans="1:12" x14ac:dyDescent="0.2">
      <c r="A354" s="1" t="str">
        <f>+'Maestro infraestructura'!A353</f>
        <v>EDIFICIO PRINCIPAL</v>
      </c>
      <c r="B354" s="1" t="str">
        <f>+'Maestro infraestructura'!B353</f>
        <v>5° Piso</v>
      </c>
      <c r="C354" s="1">
        <f>+'Maestro infraestructura'!C353</f>
        <v>526</v>
      </c>
      <c r="D354" s="1" t="str">
        <f>+'Maestro infraestructura'!F353</f>
        <v>Piso</v>
      </c>
      <c r="E354" s="25" t="str">
        <f ca="1">+'Maestro infraestructura'!K353</f>
        <v>Activo</v>
      </c>
      <c r="F354" s="1" t="str">
        <f ca="1">+'Maestro infraestructura'!V353</f>
        <v>AL DÍA</v>
      </c>
      <c r="G354" s="1" t="str">
        <f>+'Maestro infraestructura'!X353</f>
        <v>GENERAL</v>
      </c>
      <c r="H354" s="1">
        <f>+'Maestro infraestructura'!Y353</f>
        <v>2</v>
      </c>
      <c r="I354" s="1"/>
      <c r="J354" s="6">
        <f>+'Maestro infraestructura'!T353</f>
        <v>46563</v>
      </c>
      <c r="K354" s="6">
        <f t="shared" ca="1" si="25"/>
        <v>46563</v>
      </c>
      <c r="L354" s="6"/>
    </row>
    <row r="355" spans="1:12" x14ac:dyDescent="0.2">
      <c r="A355" s="1" t="str">
        <f>+'Maestro infraestructura'!A354</f>
        <v>EDIFICIO PRINCIPAL</v>
      </c>
      <c r="B355" s="1" t="str">
        <f>+'Maestro infraestructura'!B354</f>
        <v>5° Piso</v>
      </c>
      <c r="C355" s="1">
        <f>+'Maestro infraestructura'!C354</f>
        <v>526</v>
      </c>
      <c r="D355" s="1" t="str">
        <f>+'Maestro infraestructura'!F354</f>
        <v>Enchufes</v>
      </c>
      <c r="E355" s="25" t="str">
        <f ca="1">+'Maestro infraestructura'!K354</f>
        <v>Activo</v>
      </c>
      <c r="F355" s="1" t="str">
        <f ca="1">+'Maestro infraestructura'!V354</f>
        <v>AL DÍA</v>
      </c>
      <c r="G355" s="1" t="str">
        <f>+'Maestro infraestructura'!X354</f>
        <v>GENERAL</v>
      </c>
      <c r="H355" s="1">
        <f>+'Maestro infraestructura'!Y354</f>
        <v>2</v>
      </c>
      <c r="I355" s="1"/>
      <c r="J355" s="6">
        <f>+'Maestro infraestructura'!T354</f>
        <v>46563</v>
      </c>
      <c r="K355" s="6">
        <f t="shared" ca="1" si="25"/>
        <v>46563</v>
      </c>
      <c r="L355" s="6"/>
    </row>
    <row r="356" spans="1:12" x14ac:dyDescent="0.2">
      <c r="A356" s="1" t="str">
        <f>+'Maestro infraestructura'!A355</f>
        <v>EDIFICIO PRINCIPAL</v>
      </c>
      <c r="B356" s="1" t="str">
        <f>+'Maestro infraestructura'!B355</f>
        <v>5° Piso</v>
      </c>
      <c r="C356" s="1">
        <f>+'Maestro infraestructura'!C355</f>
        <v>526</v>
      </c>
      <c r="D356" s="1" t="str">
        <f>+'Maestro infraestructura'!F355</f>
        <v>TV</v>
      </c>
      <c r="E356" s="25" t="str">
        <f ca="1">+'Maestro infraestructura'!K355</f>
        <v>Activo</v>
      </c>
      <c r="F356" s="1" t="str">
        <f ca="1">+'Maestro infraestructura'!V355</f>
        <v>AL DÍA</v>
      </c>
      <c r="G356" s="1" t="str">
        <f>+'Maestro infraestructura'!X355</f>
        <v>OPERACIÓN</v>
      </c>
      <c r="H356" s="1">
        <f>+'Maestro infraestructura'!Y355</f>
        <v>2</v>
      </c>
      <c r="I356" s="1"/>
      <c r="J356" s="6">
        <f>+'Maestro infraestructura'!T355</f>
        <v>46563</v>
      </c>
      <c r="K356" s="6">
        <f t="shared" ca="1" si="25"/>
        <v>46563</v>
      </c>
      <c r="L356" s="6"/>
    </row>
    <row r="357" spans="1:12" x14ac:dyDescent="0.2">
      <c r="A357" s="1" t="str">
        <f>+'Maestro infraestructura'!A356</f>
        <v>EDIFICIO PRINCIPAL</v>
      </c>
      <c r="B357" s="1" t="str">
        <f>+'Maestro infraestructura'!B356</f>
        <v>5° Piso</v>
      </c>
      <c r="C357" s="1">
        <f>+'Maestro infraestructura'!C356</f>
        <v>526</v>
      </c>
      <c r="D357" s="1" t="str">
        <f>+'Maestro infraestructura'!F356</f>
        <v>Puertas</v>
      </c>
      <c r="E357" s="25" t="str">
        <f ca="1">+'Maestro infraestructura'!K356</f>
        <v>Activo</v>
      </c>
      <c r="F357" s="1" t="str">
        <f ca="1">+'Maestro infraestructura'!V356</f>
        <v>AL DÍA</v>
      </c>
      <c r="G357" s="1" t="str">
        <f>+'Maestro infraestructura'!X356</f>
        <v>GENERAL</v>
      </c>
      <c r="H357" s="1">
        <f>+'Maestro infraestructura'!Y356</f>
        <v>2</v>
      </c>
      <c r="I357" s="1"/>
      <c r="J357" s="6">
        <f>+'Maestro infraestructura'!T356</f>
        <v>46563</v>
      </c>
      <c r="K357" s="6">
        <f t="shared" ca="1" si="25"/>
        <v>46563</v>
      </c>
      <c r="L357" s="6"/>
    </row>
    <row r="358" spans="1:12" x14ac:dyDescent="0.2">
      <c r="A358" s="1" t="str">
        <f>+'Maestro infraestructura'!A357</f>
        <v>EDIFICIO PRINCIPAL</v>
      </c>
      <c r="B358" s="1" t="str">
        <f>+'Maestro infraestructura'!B357</f>
        <v>5° Piso</v>
      </c>
      <c r="C358" s="1" t="str">
        <f>+'Maestro infraestructura'!C357</f>
        <v>D.Básica</v>
      </c>
      <c r="D358" s="1" t="str">
        <f>+'Maestro infraestructura'!F357</f>
        <v>Puertas</v>
      </c>
      <c r="E358" s="25" t="str">
        <f ca="1">+'Maestro infraestructura'!K357</f>
        <v>Activo</v>
      </c>
      <c r="F358" s="1" t="str">
        <f ca="1">+'Maestro infraestructura'!V357</f>
        <v>AL DÍA</v>
      </c>
      <c r="G358" s="1" t="str">
        <f>+'Maestro infraestructura'!X357</f>
        <v>GENERAL</v>
      </c>
      <c r="H358" s="1">
        <f>+'Maestro infraestructura'!Y357</f>
        <v>2</v>
      </c>
      <c r="I358" s="1"/>
      <c r="J358" s="6">
        <f>+'Maestro infraestructura'!T357</f>
        <v>46563</v>
      </c>
      <c r="K358" s="6">
        <f t="shared" ca="1" si="25"/>
        <v>46563</v>
      </c>
      <c r="L358" s="6"/>
    </row>
    <row r="359" spans="1:12" x14ac:dyDescent="0.2">
      <c r="A359" s="1" t="str">
        <f>+'Maestro infraestructura'!A358</f>
        <v>EDIFICIO PRINCIPAL</v>
      </c>
      <c r="B359" s="1" t="str">
        <f>+'Maestro infraestructura'!B358</f>
        <v>5° Piso</v>
      </c>
      <c r="C359" s="1" t="str">
        <f>+'Maestro infraestructura'!C358</f>
        <v>D.Básica</v>
      </c>
      <c r="D359" s="1" t="str">
        <f>+'Maestro infraestructura'!F358</f>
        <v>Ventanas</v>
      </c>
      <c r="E359" s="25" t="str">
        <f ca="1">+'Maestro infraestructura'!K358</f>
        <v>Activo</v>
      </c>
      <c r="F359" s="1" t="str">
        <f ca="1">+'Maestro infraestructura'!V358</f>
        <v>AL DÍA</v>
      </c>
      <c r="G359" s="1" t="str">
        <f>+'Maestro infraestructura'!X358</f>
        <v>OPERACIÓN</v>
      </c>
      <c r="H359" s="1">
        <f>+'Maestro infraestructura'!Y358</f>
        <v>2</v>
      </c>
      <c r="I359" s="1"/>
      <c r="J359" s="6">
        <f>+'Maestro infraestructura'!T358</f>
        <v>46563</v>
      </c>
      <c r="K359" s="6">
        <f t="shared" ca="1" si="25"/>
        <v>46563</v>
      </c>
      <c r="L359" s="6"/>
    </row>
    <row r="360" spans="1:12" x14ac:dyDescent="0.2">
      <c r="A360" s="1" t="str">
        <f>+'Maestro infraestructura'!A359</f>
        <v>EDIFICIO PRINCIPAL</v>
      </c>
      <c r="B360" s="1" t="str">
        <f>+'Maestro infraestructura'!B359</f>
        <v>5° Piso</v>
      </c>
      <c r="C360" s="1" t="str">
        <f>+'Maestro infraestructura'!C359</f>
        <v>D.Básica</v>
      </c>
      <c r="D360" s="1" t="str">
        <f>+'Maestro infraestructura'!F359</f>
        <v xml:space="preserve">Baranda </v>
      </c>
      <c r="E360" s="25" t="str">
        <f ca="1">+'Maestro infraestructura'!K359</f>
        <v>Activo</v>
      </c>
      <c r="F360" s="1" t="str">
        <f ca="1">+'Maestro infraestructura'!V359</f>
        <v>AL DÍA</v>
      </c>
      <c r="G360" s="1" t="str">
        <f>+'Maestro infraestructura'!X359</f>
        <v>SEGURIDAD</v>
      </c>
      <c r="H360" s="1">
        <f>+'Maestro infraestructura'!Y359</f>
        <v>1</v>
      </c>
      <c r="I360" s="1"/>
      <c r="J360" s="6">
        <f>+'Maestro infraestructura'!T359</f>
        <v>46563</v>
      </c>
      <c r="K360" s="6">
        <f t="shared" ca="1" si="25"/>
        <v>46563</v>
      </c>
      <c r="L360" s="6"/>
    </row>
    <row r="361" spans="1:12" x14ac:dyDescent="0.2">
      <c r="A361" s="1" t="str">
        <f>+'Maestro infraestructura'!A360</f>
        <v>EDIFICIO PRINCIPAL</v>
      </c>
      <c r="B361" s="1" t="str">
        <f>+'Maestro infraestructura'!B360</f>
        <v>5° Piso</v>
      </c>
      <c r="C361" s="1" t="str">
        <f>+'Maestro infraestructura'!C360</f>
        <v>D.Básica</v>
      </c>
      <c r="D361" s="1" t="str">
        <f>+'Maestro infraestructura'!F360</f>
        <v>Piso</v>
      </c>
      <c r="E361" s="25" t="str">
        <f ca="1">+'Maestro infraestructura'!K360</f>
        <v>Activo</v>
      </c>
      <c r="F361" s="1" t="str">
        <f ca="1">+'Maestro infraestructura'!V360</f>
        <v>AL DÍA</v>
      </c>
      <c r="G361" s="1" t="str">
        <f>+'Maestro infraestructura'!X360</f>
        <v>GENERAL</v>
      </c>
      <c r="H361" s="1">
        <f>+'Maestro infraestructura'!Y360</f>
        <v>2</v>
      </c>
      <c r="I361" s="1"/>
      <c r="J361" s="6">
        <f>+'Maestro infraestructura'!T360</f>
        <v>46563</v>
      </c>
      <c r="K361" s="6">
        <f t="shared" ca="1" si="25"/>
        <v>46563</v>
      </c>
      <c r="L361" s="6"/>
    </row>
    <row r="362" spans="1:12" x14ac:dyDescent="0.2">
      <c r="A362" s="1" t="str">
        <f>+'Maestro infraestructura'!A361</f>
        <v>EDIFICIO PRINCIPAL</v>
      </c>
      <c r="B362" s="1" t="str">
        <f>+'Maestro infraestructura'!B361</f>
        <v>5° Piso</v>
      </c>
      <c r="C362" s="1" t="str">
        <f>+'Maestro infraestructura'!C361</f>
        <v>D.Básica</v>
      </c>
      <c r="D362" s="1" t="str">
        <f>+'Maestro infraestructura'!F361</f>
        <v>Enchufes</v>
      </c>
      <c r="E362" s="25" t="str">
        <f ca="1">+'Maestro infraestructura'!K361</f>
        <v>Activo</v>
      </c>
      <c r="F362" s="1" t="str">
        <f ca="1">+'Maestro infraestructura'!V361</f>
        <v>AL DÍA</v>
      </c>
      <c r="G362" s="1" t="str">
        <f>+'Maestro infraestructura'!X361</f>
        <v>GENERAL</v>
      </c>
      <c r="H362" s="1">
        <f>+'Maestro infraestructura'!Y361</f>
        <v>2</v>
      </c>
      <c r="I362" s="1"/>
      <c r="J362" s="6">
        <f>+'Maestro infraestructura'!T361</f>
        <v>46563</v>
      </c>
      <c r="K362" s="6">
        <f t="shared" ca="1" si="25"/>
        <v>46563</v>
      </c>
      <c r="L362" s="6"/>
    </row>
    <row r="363" spans="1:12" x14ac:dyDescent="0.2">
      <c r="A363" s="1" t="str">
        <f>+'Maestro infraestructura'!A362</f>
        <v>EDIFICIO PRINCIPAL</v>
      </c>
      <c r="B363" s="1" t="str">
        <f>+'Maestro infraestructura'!B362</f>
        <v>5° Piso</v>
      </c>
      <c r="C363" s="1" t="str">
        <f>+'Maestro infraestructura'!C362</f>
        <v>S.Básica</v>
      </c>
      <c r="D363" s="1" t="str">
        <f>+'Maestro infraestructura'!F362</f>
        <v>Puertas</v>
      </c>
      <c r="E363" s="25" t="str">
        <f ca="1">+'Maestro infraestructura'!K362</f>
        <v>Activo</v>
      </c>
      <c r="F363" s="1" t="str">
        <f ca="1">+'Maestro infraestructura'!V362</f>
        <v>AL DÍA</v>
      </c>
      <c r="G363" s="1" t="str">
        <f>+'Maestro infraestructura'!X362</f>
        <v>GENERAL</v>
      </c>
      <c r="H363" s="1">
        <f>+'Maestro infraestructura'!Y362</f>
        <v>2</v>
      </c>
      <c r="I363" s="1"/>
      <c r="J363" s="6">
        <f>+'Maestro infraestructura'!T362</f>
        <v>46563</v>
      </c>
      <c r="K363" s="6">
        <f t="shared" ca="1" si="25"/>
        <v>46563</v>
      </c>
      <c r="L363" s="6"/>
    </row>
    <row r="364" spans="1:12" x14ac:dyDescent="0.2">
      <c r="A364" s="1" t="str">
        <f>+'Maestro infraestructura'!A363</f>
        <v>EDIFICIO PRINCIPAL</v>
      </c>
      <c r="B364" s="1" t="str">
        <f>+'Maestro infraestructura'!B363</f>
        <v>5° Piso</v>
      </c>
      <c r="C364" s="1" t="str">
        <f>+'Maestro infraestructura'!C363</f>
        <v>S.Básica</v>
      </c>
      <c r="D364" s="1" t="str">
        <f>+'Maestro infraestructura'!F363</f>
        <v>Ventanas</v>
      </c>
      <c r="E364" s="25" t="str">
        <f ca="1">+'Maestro infraestructura'!K363</f>
        <v>Activo</v>
      </c>
      <c r="F364" s="1" t="str">
        <f ca="1">+'Maestro infraestructura'!V363</f>
        <v>AL DÍA</v>
      </c>
      <c r="G364" s="1" t="str">
        <f>+'Maestro infraestructura'!X363</f>
        <v>OPERACIÓN</v>
      </c>
      <c r="H364" s="1">
        <f>+'Maestro infraestructura'!Y363</f>
        <v>2</v>
      </c>
      <c r="I364" s="1"/>
      <c r="J364" s="6">
        <f>+'Maestro infraestructura'!T363</f>
        <v>46563</v>
      </c>
      <c r="K364" s="6">
        <f t="shared" ca="1" si="25"/>
        <v>46563</v>
      </c>
      <c r="L364" s="6"/>
    </row>
    <row r="365" spans="1:12" x14ac:dyDescent="0.2">
      <c r="A365" s="1" t="str">
        <f>+'Maestro infraestructura'!A364</f>
        <v>EDIFICIO PRINCIPAL</v>
      </c>
      <c r="B365" s="1" t="str">
        <f>+'Maestro infraestructura'!B364</f>
        <v>5° Piso</v>
      </c>
      <c r="C365" s="1" t="str">
        <f>+'Maestro infraestructura'!C364</f>
        <v>S.Básica</v>
      </c>
      <c r="D365" s="1" t="str">
        <f>+'Maestro infraestructura'!F364</f>
        <v xml:space="preserve">Baranda </v>
      </c>
      <c r="E365" s="25" t="str">
        <f ca="1">+'Maestro infraestructura'!K364</f>
        <v>Activo</v>
      </c>
      <c r="F365" s="1" t="str">
        <f ca="1">+'Maestro infraestructura'!V364</f>
        <v>AL DÍA</v>
      </c>
      <c r="G365" s="1" t="str">
        <f>+'Maestro infraestructura'!X364</f>
        <v>SEGURIDAD</v>
      </c>
      <c r="H365" s="1">
        <f>+'Maestro infraestructura'!Y364</f>
        <v>1</v>
      </c>
      <c r="I365" s="1"/>
      <c r="J365" s="6">
        <f>+'Maestro infraestructura'!T364</f>
        <v>46563</v>
      </c>
      <c r="K365" s="6">
        <f t="shared" ca="1" si="25"/>
        <v>46563</v>
      </c>
      <c r="L365" s="6"/>
    </row>
    <row r="366" spans="1:12" x14ac:dyDescent="0.2">
      <c r="A366" s="1" t="str">
        <f>+'Maestro infraestructura'!A365</f>
        <v>EDIFICIO PRINCIPAL</v>
      </c>
      <c r="B366" s="1" t="str">
        <f>+'Maestro infraestructura'!B365</f>
        <v>5° Piso</v>
      </c>
      <c r="C366" s="1" t="str">
        <f>+'Maestro infraestructura'!C365</f>
        <v>S.Básica</v>
      </c>
      <c r="D366" s="1" t="str">
        <f>+'Maestro infraestructura'!F365</f>
        <v>Piso</v>
      </c>
      <c r="E366" s="25" t="str">
        <f ca="1">+'Maestro infraestructura'!K365</f>
        <v>Activo</v>
      </c>
      <c r="F366" s="1" t="str">
        <f ca="1">+'Maestro infraestructura'!V365</f>
        <v>AL DÍA</v>
      </c>
      <c r="G366" s="1" t="str">
        <f>+'Maestro infraestructura'!X365</f>
        <v>GENERAL</v>
      </c>
      <c r="H366" s="1">
        <f>+'Maestro infraestructura'!Y365</f>
        <v>2</v>
      </c>
      <c r="I366" s="1"/>
      <c r="J366" s="6">
        <f>+'Maestro infraestructura'!T365</f>
        <v>46563</v>
      </c>
      <c r="K366" s="6">
        <f t="shared" ca="1" si="25"/>
        <v>46563</v>
      </c>
      <c r="L366" s="6"/>
    </row>
    <row r="367" spans="1:12" x14ac:dyDescent="0.2">
      <c r="A367" s="1" t="str">
        <f>+'Maestro infraestructura'!A366</f>
        <v>EDIFICIO PRINCIPAL</v>
      </c>
      <c r="B367" s="1" t="str">
        <f>+'Maestro infraestructura'!B366</f>
        <v>5° Piso</v>
      </c>
      <c r="C367" s="1" t="str">
        <f>+'Maestro infraestructura'!C366</f>
        <v>S.Básica</v>
      </c>
      <c r="D367" s="1" t="str">
        <f>+'Maestro infraestructura'!F366</f>
        <v>Enchufes</v>
      </c>
      <c r="E367" s="25" t="str">
        <f ca="1">+'Maestro infraestructura'!K366</f>
        <v>Activo</v>
      </c>
      <c r="F367" s="1" t="str">
        <f ca="1">+'Maestro infraestructura'!V366</f>
        <v>AL DÍA</v>
      </c>
      <c r="G367" s="1" t="str">
        <f>+'Maestro infraestructura'!X366</f>
        <v>GENERAL</v>
      </c>
      <c r="H367" s="1">
        <f>+'Maestro infraestructura'!Y366</f>
        <v>2</v>
      </c>
      <c r="I367" s="1"/>
      <c r="J367" s="6">
        <f>+'Maestro infraestructura'!T366</f>
        <v>46563</v>
      </c>
      <c r="K367" s="6">
        <f t="shared" ca="1" si="25"/>
        <v>46563</v>
      </c>
      <c r="L367" s="6"/>
    </row>
    <row r="368" spans="1:12" x14ac:dyDescent="0.2">
      <c r="A368" s="1" t="str">
        <f>+'Maestro infraestructura'!A367</f>
        <v>EDIFICIO PRINCIPAL</v>
      </c>
      <c r="B368" s="1" t="str">
        <f>+'Maestro infraestructura'!B367</f>
        <v>5° Piso</v>
      </c>
      <c r="C368" s="1">
        <f>+'Maestro infraestructura'!C367</f>
        <v>500</v>
      </c>
      <c r="D368" s="1" t="str">
        <f>+'Maestro infraestructura'!F367</f>
        <v>Escalera Emergencia Oriente</v>
      </c>
      <c r="E368" s="25" t="str">
        <f ca="1">+'Maestro infraestructura'!K367</f>
        <v>Activo</v>
      </c>
      <c r="F368" s="1" t="str">
        <f ca="1">+'Maestro infraestructura'!V367</f>
        <v>AL DÍA</v>
      </c>
      <c r="G368" s="1" t="str">
        <f>+'Maestro infraestructura'!X367</f>
        <v>SEGURIDAD</v>
      </c>
      <c r="H368" s="1">
        <f>+'Maestro infraestructura'!Y367</f>
        <v>1</v>
      </c>
      <c r="I368" s="1"/>
      <c r="J368" s="6">
        <f>+'Maestro infraestructura'!T367</f>
        <v>46563</v>
      </c>
      <c r="K368" s="6">
        <f t="shared" ca="1" si="25"/>
        <v>46563</v>
      </c>
      <c r="L368" s="6"/>
    </row>
    <row r="369" spans="1:12" x14ac:dyDescent="0.2">
      <c r="A369" s="1" t="str">
        <f>+'Maestro infraestructura'!A368</f>
        <v>EDIFICIO PRINCIPAL</v>
      </c>
      <c r="B369" s="1" t="str">
        <f>+'Maestro infraestructura'!B368</f>
        <v>5° Piso</v>
      </c>
      <c r="C369" s="1">
        <f>+'Maestro infraestructura'!C368</f>
        <v>500</v>
      </c>
      <c r="D369" s="1" t="str">
        <f>+'Maestro infraestructura'!F368</f>
        <v>Escalera Emergencia Poniente</v>
      </c>
      <c r="E369" s="25" t="str">
        <f ca="1">+'Maestro infraestructura'!K368</f>
        <v>Activo</v>
      </c>
      <c r="F369" s="1" t="str">
        <f ca="1">+'Maestro infraestructura'!V368</f>
        <v>AL DÍA</v>
      </c>
      <c r="G369" s="1" t="str">
        <f>+'Maestro infraestructura'!X368</f>
        <v>SEGURIDAD</v>
      </c>
      <c r="H369" s="1">
        <f>+'Maestro infraestructura'!Y368</f>
        <v>1</v>
      </c>
      <c r="I369" s="1"/>
      <c r="J369" s="6">
        <f>+'Maestro infraestructura'!T368</f>
        <v>46563</v>
      </c>
      <c r="K369" s="6">
        <f t="shared" ca="1" si="25"/>
        <v>46563</v>
      </c>
      <c r="L369" s="6"/>
    </row>
    <row r="370" spans="1:12" x14ac:dyDescent="0.2">
      <c r="A370" s="1" t="str">
        <f>+'Maestro infraestructura'!A369</f>
        <v>EDIFICIO PRINCIPAL</v>
      </c>
      <c r="B370" s="1" t="str">
        <f>+'Maestro infraestructura'!B369</f>
        <v>5° Piso</v>
      </c>
      <c r="C370" s="1">
        <f>+'Maestro infraestructura'!C369</f>
        <v>500</v>
      </c>
      <c r="D370" s="1" t="str">
        <f>+'Maestro infraestructura'!F369</f>
        <v>Escalera Interior Oriente</v>
      </c>
      <c r="E370" s="25" t="str">
        <f ca="1">+'Maestro infraestructura'!K369</f>
        <v>Activo</v>
      </c>
      <c r="F370" s="1" t="str">
        <f ca="1">+'Maestro infraestructura'!V369</f>
        <v>AL DÍA</v>
      </c>
      <c r="G370" s="1" t="str">
        <f>+'Maestro infraestructura'!X369</f>
        <v>SEGURIDAD</v>
      </c>
      <c r="H370" s="1">
        <f>+'Maestro infraestructura'!Y369</f>
        <v>1</v>
      </c>
      <c r="I370" s="1"/>
      <c r="J370" s="6">
        <f>+'Maestro infraestructura'!T369</f>
        <v>46563</v>
      </c>
      <c r="K370" s="6">
        <f t="shared" ca="1" si="25"/>
        <v>46563</v>
      </c>
      <c r="L370" s="6"/>
    </row>
    <row r="371" spans="1:12" x14ac:dyDescent="0.2">
      <c r="A371" s="1" t="str">
        <f>+'Maestro infraestructura'!A370</f>
        <v>EDIFICIO PRINCIPAL</v>
      </c>
      <c r="B371" s="1" t="str">
        <f>+'Maestro infraestructura'!B370</f>
        <v>5° Piso</v>
      </c>
      <c r="C371" s="1">
        <f>+'Maestro infraestructura'!C370</f>
        <v>500</v>
      </c>
      <c r="D371" s="1" t="str">
        <f>+'Maestro infraestructura'!F370</f>
        <v>Escalera Interior  Poniente</v>
      </c>
      <c r="E371" s="25" t="str">
        <f ca="1">+'Maestro infraestructura'!K370</f>
        <v>Activo</v>
      </c>
      <c r="F371" s="1" t="str">
        <f ca="1">+'Maestro infraestructura'!V370</f>
        <v>AL DÍA</v>
      </c>
      <c r="G371" s="1" t="str">
        <f>+'Maestro infraestructura'!X370</f>
        <v>SEGURIDAD</v>
      </c>
      <c r="H371" s="1">
        <f>+'Maestro infraestructura'!Y370</f>
        <v>1</v>
      </c>
      <c r="I371" s="1"/>
      <c r="J371" s="6">
        <f>+'Maestro infraestructura'!T370</f>
        <v>46563</v>
      </c>
      <c r="K371" s="6">
        <f t="shared" ca="1" si="25"/>
        <v>46563</v>
      </c>
      <c r="L371" s="6"/>
    </row>
    <row r="372" spans="1:12" x14ac:dyDescent="0.2">
      <c r="A372" s="1" t="str">
        <f>+'Maestro infraestructura'!A371</f>
        <v>EDIFICIO PRINCIPAL</v>
      </c>
      <c r="B372" s="1" t="str">
        <f>+'Maestro infraestructura'!B371</f>
        <v>5° Piso</v>
      </c>
      <c r="C372" s="1">
        <f>+'Maestro infraestructura'!C371</f>
        <v>501</v>
      </c>
      <c r="D372" s="1" t="str">
        <f>+'Maestro infraestructura'!F371</f>
        <v>Radiadores</v>
      </c>
      <c r="E372" s="25" t="str">
        <f ca="1">+'Maestro infraestructura'!K371</f>
        <v>Cambiar o Inspección externa</v>
      </c>
      <c r="F372" s="1" t="str">
        <f ca="1">+'Maestro infraestructura'!V371</f>
        <v>AL DÍA</v>
      </c>
      <c r="G372" s="1" t="str">
        <f>+'Maestro infraestructura'!X371</f>
        <v>GENERAL</v>
      </c>
      <c r="H372" s="1">
        <f>+'Maestro infraestructura'!Y371</f>
        <v>1</v>
      </c>
      <c r="I372" s="1"/>
      <c r="J372" s="6">
        <f>+'Maestro infraestructura'!T371</f>
        <v>46563</v>
      </c>
      <c r="K372" s="6">
        <f t="shared" ca="1" si="25"/>
        <v>4.9333991119881603E-4</v>
      </c>
      <c r="L372" s="6"/>
    </row>
    <row r="373" spans="1:12" x14ac:dyDescent="0.2">
      <c r="A373" s="1" t="str">
        <f>+'Maestro infraestructura'!A372</f>
        <v>EDIFICIO PRINCIPAL</v>
      </c>
      <c r="B373" s="1" t="str">
        <f>+'Maestro infraestructura'!B372</f>
        <v>5° Piso</v>
      </c>
      <c r="C373" s="1">
        <f>+'Maestro infraestructura'!C372</f>
        <v>502</v>
      </c>
      <c r="D373" s="1" t="str">
        <f>+'Maestro infraestructura'!F372</f>
        <v>Radiadores</v>
      </c>
      <c r="E373" s="25" t="str">
        <f ca="1">+'Maestro infraestructura'!K372</f>
        <v>Cambiar o Inspección externa</v>
      </c>
      <c r="F373" s="1" t="str">
        <f ca="1">+'Maestro infraestructura'!V372</f>
        <v>AL DÍA</v>
      </c>
      <c r="G373" s="1" t="str">
        <f>+'Maestro infraestructura'!X372</f>
        <v>GENERAL</v>
      </c>
      <c r="H373" s="1">
        <f>+'Maestro infraestructura'!Y372</f>
        <v>1</v>
      </c>
      <c r="I373" s="1"/>
      <c r="J373" s="6">
        <f>+'Maestro infraestructura'!T372</f>
        <v>46563</v>
      </c>
      <c r="K373" s="6">
        <f t="shared" ca="1" si="25"/>
        <v>4.9333991119881603E-4</v>
      </c>
      <c r="L373" s="6"/>
    </row>
    <row r="374" spans="1:12" x14ac:dyDescent="0.2">
      <c r="A374" s="1" t="str">
        <f>+'Maestro infraestructura'!A373</f>
        <v>EDIFICIO PRINCIPAL</v>
      </c>
      <c r="B374" s="1" t="str">
        <f>+'Maestro infraestructura'!B373</f>
        <v>5° Piso</v>
      </c>
      <c r="C374" s="1">
        <f>+'Maestro infraestructura'!C373</f>
        <v>503</v>
      </c>
      <c r="D374" s="1" t="str">
        <f>+'Maestro infraestructura'!F373</f>
        <v>Radiadores</v>
      </c>
      <c r="E374" s="25" t="str">
        <f ca="1">+'Maestro infraestructura'!K373</f>
        <v>Cambiar o Inspección externa</v>
      </c>
      <c r="F374" s="1" t="str">
        <f ca="1">+'Maestro infraestructura'!V373</f>
        <v>AL DÍA</v>
      </c>
      <c r="G374" s="1" t="str">
        <f>+'Maestro infraestructura'!X373</f>
        <v>GENERAL</v>
      </c>
      <c r="H374" s="1">
        <f>+'Maestro infraestructura'!Y373</f>
        <v>1</v>
      </c>
      <c r="I374" s="1"/>
      <c r="J374" s="6">
        <f>+'Maestro infraestructura'!T373</f>
        <v>46563</v>
      </c>
      <c r="K374" s="6">
        <f t="shared" ca="1" si="25"/>
        <v>4.9333991119881603E-4</v>
      </c>
      <c r="L374" s="6"/>
    </row>
    <row r="375" spans="1:12" x14ac:dyDescent="0.2">
      <c r="A375" s="1" t="str">
        <f>+'Maestro infraestructura'!A374</f>
        <v>EDIFICIO PRINCIPAL</v>
      </c>
      <c r="B375" s="1" t="str">
        <f>+'Maestro infraestructura'!B374</f>
        <v>5° Piso</v>
      </c>
      <c r="C375" s="1">
        <f>+'Maestro infraestructura'!C374</f>
        <v>504</v>
      </c>
      <c r="D375" s="1" t="str">
        <f>+'Maestro infraestructura'!F374</f>
        <v>Radiadores</v>
      </c>
      <c r="E375" s="25" t="str">
        <f ca="1">+'Maestro infraestructura'!K374</f>
        <v>Cambiar o Inspección externa</v>
      </c>
      <c r="F375" s="1" t="str">
        <f ca="1">+'Maestro infraestructura'!V374</f>
        <v>AL DÍA</v>
      </c>
      <c r="G375" s="1" t="str">
        <f>+'Maestro infraestructura'!X374</f>
        <v>GENERAL</v>
      </c>
      <c r="H375" s="1">
        <f>+'Maestro infraestructura'!Y374</f>
        <v>1</v>
      </c>
      <c r="I375" s="1"/>
      <c r="J375" s="6">
        <f>+'Maestro infraestructura'!T374</f>
        <v>46563</v>
      </c>
      <c r="K375" s="6">
        <f t="shared" ca="1" si="25"/>
        <v>4.9333991119881603E-4</v>
      </c>
      <c r="L375" s="6"/>
    </row>
    <row r="376" spans="1:12" x14ac:dyDescent="0.2">
      <c r="A376" s="1" t="str">
        <f>+'Maestro infraestructura'!A375</f>
        <v>EDIFICIO PRINCIPAL</v>
      </c>
      <c r="B376" s="1" t="str">
        <f>+'Maestro infraestructura'!B375</f>
        <v>5° Piso</v>
      </c>
      <c r="C376" s="1">
        <f>+'Maestro infraestructura'!C375</f>
        <v>506</v>
      </c>
      <c r="D376" s="1" t="str">
        <f>+'Maestro infraestructura'!F375</f>
        <v>Radiadores</v>
      </c>
      <c r="E376" s="25" t="str">
        <f ca="1">+'Maestro infraestructura'!K375</f>
        <v>Cambiar o Inspección externa</v>
      </c>
      <c r="F376" s="1" t="str">
        <f ca="1">+'Maestro infraestructura'!V375</f>
        <v>AL DÍA</v>
      </c>
      <c r="G376" s="1" t="str">
        <f>+'Maestro infraestructura'!X375</f>
        <v>GENERAL</v>
      </c>
      <c r="H376" s="1">
        <f>+'Maestro infraestructura'!Y375</f>
        <v>1</v>
      </c>
      <c r="I376" s="1"/>
      <c r="J376" s="6">
        <f>+'Maestro infraestructura'!T375</f>
        <v>46563</v>
      </c>
      <c r="K376" s="6">
        <f t="shared" ca="1" si="25"/>
        <v>4.9333991119881603E-4</v>
      </c>
      <c r="L376" s="6"/>
    </row>
    <row r="377" spans="1:12" x14ac:dyDescent="0.2">
      <c r="A377" s="1" t="str">
        <f>+'Maestro infraestructura'!A376</f>
        <v>EDIFICIO PRINCIPAL</v>
      </c>
      <c r="B377" s="1" t="str">
        <f>+'Maestro infraestructura'!B376</f>
        <v>5° Piso</v>
      </c>
      <c r="C377" s="1">
        <f>+'Maestro infraestructura'!C376</f>
        <v>507</v>
      </c>
      <c r="D377" s="1" t="str">
        <f>+'Maestro infraestructura'!F376</f>
        <v>Radiadores</v>
      </c>
      <c r="E377" s="25" t="str">
        <f ca="1">+'Maestro infraestructura'!K376</f>
        <v>Cambiar o Inspección externa</v>
      </c>
      <c r="F377" s="1" t="str">
        <f ca="1">+'Maestro infraestructura'!V376</f>
        <v>AL DÍA</v>
      </c>
      <c r="G377" s="1" t="str">
        <f>+'Maestro infraestructura'!X376</f>
        <v>GENERAL</v>
      </c>
      <c r="H377" s="1">
        <f>+'Maestro infraestructura'!Y376</f>
        <v>1</v>
      </c>
      <c r="I377" s="1"/>
      <c r="J377" s="6">
        <f>+'Maestro infraestructura'!T376</f>
        <v>46563</v>
      </c>
      <c r="K377" s="6">
        <f t="shared" ca="1" si="25"/>
        <v>4.9333991119881603E-4</v>
      </c>
      <c r="L377" s="6"/>
    </row>
    <row r="378" spans="1:12" x14ac:dyDescent="0.2">
      <c r="A378" s="1" t="str">
        <f>+'Maestro infraestructura'!A377</f>
        <v>EDIFICIO PRINCIPAL</v>
      </c>
      <c r="B378" s="1" t="str">
        <f>+'Maestro infraestructura'!B377</f>
        <v>5° Piso</v>
      </c>
      <c r="C378" s="1">
        <f>+'Maestro infraestructura'!C377</f>
        <v>508</v>
      </c>
      <c r="D378" s="1" t="str">
        <f>+'Maestro infraestructura'!F377</f>
        <v>Radiadores</v>
      </c>
      <c r="E378" s="25" t="str">
        <f ca="1">+'Maestro infraestructura'!K377</f>
        <v>Cambiar o Inspección externa</v>
      </c>
      <c r="F378" s="1" t="str">
        <f ca="1">+'Maestro infraestructura'!V377</f>
        <v>AL DÍA</v>
      </c>
      <c r="G378" s="1" t="str">
        <f>+'Maestro infraestructura'!X377</f>
        <v>GENERAL</v>
      </c>
      <c r="H378" s="1">
        <f>+'Maestro infraestructura'!Y377</f>
        <v>1</v>
      </c>
      <c r="I378" s="1"/>
      <c r="J378" s="6">
        <f>+'Maestro infraestructura'!T377</f>
        <v>46563</v>
      </c>
      <c r="K378" s="6">
        <f t="shared" ca="1" si="25"/>
        <v>4.9333991119881603E-4</v>
      </c>
      <c r="L378" s="6"/>
    </row>
    <row r="379" spans="1:12" x14ac:dyDescent="0.2">
      <c r="A379" s="1" t="str">
        <f>+'Maestro infraestructura'!A378</f>
        <v>EDIFICIO PRINCIPAL</v>
      </c>
      <c r="B379" s="1" t="str">
        <f>+'Maestro infraestructura'!B378</f>
        <v>5° Piso</v>
      </c>
      <c r="C379" s="1">
        <f>+'Maestro infraestructura'!C378</f>
        <v>509</v>
      </c>
      <c r="D379" s="1" t="str">
        <f>+'Maestro infraestructura'!F378</f>
        <v>Radiadores</v>
      </c>
      <c r="E379" s="25" t="str">
        <f ca="1">+'Maestro infraestructura'!K378</f>
        <v>Cambiar o Inspección externa</v>
      </c>
      <c r="F379" s="1" t="str">
        <f ca="1">+'Maestro infraestructura'!V378</f>
        <v>AL DÍA</v>
      </c>
      <c r="G379" s="1" t="str">
        <f>+'Maestro infraestructura'!X378</f>
        <v>GENERAL</v>
      </c>
      <c r="H379" s="1">
        <f>+'Maestro infraestructura'!Y378</f>
        <v>1</v>
      </c>
      <c r="I379" s="1"/>
      <c r="J379" s="6">
        <f>+'Maestro infraestructura'!T378</f>
        <v>46563</v>
      </c>
      <c r="K379" s="6">
        <f t="shared" ca="1" si="25"/>
        <v>4.9333991119881603E-4</v>
      </c>
      <c r="L379" s="6"/>
    </row>
    <row r="380" spans="1:12" x14ac:dyDescent="0.2">
      <c r="A380" s="1" t="str">
        <f>+'Maestro infraestructura'!A379</f>
        <v>EDIFICIO PRINCIPAL</v>
      </c>
      <c r="B380" s="1" t="str">
        <f>+'Maestro infraestructura'!B379</f>
        <v>5° Piso</v>
      </c>
      <c r="C380" s="1">
        <f>+'Maestro infraestructura'!C379</f>
        <v>510</v>
      </c>
      <c r="D380" s="1" t="str">
        <f>+'Maestro infraestructura'!F379</f>
        <v>Radiadores</v>
      </c>
      <c r="E380" s="25" t="str">
        <f ca="1">+'Maestro infraestructura'!K379</f>
        <v>Cambiar o Inspección externa</v>
      </c>
      <c r="F380" s="1" t="str">
        <f ca="1">+'Maestro infraestructura'!V379</f>
        <v>AL DÍA</v>
      </c>
      <c r="G380" s="1" t="str">
        <f>+'Maestro infraestructura'!X379</f>
        <v>GENERAL</v>
      </c>
      <c r="H380" s="1">
        <f>+'Maestro infraestructura'!Y379</f>
        <v>1</v>
      </c>
      <c r="I380" s="1"/>
      <c r="J380" s="6">
        <f>+'Maestro infraestructura'!T379</f>
        <v>46563</v>
      </c>
      <c r="K380" s="6">
        <f t="shared" ca="1" si="25"/>
        <v>4.9333991119881603E-4</v>
      </c>
      <c r="L380" s="6"/>
    </row>
    <row r="381" spans="1:12" x14ac:dyDescent="0.2">
      <c r="A381" s="1" t="str">
        <f>+'Maestro infraestructura'!A380</f>
        <v>EDIFICIO PRINCIPAL</v>
      </c>
      <c r="B381" s="1" t="str">
        <f>+'Maestro infraestructura'!B380</f>
        <v>5° Piso</v>
      </c>
      <c r="C381" s="1">
        <f>+'Maestro infraestructura'!C380</f>
        <v>511</v>
      </c>
      <c r="D381" s="1" t="str">
        <f>+'Maestro infraestructura'!F380</f>
        <v>Radiadores</v>
      </c>
      <c r="E381" s="25" t="str">
        <f ca="1">+'Maestro infraestructura'!K380</f>
        <v>Cambiar o Inspección externa</v>
      </c>
      <c r="F381" s="1" t="str">
        <f ca="1">+'Maestro infraestructura'!V380</f>
        <v>AL DÍA</v>
      </c>
      <c r="G381" s="1" t="str">
        <f>+'Maestro infraestructura'!X380</f>
        <v>GENERAL</v>
      </c>
      <c r="H381" s="1">
        <f>+'Maestro infraestructura'!Y380</f>
        <v>1</v>
      </c>
      <c r="I381" s="1"/>
      <c r="J381" s="6">
        <f>+'Maestro infraestructura'!T380</f>
        <v>46563</v>
      </c>
      <c r="K381" s="6">
        <f t="shared" ca="1" si="25"/>
        <v>4.9333991119881603E-4</v>
      </c>
      <c r="L381" s="6"/>
    </row>
    <row r="382" spans="1:12" x14ac:dyDescent="0.2">
      <c r="A382" s="1" t="str">
        <f>+'Maestro infraestructura'!A381</f>
        <v>EDIFICIO PRINCIPAL</v>
      </c>
      <c r="B382" s="1" t="str">
        <f>+'Maestro infraestructura'!B381</f>
        <v>5° Piso</v>
      </c>
      <c r="C382" s="1">
        <f>+'Maestro infraestructura'!C381</f>
        <v>512</v>
      </c>
      <c r="D382" s="1" t="str">
        <f>+'Maestro infraestructura'!F381</f>
        <v>Radiadores</v>
      </c>
      <c r="E382" s="25" t="str">
        <f ca="1">+'Maestro infraestructura'!K381</f>
        <v>Cambiar o Inspección externa</v>
      </c>
      <c r="F382" s="1" t="str">
        <f ca="1">+'Maestro infraestructura'!V381</f>
        <v>AL DÍA</v>
      </c>
      <c r="G382" s="1" t="str">
        <f>+'Maestro infraestructura'!X381</f>
        <v>GENERAL</v>
      </c>
      <c r="H382" s="1">
        <f>+'Maestro infraestructura'!Y381</f>
        <v>1</v>
      </c>
      <c r="I382" s="1"/>
      <c r="J382" s="6">
        <f>+'Maestro infraestructura'!T381</f>
        <v>46563</v>
      </c>
      <c r="K382" s="6">
        <f t="shared" ca="1" si="25"/>
        <v>4.9333991119881603E-4</v>
      </c>
      <c r="L382" s="6"/>
    </row>
    <row r="383" spans="1:12" x14ac:dyDescent="0.2">
      <c r="A383" s="1" t="str">
        <f>+'Maestro infraestructura'!A382</f>
        <v>EDIFICIO PRINCIPAL</v>
      </c>
      <c r="B383" s="1" t="str">
        <f>+'Maestro infraestructura'!B382</f>
        <v>5° Piso</v>
      </c>
      <c r="C383" s="1">
        <f>+'Maestro infraestructura'!C382</f>
        <v>513</v>
      </c>
      <c r="D383" s="1" t="str">
        <f>+'Maestro infraestructura'!F382</f>
        <v>Radiadores</v>
      </c>
      <c r="E383" s="25" t="str">
        <f ca="1">+'Maestro infraestructura'!K382</f>
        <v>Cambiar o Inspección externa</v>
      </c>
      <c r="F383" s="1" t="str">
        <f ca="1">+'Maestro infraestructura'!V382</f>
        <v>AL DÍA</v>
      </c>
      <c r="G383" s="1" t="str">
        <f>+'Maestro infraestructura'!X382</f>
        <v>GENERAL</v>
      </c>
      <c r="H383" s="1">
        <f>+'Maestro infraestructura'!Y382</f>
        <v>1</v>
      </c>
      <c r="I383" s="1"/>
      <c r="J383" s="6">
        <f>+'Maestro infraestructura'!T382</f>
        <v>46563</v>
      </c>
      <c r="K383" s="6">
        <f t="shared" ca="1" si="25"/>
        <v>4.9333991119881603E-4</v>
      </c>
      <c r="L383" s="6"/>
    </row>
    <row r="384" spans="1:12" x14ac:dyDescent="0.2">
      <c r="A384" s="1" t="str">
        <f>+'Maestro infraestructura'!A383</f>
        <v>EDIFICIO PRINCIPAL</v>
      </c>
      <c r="B384" s="1" t="str">
        <f>+'Maestro infraestructura'!B383</f>
        <v>5° Piso</v>
      </c>
      <c r="C384" s="1">
        <f>+'Maestro infraestructura'!C383</f>
        <v>515</v>
      </c>
      <c r="D384" s="1" t="str">
        <f>+'Maestro infraestructura'!F383</f>
        <v>Radiadores</v>
      </c>
      <c r="E384" s="25" t="str">
        <f ca="1">+'Maestro infraestructura'!K383</f>
        <v>Cambiar o Inspección externa</v>
      </c>
      <c r="F384" s="1" t="str">
        <f ca="1">+'Maestro infraestructura'!V383</f>
        <v>AL DÍA</v>
      </c>
      <c r="G384" s="1" t="str">
        <f>+'Maestro infraestructura'!X383</f>
        <v>GENERAL</v>
      </c>
      <c r="H384" s="1">
        <f>+'Maestro infraestructura'!Y383</f>
        <v>1</v>
      </c>
      <c r="I384" s="1"/>
      <c r="J384" s="6">
        <f>+'Maestro infraestructura'!T383</f>
        <v>46563</v>
      </c>
      <c r="K384" s="6">
        <f t="shared" ca="1" si="25"/>
        <v>4.9333991119881603E-4</v>
      </c>
      <c r="L384" s="6"/>
    </row>
    <row r="385" spans="1:12" x14ac:dyDescent="0.2">
      <c r="A385" s="1" t="str">
        <f>+'Maestro infraestructura'!A384</f>
        <v>EDIFICIO PRINCIPAL</v>
      </c>
      <c r="B385" s="1" t="str">
        <f>+'Maestro infraestructura'!B384</f>
        <v>5° Piso</v>
      </c>
      <c r="C385" s="1">
        <f>+'Maestro infraestructura'!C384</f>
        <v>516</v>
      </c>
      <c r="D385" s="1" t="str">
        <f>+'Maestro infraestructura'!F384</f>
        <v>Radiadores</v>
      </c>
      <c r="E385" s="25" t="str">
        <f ca="1">+'Maestro infraestructura'!K384</f>
        <v>Cambiar o Inspección externa</v>
      </c>
      <c r="F385" s="1" t="str">
        <f ca="1">+'Maestro infraestructura'!V384</f>
        <v>AL DÍA</v>
      </c>
      <c r="G385" s="1" t="str">
        <f>+'Maestro infraestructura'!X384</f>
        <v>GENERAL</v>
      </c>
      <c r="H385" s="1">
        <f>+'Maestro infraestructura'!Y384</f>
        <v>1</v>
      </c>
      <c r="I385" s="1"/>
      <c r="J385" s="6">
        <f>+'Maestro infraestructura'!T384</f>
        <v>46563</v>
      </c>
      <c r="K385" s="6">
        <f t="shared" ca="1" si="25"/>
        <v>4.9333991119881603E-4</v>
      </c>
      <c r="L385" s="6"/>
    </row>
    <row r="386" spans="1:12" x14ac:dyDescent="0.2">
      <c r="A386" s="1" t="str">
        <f>+'Maestro infraestructura'!A385</f>
        <v>EDIFICIO PRINCIPAL</v>
      </c>
      <c r="B386" s="1" t="str">
        <f>+'Maestro infraestructura'!B385</f>
        <v>5° Piso</v>
      </c>
      <c r="C386" s="1">
        <f>+'Maestro infraestructura'!C385</f>
        <v>522</v>
      </c>
      <c r="D386" s="1" t="str">
        <f>+'Maestro infraestructura'!F385</f>
        <v>Radiadores</v>
      </c>
      <c r="E386" s="25" t="str">
        <f ca="1">+'Maestro infraestructura'!K385</f>
        <v>Cambiar o Inspección externa</v>
      </c>
      <c r="F386" s="1" t="str">
        <f ca="1">+'Maestro infraestructura'!V385</f>
        <v>AL DÍA</v>
      </c>
      <c r="G386" s="1" t="str">
        <f>+'Maestro infraestructura'!X385</f>
        <v>GENERAL</v>
      </c>
      <c r="H386" s="1">
        <f>+'Maestro infraestructura'!Y385</f>
        <v>1</v>
      </c>
      <c r="I386" s="1"/>
      <c r="J386" s="6">
        <f>+'Maestro infraestructura'!T385</f>
        <v>46563</v>
      </c>
      <c r="K386" s="6">
        <f t="shared" ca="1" si="25"/>
        <v>4.9333991119881603E-4</v>
      </c>
      <c r="L386" s="6"/>
    </row>
    <row r="387" spans="1:12" x14ac:dyDescent="0.2">
      <c r="A387" s="1" t="str">
        <f>+'Maestro infraestructura'!A386</f>
        <v>EDIFICIO PRINCIPAL</v>
      </c>
      <c r="B387" s="1" t="str">
        <f>+'Maestro infraestructura'!B386</f>
        <v>5° Piso</v>
      </c>
      <c r="C387" s="1">
        <f>+'Maestro infraestructura'!C386</f>
        <v>523</v>
      </c>
      <c r="D387" s="1" t="str">
        <f>+'Maestro infraestructura'!F386</f>
        <v>Radiadores</v>
      </c>
      <c r="E387" s="25" t="str">
        <f ca="1">+'Maestro infraestructura'!K386</f>
        <v>Cambiar o Inspección externa</v>
      </c>
      <c r="F387" s="1" t="str">
        <f ca="1">+'Maestro infraestructura'!V386</f>
        <v>AL DÍA</v>
      </c>
      <c r="G387" s="1" t="str">
        <f>+'Maestro infraestructura'!X386</f>
        <v>GENERAL</v>
      </c>
      <c r="H387" s="1">
        <f>+'Maestro infraestructura'!Y386</f>
        <v>1</v>
      </c>
      <c r="I387" s="1"/>
      <c r="J387" s="6">
        <f>+'Maestro infraestructura'!T386</f>
        <v>46563</v>
      </c>
      <c r="K387" s="6">
        <f t="shared" ca="1" si="25"/>
        <v>4.9333991119881603E-4</v>
      </c>
      <c r="L387" s="6"/>
    </row>
    <row r="388" spans="1:12" x14ac:dyDescent="0.2">
      <c r="A388" s="1" t="str">
        <f>+'Maestro infraestructura'!A387</f>
        <v>EDIFICIO PRINCIPAL</v>
      </c>
      <c r="B388" s="1" t="str">
        <f>+'Maestro infraestructura'!B387</f>
        <v>5° Piso</v>
      </c>
      <c r="C388" s="1">
        <f>+'Maestro infraestructura'!C387</f>
        <v>524</v>
      </c>
      <c r="D388" s="1" t="str">
        <f>+'Maestro infraestructura'!F387</f>
        <v>Radiadores</v>
      </c>
      <c r="E388" s="25" t="str">
        <f ca="1">+'Maestro infraestructura'!K387</f>
        <v>Cambiar o Inspección externa</v>
      </c>
      <c r="F388" s="1" t="str">
        <f ca="1">+'Maestro infraestructura'!V387</f>
        <v>AL DÍA</v>
      </c>
      <c r="G388" s="1" t="str">
        <f>+'Maestro infraestructura'!X387</f>
        <v>GENERAL</v>
      </c>
      <c r="H388" s="1">
        <f>+'Maestro infraestructura'!Y387</f>
        <v>1</v>
      </c>
      <c r="I388" s="1"/>
      <c r="J388" s="6">
        <f>+'Maestro infraestructura'!T387</f>
        <v>46563</v>
      </c>
      <c r="K388" s="6">
        <f t="shared" ref="K388:K451" ca="1" si="26">IF(E388="Cambiar o Inspección externa",1/1/2027,IF(E388="cambiar",1/1/2027,J388))</f>
        <v>4.9333991119881603E-4</v>
      </c>
      <c r="L388" s="6"/>
    </row>
    <row r="389" spans="1:12" x14ac:dyDescent="0.2">
      <c r="A389" s="1" t="str">
        <f>+'Maestro infraestructura'!A388</f>
        <v>EDIFICIO PRINCIPAL</v>
      </c>
      <c r="B389" s="1" t="str">
        <f>+'Maestro infraestructura'!B388</f>
        <v>5° Piso</v>
      </c>
      <c r="C389" s="1">
        <f>+'Maestro infraestructura'!C388</f>
        <v>525</v>
      </c>
      <c r="D389" s="1" t="str">
        <f>+'Maestro infraestructura'!F388</f>
        <v>Radiadores</v>
      </c>
      <c r="E389" s="25" t="str">
        <f ca="1">+'Maestro infraestructura'!K388</f>
        <v>Cambiar o Inspección externa</v>
      </c>
      <c r="F389" s="1" t="str">
        <f ca="1">+'Maestro infraestructura'!V388</f>
        <v>AL DÍA</v>
      </c>
      <c r="G389" s="1" t="str">
        <f>+'Maestro infraestructura'!X388</f>
        <v>GENERAL</v>
      </c>
      <c r="H389" s="1">
        <f>+'Maestro infraestructura'!Y388</f>
        <v>1</v>
      </c>
      <c r="I389" s="1"/>
      <c r="J389" s="6">
        <f>+'Maestro infraestructura'!T388</f>
        <v>46563</v>
      </c>
      <c r="K389" s="6">
        <f t="shared" ca="1" si="26"/>
        <v>4.9333991119881603E-4</v>
      </c>
      <c r="L389" s="6"/>
    </row>
    <row r="390" spans="1:12" x14ac:dyDescent="0.2">
      <c r="A390" s="1" t="str">
        <f>+'Maestro infraestructura'!A389</f>
        <v>EDIFICIO PRINCIPAL</v>
      </c>
      <c r="B390" s="1" t="str">
        <f>+'Maestro infraestructura'!B389</f>
        <v>5° Piso</v>
      </c>
      <c r="C390" s="1">
        <f>+'Maestro infraestructura'!C389</f>
        <v>526</v>
      </c>
      <c r="D390" s="1" t="str">
        <f>+'Maestro infraestructura'!F389</f>
        <v>Radiadores</v>
      </c>
      <c r="E390" s="25" t="str">
        <f ca="1">+'Maestro infraestructura'!K389</f>
        <v>Cambiar o Inspección externa</v>
      </c>
      <c r="F390" s="1" t="str">
        <f ca="1">+'Maestro infraestructura'!V389</f>
        <v>AL DÍA</v>
      </c>
      <c r="G390" s="1" t="str">
        <f>+'Maestro infraestructura'!X389</f>
        <v>GENERAL</v>
      </c>
      <c r="H390" s="1">
        <f>+'Maestro infraestructura'!Y389</f>
        <v>1</v>
      </c>
      <c r="I390" s="1"/>
      <c r="J390" s="6">
        <f>+'Maestro infraestructura'!T389</f>
        <v>46563</v>
      </c>
      <c r="K390" s="6">
        <f t="shared" ca="1" si="26"/>
        <v>4.9333991119881603E-4</v>
      </c>
      <c r="L390" s="6"/>
    </row>
    <row r="391" spans="1:12" x14ac:dyDescent="0.2">
      <c r="A391" s="1" t="str">
        <f>+'Maestro infraestructura'!A390</f>
        <v>EDIFICIO PRINCIPAL</v>
      </c>
      <c r="B391" s="1" t="str">
        <f>+'Maestro infraestructura'!B390</f>
        <v>6° Piso</v>
      </c>
      <c r="C391" s="1" t="str">
        <f>+'Maestro infraestructura'!C390</f>
        <v>Pasillo N600</v>
      </c>
      <c r="D391" s="1" t="str">
        <f>+'Maestro infraestructura'!F390</f>
        <v xml:space="preserve">Tablero eléctrico 1 oriente </v>
      </c>
      <c r="E391" s="25" t="str">
        <f ca="1">+'Maestro infraestructura'!K390</f>
        <v>Activo</v>
      </c>
      <c r="F391" s="1" t="str">
        <f ca="1">+'Maestro infraestructura'!V390</f>
        <v>AL DÍA</v>
      </c>
      <c r="G391" s="1" t="str">
        <f>+'Maestro infraestructura'!X390</f>
        <v>OPERACIÓN</v>
      </c>
      <c r="H391" s="1">
        <f>+'Maestro infraestructura'!Y390</f>
        <v>2</v>
      </c>
      <c r="I391" s="1"/>
      <c r="J391" s="6">
        <f>+'Maestro infraestructura'!T390</f>
        <v>46563</v>
      </c>
      <c r="K391" s="6">
        <f t="shared" ca="1" si="26"/>
        <v>46563</v>
      </c>
      <c r="L391" s="6"/>
    </row>
    <row r="392" spans="1:12" x14ac:dyDescent="0.2">
      <c r="A392" s="1" t="str">
        <f>+'Maestro infraestructura'!A391</f>
        <v>EDIFICIO PRINCIPAL</v>
      </c>
      <c r="B392" s="1" t="str">
        <f>+'Maestro infraestructura'!B391</f>
        <v>6° Piso</v>
      </c>
      <c r="C392" s="1" t="str">
        <f>+'Maestro infraestructura'!C391</f>
        <v>Pasillo N600</v>
      </c>
      <c r="D392" s="1" t="str">
        <f>+'Maestro infraestructura'!F391</f>
        <v>Tablero eléctrico 2 poniente</v>
      </c>
      <c r="E392" s="25" t="str">
        <f ca="1">+'Maestro infraestructura'!K391</f>
        <v>Activo</v>
      </c>
      <c r="F392" s="1" t="str">
        <f ca="1">+'Maestro infraestructura'!V391</f>
        <v>AL DÍA</v>
      </c>
      <c r="G392" s="1" t="str">
        <f>+'Maestro infraestructura'!X391</f>
        <v>OPERACIÓN</v>
      </c>
      <c r="H392" s="1">
        <f>+'Maestro infraestructura'!Y391</f>
        <v>2</v>
      </c>
      <c r="I392" s="1"/>
      <c r="J392" s="6">
        <f>+'Maestro infraestructura'!T391</f>
        <v>46563</v>
      </c>
      <c r="K392" s="6">
        <f t="shared" ca="1" si="26"/>
        <v>46563</v>
      </c>
      <c r="L392" s="6"/>
    </row>
    <row r="393" spans="1:12" x14ac:dyDescent="0.2">
      <c r="A393" s="1" t="str">
        <f>+'Maestro infraestructura'!A392</f>
        <v>EDIFICIO PRINCIPAL</v>
      </c>
      <c r="B393" s="1" t="str">
        <f>+'Maestro infraestructura'!B392</f>
        <v>6° Piso</v>
      </c>
      <c r="C393" s="1" t="str">
        <f>+'Maestro infraestructura'!C392</f>
        <v>Pasillo N600</v>
      </c>
      <c r="D393" s="1" t="str">
        <f>+'Maestro infraestructura'!F392</f>
        <v>Baño alumnos varones</v>
      </c>
      <c r="E393" s="25" t="str">
        <f ca="1">+'Maestro infraestructura'!K392</f>
        <v>Activo</v>
      </c>
      <c r="F393" s="1" t="str">
        <f ca="1">+'Maestro infraestructura'!V392</f>
        <v>VENCIDO</v>
      </c>
      <c r="G393" s="1" t="str">
        <f>+'Maestro infraestructura'!X392</f>
        <v>LEGAL</v>
      </c>
      <c r="H393" s="1">
        <f>+'Maestro infraestructura'!Y392</f>
        <v>2</v>
      </c>
      <c r="I393" s="1"/>
      <c r="J393" s="6">
        <f>+'Maestro infraestructura'!T392</f>
        <v>46258</v>
      </c>
      <c r="K393" s="6">
        <f t="shared" ca="1" si="26"/>
        <v>46258</v>
      </c>
      <c r="L393" s="6"/>
    </row>
    <row r="394" spans="1:12" x14ac:dyDescent="0.2">
      <c r="A394" s="1" t="str">
        <f>+'Maestro infraestructura'!A393</f>
        <v>EDIFICIO PRINCIPAL</v>
      </c>
      <c r="B394" s="1" t="str">
        <f>+'Maestro infraestructura'!B393</f>
        <v>6° Piso</v>
      </c>
      <c r="C394" s="1" t="str">
        <f>+'Maestro infraestructura'!C393</f>
        <v>Pasillo N600</v>
      </c>
      <c r="D394" s="1" t="str">
        <f>+'Maestro infraestructura'!F393</f>
        <v>Baño alumnos mujeres</v>
      </c>
      <c r="E394" s="25" t="str">
        <f ca="1">+'Maestro infraestructura'!K393</f>
        <v>Activo</v>
      </c>
      <c r="F394" s="1" t="str">
        <f ca="1">+'Maestro infraestructura'!V393</f>
        <v>VENCIDO</v>
      </c>
      <c r="G394" s="1" t="str">
        <f>+'Maestro infraestructura'!X393</f>
        <v>LEGAL</v>
      </c>
      <c r="H394" s="1">
        <f>+'Maestro infraestructura'!Y393</f>
        <v>2</v>
      </c>
      <c r="I394" s="1"/>
      <c r="J394" s="6">
        <f>+'Maestro infraestructura'!T393</f>
        <v>46258</v>
      </c>
      <c r="K394" s="6">
        <f t="shared" ca="1" si="26"/>
        <v>46258</v>
      </c>
      <c r="L394" s="6"/>
    </row>
    <row r="395" spans="1:12" x14ac:dyDescent="0.2">
      <c r="A395" s="1" t="str">
        <f>+'Maestro infraestructura'!A394</f>
        <v>EDIFICIO PRINCIPAL</v>
      </c>
      <c r="B395" s="1" t="str">
        <f>+'Maestro infraestructura'!B394</f>
        <v>6° Piso</v>
      </c>
      <c r="C395" s="1">
        <f>+'Maestro infraestructura'!C394</f>
        <v>601</v>
      </c>
      <c r="D395" s="1" t="str">
        <f>+'Maestro infraestructura'!F394</f>
        <v>Ventanas</v>
      </c>
      <c r="E395" s="25" t="str">
        <f ca="1">+'Maestro infraestructura'!K394</f>
        <v>Activo</v>
      </c>
      <c r="F395" s="1" t="str">
        <f ca="1">+'Maestro infraestructura'!V394</f>
        <v>AL DÍA</v>
      </c>
      <c r="G395" s="1" t="str">
        <f>+'Maestro infraestructura'!X394</f>
        <v>SEGURIDAD</v>
      </c>
      <c r="H395" s="1">
        <f>+'Maestro infraestructura'!Y394</f>
        <v>2</v>
      </c>
      <c r="I395" s="1"/>
      <c r="J395" s="6">
        <f>+'Maestro infraestructura'!T394</f>
        <v>46563</v>
      </c>
      <c r="K395" s="6">
        <f t="shared" ca="1" si="26"/>
        <v>46563</v>
      </c>
      <c r="L395" s="6"/>
    </row>
    <row r="396" spans="1:12" x14ac:dyDescent="0.2">
      <c r="A396" s="1" t="str">
        <f>+'Maestro infraestructura'!A395</f>
        <v>EDIFICIO PRINCIPAL</v>
      </c>
      <c r="B396" s="1" t="str">
        <f>+'Maestro infraestructura'!B395</f>
        <v>6° Piso</v>
      </c>
      <c r="C396" s="1">
        <f>+'Maestro infraestructura'!C395</f>
        <v>601</v>
      </c>
      <c r="D396" s="1" t="str">
        <f>+'Maestro infraestructura'!F395</f>
        <v xml:space="preserve">Baranda </v>
      </c>
      <c r="E396" s="25" t="str">
        <f ca="1">+'Maestro infraestructura'!K395</f>
        <v>Activo</v>
      </c>
      <c r="F396" s="1" t="str">
        <f ca="1">+'Maestro infraestructura'!V395</f>
        <v>AL DÍA</v>
      </c>
      <c r="G396" s="1" t="str">
        <f>+'Maestro infraestructura'!X395</f>
        <v>SEGURIDAD</v>
      </c>
      <c r="H396" s="1">
        <f>+'Maestro infraestructura'!Y395</f>
        <v>1</v>
      </c>
      <c r="I396" s="1"/>
      <c r="J396" s="6">
        <f>+'Maestro infraestructura'!T395</f>
        <v>46563</v>
      </c>
      <c r="K396" s="6">
        <f t="shared" ca="1" si="26"/>
        <v>46563</v>
      </c>
      <c r="L396" s="6"/>
    </row>
    <row r="397" spans="1:12" x14ac:dyDescent="0.2">
      <c r="A397" s="1" t="str">
        <f>+'Maestro infraestructura'!A396</f>
        <v>EDIFICIO PRINCIPAL</v>
      </c>
      <c r="B397" s="1" t="str">
        <f>+'Maestro infraestructura'!B396</f>
        <v>6° Piso</v>
      </c>
      <c r="C397" s="1">
        <f>+'Maestro infraestructura'!C396</f>
        <v>601</v>
      </c>
      <c r="D397" s="1" t="str">
        <f>+'Maestro infraestructura'!F396</f>
        <v>Piso</v>
      </c>
      <c r="E397" s="25" t="str">
        <f ca="1">+'Maestro infraestructura'!K396</f>
        <v>Activo</v>
      </c>
      <c r="F397" s="1" t="str">
        <f ca="1">+'Maestro infraestructura'!V396</f>
        <v>AL DÍA</v>
      </c>
      <c r="G397" s="1" t="str">
        <f>+'Maestro infraestructura'!X396</f>
        <v>GENERAL</v>
      </c>
      <c r="H397" s="1">
        <f>+'Maestro infraestructura'!Y396</f>
        <v>2</v>
      </c>
      <c r="I397" s="1"/>
      <c r="J397" s="6">
        <f>+'Maestro infraestructura'!T396</f>
        <v>46563</v>
      </c>
      <c r="K397" s="6">
        <f t="shared" ca="1" si="26"/>
        <v>46563</v>
      </c>
      <c r="L397" s="6"/>
    </row>
    <row r="398" spans="1:12" x14ac:dyDescent="0.2">
      <c r="A398" s="1" t="str">
        <f>+'Maestro infraestructura'!A397</f>
        <v>EDIFICIO PRINCIPAL</v>
      </c>
      <c r="B398" s="1" t="str">
        <f>+'Maestro infraestructura'!B397</f>
        <v>6° Piso</v>
      </c>
      <c r="C398" s="1">
        <f>+'Maestro infraestructura'!C397</f>
        <v>601</v>
      </c>
      <c r="D398" s="1" t="str">
        <f>+'Maestro infraestructura'!F397</f>
        <v>Enchufes</v>
      </c>
      <c r="E398" s="25" t="str">
        <f ca="1">+'Maestro infraestructura'!K397</f>
        <v>Activo</v>
      </c>
      <c r="F398" s="1" t="str">
        <f ca="1">+'Maestro infraestructura'!V397</f>
        <v>AL DÍA</v>
      </c>
      <c r="G398" s="1" t="str">
        <f>+'Maestro infraestructura'!X397</f>
        <v>GENERAL</v>
      </c>
      <c r="H398" s="1">
        <f>+'Maestro infraestructura'!Y397</f>
        <v>2</v>
      </c>
      <c r="I398" s="1"/>
      <c r="J398" s="6">
        <f>+'Maestro infraestructura'!T397</f>
        <v>46563</v>
      </c>
      <c r="K398" s="6">
        <f t="shared" ca="1" si="26"/>
        <v>46563</v>
      </c>
      <c r="L398" s="6"/>
    </row>
    <row r="399" spans="1:12" x14ac:dyDescent="0.2">
      <c r="A399" s="1" t="str">
        <f>+'Maestro infraestructura'!A398</f>
        <v>EDIFICIO PRINCIPAL</v>
      </c>
      <c r="B399" s="1" t="str">
        <f>+'Maestro infraestructura'!B398</f>
        <v>6° Piso</v>
      </c>
      <c r="C399" s="1">
        <f>+'Maestro infraestructura'!C398</f>
        <v>601</v>
      </c>
      <c r="D399" s="1" t="str">
        <f>+'Maestro infraestructura'!F398</f>
        <v>TV</v>
      </c>
      <c r="E399" s="25" t="str">
        <f ca="1">+'Maestro infraestructura'!K398</f>
        <v>Activo</v>
      </c>
      <c r="F399" s="1" t="str">
        <f ca="1">+'Maestro infraestructura'!V398</f>
        <v>AL DÍA</v>
      </c>
      <c r="G399" s="1" t="str">
        <f>+'Maestro infraestructura'!X398</f>
        <v>OPERACIÓN</v>
      </c>
      <c r="H399" s="1">
        <f>+'Maestro infraestructura'!Y398</f>
        <v>2</v>
      </c>
      <c r="I399" s="1"/>
      <c r="J399" s="6">
        <f>+'Maestro infraestructura'!T398</f>
        <v>46563</v>
      </c>
      <c r="K399" s="6">
        <f t="shared" ca="1" si="26"/>
        <v>46563</v>
      </c>
      <c r="L399" s="6"/>
    </row>
    <row r="400" spans="1:12" x14ac:dyDescent="0.2">
      <c r="A400" s="1" t="str">
        <f>+'Maestro infraestructura'!A399</f>
        <v>EDIFICIO PRINCIPAL</v>
      </c>
      <c r="B400" s="1" t="str">
        <f>+'Maestro infraestructura'!B399</f>
        <v>6° Piso</v>
      </c>
      <c r="C400" s="1">
        <f>+'Maestro infraestructura'!C399</f>
        <v>601</v>
      </c>
      <c r="D400" s="1" t="str">
        <f>+'Maestro infraestructura'!F399</f>
        <v>Pizarra</v>
      </c>
      <c r="E400" s="25" t="str">
        <f ca="1">+'Maestro infraestructura'!K399</f>
        <v>Activo</v>
      </c>
      <c r="F400" s="1" t="str">
        <f ca="1">+'Maestro infraestructura'!V399</f>
        <v>AL DÍA</v>
      </c>
      <c r="G400" s="1" t="str">
        <f>+'Maestro infraestructura'!X399</f>
        <v>OPERACIÓN</v>
      </c>
      <c r="H400" s="1">
        <f>+'Maestro infraestructura'!Y399</f>
        <v>2</v>
      </c>
      <c r="I400" s="1"/>
      <c r="J400" s="6">
        <f>+'Maestro infraestructura'!T399</f>
        <v>46563</v>
      </c>
      <c r="K400" s="6">
        <f t="shared" ca="1" si="26"/>
        <v>46563</v>
      </c>
      <c r="L400" s="6"/>
    </row>
    <row r="401" spans="1:12" x14ac:dyDescent="0.2">
      <c r="A401" s="1" t="str">
        <f>+'Maestro infraestructura'!A400</f>
        <v>EDIFICIO PRINCIPAL</v>
      </c>
      <c r="B401" s="1" t="str">
        <f>+'Maestro infraestructura'!B400</f>
        <v>6° Piso</v>
      </c>
      <c r="C401" s="1">
        <f>+'Maestro infraestructura'!C400</f>
        <v>601</v>
      </c>
      <c r="D401" s="1" t="str">
        <f>+'Maestro infraestructura'!F400</f>
        <v>Puertas</v>
      </c>
      <c r="E401" s="25" t="str">
        <f ca="1">+'Maestro infraestructura'!K400</f>
        <v>Activo</v>
      </c>
      <c r="F401" s="1" t="str">
        <f ca="1">+'Maestro infraestructura'!V400</f>
        <v>AL DÍA</v>
      </c>
      <c r="G401" s="1" t="str">
        <f>+'Maestro infraestructura'!X400</f>
        <v>GENERAL</v>
      </c>
      <c r="H401" s="1">
        <f>+'Maestro infraestructura'!Y400</f>
        <v>2</v>
      </c>
      <c r="I401" s="1"/>
      <c r="J401" s="6">
        <f>+'Maestro infraestructura'!T400</f>
        <v>46563</v>
      </c>
      <c r="K401" s="6">
        <f t="shared" ca="1" si="26"/>
        <v>46563</v>
      </c>
      <c r="L401" s="6"/>
    </row>
    <row r="402" spans="1:12" x14ac:dyDescent="0.2">
      <c r="A402" s="1" t="str">
        <f>+'Maestro infraestructura'!A401</f>
        <v>EDIFICIO PRINCIPAL</v>
      </c>
      <c r="B402" s="1" t="str">
        <f>+'Maestro infraestructura'!B401</f>
        <v>6° Piso</v>
      </c>
      <c r="C402" s="1">
        <f>+'Maestro infraestructura'!C401</f>
        <v>602</v>
      </c>
      <c r="D402" s="1" t="str">
        <f>+'Maestro infraestructura'!F401</f>
        <v>Ventanas</v>
      </c>
      <c r="E402" s="25" t="str">
        <f ca="1">+'Maestro infraestructura'!K401</f>
        <v>Activo</v>
      </c>
      <c r="F402" s="1" t="str">
        <f ca="1">+'Maestro infraestructura'!V401</f>
        <v>AL DÍA</v>
      </c>
      <c r="G402" s="1" t="str">
        <f>+'Maestro infraestructura'!X401</f>
        <v>OPERACIÓN</v>
      </c>
      <c r="H402" s="1">
        <f>+'Maestro infraestructura'!Y401</f>
        <v>2</v>
      </c>
      <c r="I402" s="1"/>
      <c r="J402" s="6">
        <f>+'Maestro infraestructura'!T401</f>
        <v>46563</v>
      </c>
      <c r="K402" s="6">
        <f t="shared" ca="1" si="26"/>
        <v>46563</v>
      </c>
      <c r="L402" s="6"/>
    </row>
    <row r="403" spans="1:12" x14ac:dyDescent="0.2">
      <c r="A403" s="1" t="str">
        <f>+'Maestro infraestructura'!A402</f>
        <v>EDIFICIO PRINCIPAL</v>
      </c>
      <c r="B403" s="1" t="str">
        <f>+'Maestro infraestructura'!B402</f>
        <v>6° Piso</v>
      </c>
      <c r="C403" s="1">
        <f>+'Maestro infraestructura'!C402</f>
        <v>602</v>
      </c>
      <c r="D403" s="1" t="str">
        <f>+'Maestro infraestructura'!F402</f>
        <v xml:space="preserve">Baranda </v>
      </c>
      <c r="E403" s="25" t="str">
        <f ca="1">+'Maestro infraestructura'!K402</f>
        <v>Activo</v>
      </c>
      <c r="F403" s="1" t="str">
        <f ca="1">+'Maestro infraestructura'!V402</f>
        <v>AL DÍA</v>
      </c>
      <c r="G403" s="1" t="str">
        <f>+'Maestro infraestructura'!X402</f>
        <v>SEGURIDAD</v>
      </c>
      <c r="H403" s="1">
        <f>+'Maestro infraestructura'!Y402</f>
        <v>1</v>
      </c>
      <c r="I403" s="1"/>
      <c r="J403" s="6">
        <f>+'Maestro infraestructura'!T402</f>
        <v>46563</v>
      </c>
      <c r="K403" s="6">
        <f t="shared" ca="1" si="26"/>
        <v>46563</v>
      </c>
      <c r="L403" s="6"/>
    </row>
    <row r="404" spans="1:12" x14ac:dyDescent="0.2">
      <c r="A404" s="1" t="str">
        <f>+'Maestro infraestructura'!A403</f>
        <v>EDIFICIO PRINCIPAL</v>
      </c>
      <c r="B404" s="1" t="str">
        <f>+'Maestro infraestructura'!B403</f>
        <v>6° Piso</v>
      </c>
      <c r="C404" s="1">
        <f>+'Maestro infraestructura'!C403</f>
        <v>602</v>
      </c>
      <c r="D404" s="1" t="str">
        <f>+'Maestro infraestructura'!F403</f>
        <v>Piso</v>
      </c>
      <c r="E404" s="25" t="str">
        <f ca="1">+'Maestro infraestructura'!K403</f>
        <v>Activo</v>
      </c>
      <c r="F404" s="1" t="str">
        <f ca="1">+'Maestro infraestructura'!V403</f>
        <v>AL DÍA</v>
      </c>
      <c r="G404" s="1" t="str">
        <f>+'Maestro infraestructura'!X403</f>
        <v>GENERAL</v>
      </c>
      <c r="H404" s="1">
        <f>+'Maestro infraestructura'!Y403</f>
        <v>2</v>
      </c>
      <c r="I404" s="1"/>
      <c r="J404" s="6">
        <f>+'Maestro infraestructura'!T403</f>
        <v>46563</v>
      </c>
      <c r="K404" s="6">
        <f t="shared" ca="1" si="26"/>
        <v>46563</v>
      </c>
      <c r="L404" s="6"/>
    </row>
    <row r="405" spans="1:12" x14ac:dyDescent="0.2">
      <c r="A405" s="1" t="str">
        <f>+'Maestro infraestructura'!A404</f>
        <v>EDIFICIO PRINCIPAL</v>
      </c>
      <c r="B405" s="1" t="str">
        <f>+'Maestro infraestructura'!B404</f>
        <v>6° Piso</v>
      </c>
      <c r="C405" s="1">
        <f>+'Maestro infraestructura'!C404</f>
        <v>602</v>
      </c>
      <c r="D405" s="1" t="str">
        <f>+'Maestro infraestructura'!F404</f>
        <v>Enchufes</v>
      </c>
      <c r="E405" s="25" t="str">
        <f ca="1">+'Maestro infraestructura'!K404</f>
        <v>Activo</v>
      </c>
      <c r="F405" s="1" t="str">
        <f ca="1">+'Maestro infraestructura'!V404</f>
        <v>AL DÍA</v>
      </c>
      <c r="G405" s="1" t="str">
        <f>+'Maestro infraestructura'!X404</f>
        <v>GENERAL</v>
      </c>
      <c r="H405" s="1">
        <f>+'Maestro infraestructura'!Y404</f>
        <v>2</v>
      </c>
      <c r="I405" s="1"/>
      <c r="J405" s="6">
        <f>+'Maestro infraestructura'!T404</f>
        <v>46563</v>
      </c>
      <c r="K405" s="6">
        <f t="shared" ca="1" si="26"/>
        <v>46563</v>
      </c>
      <c r="L405" s="6"/>
    </row>
    <row r="406" spans="1:12" x14ac:dyDescent="0.2">
      <c r="A406" s="1" t="str">
        <f>+'Maestro infraestructura'!A405</f>
        <v>EDIFICIO PRINCIPAL</v>
      </c>
      <c r="B406" s="1" t="str">
        <f>+'Maestro infraestructura'!B405</f>
        <v>6° Piso</v>
      </c>
      <c r="C406" s="1">
        <f>+'Maestro infraestructura'!C405</f>
        <v>602</v>
      </c>
      <c r="D406" s="1" t="str">
        <f>+'Maestro infraestructura'!F405</f>
        <v>TV</v>
      </c>
      <c r="E406" s="25" t="str">
        <f ca="1">+'Maestro infraestructura'!K405</f>
        <v>Activo</v>
      </c>
      <c r="F406" s="1" t="str">
        <f ca="1">+'Maestro infraestructura'!V405</f>
        <v>AL DÍA</v>
      </c>
      <c r="G406" s="1" t="str">
        <f>+'Maestro infraestructura'!X405</f>
        <v>OPERACIÓN</v>
      </c>
      <c r="H406" s="1">
        <f>+'Maestro infraestructura'!Y405</f>
        <v>2</v>
      </c>
      <c r="I406" s="1"/>
      <c r="J406" s="6">
        <f>+'Maestro infraestructura'!T405</f>
        <v>46563</v>
      </c>
      <c r="K406" s="6">
        <f t="shared" ca="1" si="26"/>
        <v>46563</v>
      </c>
      <c r="L406" s="6"/>
    </row>
    <row r="407" spans="1:12" x14ac:dyDescent="0.2">
      <c r="A407" s="1" t="str">
        <f>+'Maestro infraestructura'!A406</f>
        <v>EDIFICIO PRINCIPAL</v>
      </c>
      <c r="B407" s="1" t="str">
        <f>+'Maestro infraestructura'!B406</f>
        <v>6° Piso</v>
      </c>
      <c r="C407" s="1">
        <f>+'Maestro infraestructura'!C406</f>
        <v>602</v>
      </c>
      <c r="D407" s="1" t="str">
        <f>+'Maestro infraestructura'!F406</f>
        <v>Pizarra</v>
      </c>
      <c r="E407" s="25" t="str">
        <f ca="1">+'Maestro infraestructura'!K406</f>
        <v>Activo</v>
      </c>
      <c r="F407" s="1" t="str">
        <f ca="1">+'Maestro infraestructura'!V406</f>
        <v>AL DÍA</v>
      </c>
      <c r="G407" s="1" t="str">
        <f>+'Maestro infraestructura'!X406</f>
        <v>OPERACIÓN</v>
      </c>
      <c r="H407" s="1">
        <f>+'Maestro infraestructura'!Y406</f>
        <v>2</v>
      </c>
      <c r="I407" s="1"/>
      <c r="J407" s="6">
        <f>+'Maestro infraestructura'!T406</f>
        <v>46563</v>
      </c>
      <c r="K407" s="6">
        <f t="shared" ca="1" si="26"/>
        <v>46563</v>
      </c>
      <c r="L407" s="6"/>
    </row>
    <row r="408" spans="1:12" x14ac:dyDescent="0.2">
      <c r="A408" s="1" t="str">
        <f>+'Maestro infraestructura'!A407</f>
        <v>EDIFICIO PRINCIPAL</v>
      </c>
      <c r="B408" s="1" t="str">
        <f>+'Maestro infraestructura'!B407</f>
        <v>6° Piso</v>
      </c>
      <c r="C408" s="1">
        <f>+'Maestro infraestructura'!C407</f>
        <v>602</v>
      </c>
      <c r="D408" s="1" t="str">
        <f>+'Maestro infraestructura'!F407</f>
        <v>Puertas</v>
      </c>
      <c r="E408" s="25" t="str">
        <f ca="1">+'Maestro infraestructura'!K407</f>
        <v>Activo</v>
      </c>
      <c r="F408" s="1" t="str">
        <f ca="1">+'Maestro infraestructura'!V407</f>
        <v>AL DÍA</v>
      </c>
      <c r="G408" s="1" t="str">
        <f>+'Maestro infraestructura'!X407</f>
        <v>GENERAL</v>
      </c>
      <c r="H408" s="1">
        <f>+'Maestro infraestructura'!Y407</f>
        <v>2</v>
      </c>
      <c r="I408" s="1"/>
      <c r="J408" s="6">
        <f>+'Maestro infraestructura'!T407</f>
        <v>46563</v>
      </c>
      <c r="K408" s="6">
        <f t="shared" ca="1" si="26"/>
        <v>46563</v>
      </c>
      <c r="L408" s="6"/>
    </row>
    <row r="409" spans="1:12" x14ac:dyDescent="0.2">
      <c r="A409" s="1" t="str">
        <f>+'Maestro infraestructura'!A408</f>
        <v>EDIFICIO PRINCIPAL</v>
      </c>
      <c r="B409" s="1" t="str">
        <f>+'Maestro infraestructura'!B408</f>
        <v>6° Piso</v>
      </c>
      <c r="C409" s="1">
        <f>+'Maestro infraestructura'!C408</f>
        <v>603</v>
      </c>
      <c r="D409" s="1" t="str">
        <f>+'Maestro infraestructura'!F408</f>
        <v>Ventanas</v>
      </c>
      <c r="E409" s="25" t="str">
        <f ca="1">+'Maestro infraestructura'!K408</f>
        <v>Activo</v>
      </c>
      <c r="F409" s="1" t="str">
        <f ca="1">+'Maestro infraestructura'!V408</f>
        <v>AL DÍA</v>
      </c>
      <c r="G409" s="1" t="str">
        <f>+'Maestro infraestructura'!X408</f>
        <v>OPERACIÓN</v>
      </c>
      <c r="H409" s="1">
        <f>+'Maestro infraestructura'!Y408</f>
        <v>2</v>
      </c>
      <c r="I409" s="1"/>
      <c r="J409" s="6">
        <f>+'Maestro infraestructura'!T408</f>
        <v>46563</v>
      </c>
      <c r="K409" s="6">
        <f t="shared" ca="1" si="26"/>
        <v>46563</v>
      </c>
      <c r="L409" s="6"/>
    </row>
    <row r="410" spans="1:12" x14ac:dyDescent="0.2">
      <c r="A410" s="1" t="str">
        <f>+'Maestro infraestructura'!A409</f>
        <v>EDIFICIO PRINCIPAL</v>
      </c>
      <c r="B410" s="1" t="str">
        <f>+'Maestro infraestructura'!B409</f>
        <v>6° Piso</v>
      </c>
      <c r="C410" s="1">
        <f>+'Maestro infraestructura'!C409</f>
        <v>603</v>
      </c>
      <c r="D410" s="1" t="str">
        <f>+'Maestro infraestructura'!F409</f>
        <v xml:space="preserve">Baranda </v>
      </c>
      <c r="E410" s="25" t="str">
        <f ca="1">+'Maestro infraestructura'!K409</f>
        <v>Activo</v>
      </c>
      <c r="F410" s="1" t="str">
        <f ca="1">+'Maestro infraestructura'!V409</f>
        <v>AL DÍA</v>
      </c>
      <c r="G410" s="1" t="str">
        <f>+'Maestro infraestructura'!X409</f>
        <v>SEGURIDAD</v>
      </c>
      <c r="H410" s="1">
        <f>+'Maestro infraestructura'!Y409</f>
        <v>1</v>
      </c>
      <c r="I410" s="1"/>
      <c r="J410" s="6">
        <f>+'Maestro infraestructura'!T409</f>
        <v>46563</v>
      </c>
      <c r="K410" s="6">
        <f t="shared" ca="1" si="26"/>
        <v>46563</v>
      </c>
      <c r="L410" s="6"/>
    </row>
    <row r="411" spans="1:12" x14ac:dyDescent="0.2">
      <c r="A411" s="1" t="str">
        <f>+'Maestro infraestructura'!A410</f>
        <v>EDIFICIO PRINCIPAL</v>
      </c>
      <c r="B411" s="1" t="str">
        <f>+'Maestro infraestructura'!B410</f>
        <v>6° Piso</v>
      </c>
      <c r="C411" s="1">
        <f>+'Maestro infraestructura'!C410</f>
        <v>603</v>
      </c>
      <c r="D411" s="1" t="str">
        <f>+'Maestro infraestructura'!F410</f>
        <v>Piso</v>
      </c>
      <c r="E411" s="25" t="str">
        <f ca="1">+'Maestro infraestructura'!K410</f>
        <v>Activo</v>
      </c>
      <c r="F411" s="1" t="str">
        <f ca="1">+'Maestro infraestructura'!V410</f>
        <v>AL DÍA</v>
      </c>
      <c r="G411" s="1" t="str">
        <f>+'Maestro infraestructura'!X410</f>
        <v>GENERAL</v>
      </c>
      <c r="H411" s="1">
        <f>+'Maestro infraestructura'!Y410</f>
        <v>2</v>
      </c>
      <c r="I411" s="1"/>
      <c r="J411" s="6">
        <f>+'Maestro infraestructura'!T410</f>
        <v>46563</v>
      </c>
      <c r="K411" s="6">
        <f t="shared" ca="1" si="26"/>
        <v>46563</v>
      </c>
      <c r="L411" s="6"/>
    </row>
    <row r="412" spans="1:12" x14ac:dyDescent="0.2">
      <c r="A412" s="1" t="str">
        <f>+'Maestro infraestructura'!A411</f>
        <v>EDIFICIO PRINCIPAL</v>
      </c>
      <c r="B412" s="1" t="str">
        <f>+'Maestro infraestructura'!B411</f>
        <v>6° Piso</v>
      </c>
      <c r="C412" s="1">
        <f>+'Maestro infraestructura'!C411</f>
        <v>603</v>
      </c>
      <c r="D412" s="1" t="str">
        <f>+'Maestro infraestructura'!F411</f>
        <v>Enchufes</v>
      </c>
      <c r="E412" s="25" t="str">
        <f ca="1">+'Maestro infraestructura'!K411</f>
        <v>Activo</v>
      </c>
      <c r="F412" s="1" t="str">
        <f ca="1">+'Maestro infraestructura'!V411</f>
        <v>AL DÍA</v>
      </c>
      <c r="G412" s="1" t="str">
        <f>+'Maestro infraestructura'!X411</f>
        <v>GENERAL</v>
      </c>
      <c r="H412" s="1">
        <f>+'Maestro infraestructura'!Y411</f>
        <v>2</v>
      </c>
      <c r="I412" s="1"/>
      <c r="J412" s="6">
        <f>+'Maestro infraestructura'!T411</f>
        <v>46563</v>
      </c>
      <c r="K412" s="6">
        <f t="shared" ca="1" si="26"/>
        <v>46563</v>
      </c>
      <c r="L412" s="6"/>
    </row>
    <row r="413" spans="1:12" x14ac:dyDescent="0.2">
      <c r="A413" s="1" t="str">
        <f>+'Maestro infraestructura'!A412</f>
        <v>EDIFICIO PRINCIPAL</v>
      </c>
      <c r="B413" s="1" t="str">
        <f>+'Maestro infraestructura'!B412</f>
        <v>6° Piso</v>
      </c>
      <c r="C413" s="1">
        <f>+'Maestro infraestructura'!C412</f>
        <v>603</v>
      </c>
      <c r="D413" s="1" t="str">
        <f>+'Maestro infraestructura'!F412</f>
        <v>TV</v>
      </c>
      <c r="E413" s="25" t="str">
        <f ca="1">+'Maestro infraestructura'!K412</f>
        <v>Activo</v>
      </c>
      <c r="F413" s="1" t="str">
        <f ca="1">+'Maestro infraestructura'!V412</f>
        <v>AL DÍA</v>
      </c>
      <c r="G413" s="1" t="str">
        <f>+'Maestro infraestructura'!X412</f>
        <v>OPERACIÓN</v>
      </c>
      <c r="H413" s="1">
        <f>+'Maestro infraestructura'!Y412</f>
        <v>2</v>
      </c>
      <c r="I413" s="1"/>
      <c r="J413" s="6">
        <f>+'Maestro infraestructura'!T412</f>
        <v>46563</v>
      </c>
      <c r="K413" s="6">
        <f t="shared" ca="1" si="26"/>
        <v>46563</v>
      </c>
      <c r="L413" s="6"/>
    </row>
    <row r="414" spans="1:12" x14ac:dyDescent="0.2">
      <c r="A414" s="1" t="str">
        <f>+'Maestro infraestructura'!A413</f>
        <v>EDIFICIO PRINCIPAL</v>
      </c>
      <c r="B414" s="1" t="str">
        <f>+'Maestro infraestructura'!B413</f>
        <v>6° Piso</v>
      </c>
      <c r="C414" s="1">
        <f>+'Maestro infraestructura'!C413</f>
        <v>603</v>
      </c>
      <c r="D414" s="1" t="str">
        <f>+'Maestro infraestructura'!F413</f>
        <v>Pizarra</v>
      </c>
      <c r="E414" s="25" t="str">
        <f ca="1">+'Maestro infraestructura'!K413</f>
        <v>Activo</v>
      </c>
      <c r="F414" s="1" t="str">
        <f ca="1">+'Maestro infraestructura'!V413</f>
        <v>AL DÍA</v>
      </c>
      <c r="G414" s="1" t="str">
        <f>+'Maestro infraestructura'!X413</f>
        <v>OPERACIÓN</v>
      </c>
      <c r="H414" s="1">
        <f>+'Maestro infraestructura'!Y413</f>
        <v>2</v>
      </c>
      <c r="I414" s="1"/>
      <c r="J414" s="6">
        <f>+'Maestro infraestructura'!T413</f>
        <v>46563</v>
      </c>
      <c r="K414" s="6">
        <f t="shared" ca="1" si="26"/>
        <v>46563</v>
      </c>
      <c r="L414" s="6"/>
    </row>
    <row r="415" spans="1:12" x14ac:dyDescent="0.2">
      <c r="A415" s="1" t="str">
        <f>+'Maestro infraestructura'!A414</f>
        <v>EDIFICIO PRINCIPAL</v>
      </c>
      <c r="B415" s="1" t="str">
        <f>+'Maestro infraestructura'!B414</f>
        <v>6° Piso</v>
      </c>
      <c r="C415" s="1">
        <f>+'Maestro infraestructura'!C414</f>
        <v>603</v>
      </c>
      <c r="D415" s="1" t="str">
        <f>+'Maestro infraestructura'!F414</f>
        <v>Puertas</v>
      </c>
      <c r="E415" s="25" t="str">
        <f ca="1">+'Maestro infraestructura'!K414</f>
        <v>Activo</v>
      </c>
      <c r="F415" s="1" t="str">
        <f ca="1">+'Maestro infraestructura'!V414</f>
        <v>AL DÍA</v>
      </c>
      <c r="G415" s="1" t="str">
        <f>+'Maestro infraestructura'!X414</f>
        <v>GENERAL</v>
      </c>
      <c r="H415" s="1">
        <f>+'Maestro infraestructura'!Y414</f>
        <v>2</v>
      </c>
      <c r="I415" s="1"/>
      <c r="J415" s="6">
        <f>+'Maestro infraestructura'!T414</f>
        <v>46563</v>
      </c>
      <c r="K415" s="6">
        <f t="shared" ca="1" si="26"/>
        <v>46563</v>
      </c>
      <c r="L415" s="6"/>
    </row>
    <row r="416" spans="1:12" x14ac:dyDescent="0.2">
      <c r="A416" s="1" t="str">
        <f>+'Maestro infraestructura'!A415</f>
        <v>EDIFICIO PRINCIPAL</v>
      </c>
      <c r="B416" s="1" t="str">
        <f>+'Maestro infraestructura'!B415</f>
        <v>6° Piso</v>
      </c>
      <c r="C416" s="1">
        <f>+'Maestro infraestructura'!C415</f>
        <v>604</v>
      </c>
      <c r="D416" s="1" t="str">
        <f>+'Maestro infraestructura'!F415</f>
        <v>Ventanas</v>
      </c>
      <c r="E416" s="25" t="str">
        <f ca="1">+'Maestro infraestructura'!K415</f>
        <v>Activo</v>
      </c>
      <c r="F416" s="1" t="str">
        <f ca="1">+'Maestro infraestructura'!V415</f>
        <v>AL DÍA</v>
      </c>
      <c r="G416" s="1" t="str">
        <f>+'Maestro infraestructura'!X415</f>
        <v>OPERACIÓN</v>
      </c>
      <c r="H416" s="1">
        <f>+'Maestro infraestructura'!Y415</f>
        <v>2</v>
      </c>
      <c r="I416" s="1"/>
      <c r="J416" s="6">
        <f>+'Maestro infraestructura'!T415</f>
        <v>46563</v>
      </c>
      <c r="K416" s="6">
        <f t="shared" ca="1" si="26"/>
        <v>46563</v>
      </c>
      <c r="L416" s="6"/>
    </row>
    <row r="417" spans="1:12" x14ac:dyDescent="0.2">
      <c r="A417" s="1" t="str">
        <f>+'Maestro infraestructura'!A416</f>
        <v>EDIFICIO PRINCIPAL</v>
      </c>
      <c r="B417" s="1" t="str">
        <f>+'Maestro infraestructura'!B416</f>
        <v>6° Piso</v>
      </c>
      <c r="C417" s="1">
        <f>+'Maestro infraestructura'!C416</f>
        <v>604</v>
      </c>
      <c r="D417" s="1" t="str">
        <f>+'Maestro infraestructura'!F416</f>
        <v xml:space="preserve">Baranda </v>
      </c>
      <c r="E417" s="25" t="str">
        <f ca="1">+'Maestro infraestructura'!K416</f>
        <v>Activo</v>
      </c>
      <c r="F417" s="1" t="str">
        <f ca="1">+'Maestro infraestructura'!V416</f>
        <v>AL DÍA</v>
      </c>
      <c r="G417" s="1" t="str">
        <f>+'Maestro infraestructura'!X416</f>
        <v>SEGURIDAD</v>
      </c>
      <c r="H417" s="1">
        <f>+'Maestro infraestructura'!Y416</f>
        <v>1</v>
      </c>
      <c r="I417" s="1"/>
      <c r="J417" s="6">
        <f>+'Maestro infraestructura'!T416</f>
        <v>46563</v>
      </c>
      <c r="K417" s="6">
        <f t="shared" ca="1" si="26"/>
        <v>46563</v>
      </c>
      <c r="L417" s="6"/>
    </row>
    <row r="418" spans="1:12" x14ac:dyDescent="0.2">
      <c r="A418" s="1" t="str">
        <f>+'Maestro infraestructura'!A417</f>
        <v>EDIFICIO PRINCIPAL</v>
      </c>
      <c r="B418" s="1" t="str">
        <f>+'Maestro infraestructura'!B417</f>
        <v>6° Piso</v>
      </c>
      <c r="C418" s="1">
        <f>+'Maestro infraestructura'!C417</f>
        <v>604</v>
      </c>
      <c r="D418" s="1" t="str">
        <f>+'Maestro infraestructura'!F417</f>
        <v>Piso</v>
      </c>
      <c r="E418" s="25" t="str">
        <f ca="1">+'Maestro infraestructura'!K417</f>
        <v>Activo</v>
      </c>
      <c r="F418" s="1" t="str">
        <f ca="1">+'Maestro infraestructura'!V417</f>
        <v>AL DÍA</v>
      </c>
      <c r="G418" s="1" t="str">
        <f>+'Maestro infraestructura'!X417</f>
        <v>GENERAL</v>
      </c>
      <c r="H418" s="1">
        <f>+'Maestro infraestructura'!Y417</f>
        <v>2</v>
      </c>
      <c r="I418" s="1"/>
      <c r="J418" s="6">
        <f>+'Maestro infraestructura'!T417</f>
        <v>46563</v>
      </c>
      <c r="K418" s="6">
        <f t="shared" ca="1" si="26"/>
        <v>46563</v>
      </c>
      <c r="L418" s="6"/>
    </row>
    <row r="419" spans="1:12" x14ac:dyDescent="0.2">
      <c r="A419" s="1" t="str">
        <f>+'Maestro infraestructura'!A418</f>
        <v>EDIFICIO PRINCIPAL</v>
      </c>
      <c r="B419" s="1" t="str">
        <f>+'Maestro infraestructura'!B418</f>
        <v>6° Piso</v>
      </c>
      <c r="C419" s="1">
        <f>+'Maestro infraestructura'!C418</f>
        <v>604</v>
      </c>
      <c r="D419" s="1" t="str">
        <f>+'Maestro infraestructura'!F418</f>
        <v>Enchufes</v>
      </c>
      <c r="E419" s="25" t="str">
        <f ca="1">+'Maestro infraestructura'!K418</f>
        <v>Activo</v>
      </c>
      <c r="F419" s="1" t="str">
        <f ca="1">+'Maestro infraestructura'!V418</f>
        <v>AL DÍA</v>
      </c>
      <c r="G419" s="1" t="str">
        <f>+'Maestro infraestructura'!X418</f>
        <v>GENERAL</v>
      </c>
      <c r="H419" s="1">
        <f>+'Maestro infraestructura'!Y418</f>
        <v>2</v>
      </c>
      <c r="I419" s="1"/>
      <c r="J419" s="6">
        <f>+'Maestro infraestructura'!T418</f>
        <v>46563</v>
      </c>
      <c r="K419" s="6">
        <f t="shared" ca="1" si="26"/>
        <v>46563</v>
      </c>
      <c r="L419" s="6"/>
    </row>
    <row r="420" spans="1:12" x14ac:dyDescent="0.2">
      <c r="A420" s="1" t="str">
        <f>+'Maestro infraestructura'!A419</f>
        <v>EDIFICIO PRINCIPAL</v>
      </c>
      <c r="B420" s="1" t="str">
        <f>+'Maestro infraestructura'!B419</f>
        <v>6° Piso</v>
      </c>
      <c r="C420" s="1">
        <f>+'Maestro infraestructura'!C419</f>
        <v>604</v>
      </c>
      <c r="D420" s="1" t="str">
        <f>+'Maestro infraestructura'!F419</f>
        <v>TV</v>
      </c>
      <c r="E420" s="25" t="str">
        <f ca="1">+'Maestro infraestructura'!K419</f>
        <v>Activo</v>
      </c>
      <c r="F420" s="1" t="str">
        <f ca="1">+'Maestro infraestructura'!V419</f>
        <v>AL DÍA</v>
      </c>
      <c r="G420" s="1" t="str">
        <f>+'Maestro infraestructura'!X419</f>
        <v>OPERACIÓN</v>
      </c>
      <c r="H420" s="1">
        <f>+'Maestro infraestructura'!Y419</f>
        <v>2</v>
      </c>
      <c r="I420" s="1"/>
      <c r="J420" s="6">
        <f>+'Maestro infraestructura'!T419</f>
        <v>46563</v>
      </c>
      <c r="K420" s="6">
        <f t="shared" ca="1" si="26"/>
        <v>46563</v>
      </c>
      <c r="L420" s="6"/>
    </row>
    <row r="421" spans="1:12" x14ac:dyDescent="0.2">
      <c r="A421" s="1" t="str">
        <f>+'Maestro infraestructura'!A420</f>
        <v>EDIFICIO PRINCIPAL</v>
      </c>
      <c r="B421" s="1" t="str">
        <f>+'Maestro infraestructura'!B420</f>
        <v>6° Piso</v>
      </c>
      <c r="C421" s="1">
        <f>+'Maestro infraestructura'!C420</f>
        <v>604</v>
      </c>
      <c r="D421" s="1" t="str">
        <f>+'Maestro infraestructura'!F420</f>
        <v>Pizarra</v>
      </c>
      <c r="E421" s="25" t="str">
        <f ca="1">+'Maestro infraestructura'!K420</f>
        <v>Activo</v>
      </c>
      <c r="F421" s="1" t="str">
        <f ca="1">+'Maestro infraestructura'!V420</f>
        <v>AL DÍA</v>
      </c>
      <c r="G421" s="1" t="str">
        <f>+'Maestro infraestructura'!X420</f>
        <v>OPERACIÓN</v>
      </c>
      <c r="H421" s="1">
        <f>+'Maestro infraestructura'!Y420</f>
        <v>2</v>
      </c>
      <c r="I421" s="1"/>
      <c r="J421" s="6">
        <f>+'Maestro infraestructura'!T420</f>
        <v>46563</v>
      </c>
      <c r="K421" s="6">
        <f t="shared" ca="1" si="26"/>
        <v>46563</v>
      </c>
      <c r="L421" s="6"/>
    </row>
    <row r="422" spans="1:12" x14ac:dyDescent="0.2">
      <c r="A422" s="1" t="str">
        <f>+'Maestro infraestructura'!A421</f>
        <v>EDIFICIO PRINCIPAL</v>
      </c>
      <c r="B422" s="1" t="str">
        <f>+'Maestro infraestructura'!B421</f>
        <v>6° Piso</v>
      </c>
      <c r="C422" s="1">
        <f>+'Maestro infraestructura'!C421</f>
        <v>604</v>
      </c>
      <c r="D422" s="1" t="str">
        <f>+'Maestro infraestructura'!F421</f>
        <v>Puertas</v>
      </c>
      <c r="E422" s="25" t="str">
        <f ca="1">+'Maestro infraestructura'!K421</f>
        <v>Activo</v>
      </c>
      <c r="F422" s="1" t="str">
        <f ca="1">+'Maestro infraestructura'!V421</f>
        <v>AL DÍA</v>
      </c>
      <c r="G422" s="1" t="str">
        <f>+'Maestro infraestructura'!X421</f>
        <v>GENERAL</v>
      </c>
      <c r="H422" s="1">
        <f>+'Maestro infraestructura'!Y421</f>
        <v>2</v>
      </c>
      <c r="I422" s="1"/>
      <c r="J422" s="6">
        <f>+'Maestro infraestructura'!T421</f>
        <v>46563</v>
      </c>
      <c r="K422" s="6">
        <f t="shared" ca="1" si="26"/>
        <v>46563</v>
      </c>
      <c r="L422" s="6"/>
    </row>
    <row r="423" spans="1:12" x14ac:dyDescent="0.2">
      <c r="A423" s="1" t="str">
        <f>+'Maestro infraestructura'!A422</f>
        <v>EDIFICIO PRINCIPAL</v>
      </c>
      <c r="B423" s="1" t="str">
        <f>+'Maestro infraestructura'!B422</f>
        <v>6° Piso</v>
      </c>
      <c r="C423" s="1">
        <f>+'Maestro infraestructura'!C422</f>
        <v>606</v>
      </c>
      <c r="D423" s="1" t="str">
        <f>+'Maestro infraestructura'!F422</f>
        <v>Ventanas</v>
      </c>
      <c r="E423" s="25" t="str">
        <f ca="1">+'Maestro infraestructura'!K422</f>
        <v>Activo</v>
      </c>
      <c r="F423" s="1" t="str">
        <f ca="1">+'Maestro infraestructura'!V422</f>
        <v>AL DÍA</v>
      </c>
      <c r="G423" s="1" t="str">
        <f>+'Maestro infraestructura'!X422</f>
        <v>OPERACIÓN</v>
      </c>
      <c r="H423" s="1">
        <f>+'Maestro infraestructura'!Y422</f>
        <v>2</v>
      </c>
      <c r="I423" s="1"/>
      <c r="J423" s="6">
        <f>+'Maestro infraestructura'!T422</f>
        <v>46563</v>
      </c>
      <c r="K423" s="6">
        <f t="shared" ca="1" si="26"/>
        <v>46563</v>
      </c>
      <c r="L423" s="6"/>
    </row>
    <row r="424" spans="1:12" x14ac:dyDescent="0.2">
      <c r="A424" s="1" t="str">
        <f>+'Maestro infraestructura'!A423</f>
        <v>EDIFICIO PRINCIPAL</v>
      </c>
      <c r="B424" s="1" t="str">
        <f>+'Maestro infraestructura'!B423</f>
        <v>6° Piso</v>
      </c>
      <c r="C424" s="1">
        <f>+'Maestro infraestructura'!C423</f>
        <v>606</v>
      </c>
      <c r="D424" s="1" t="str">
        <f>+'Maestro infraestructura'!F423</f>
        <v xml:space="preserve">Baranda </v>
      </c>
      <c r="E424" s="25" t="str">
        <f ca="1">+'Maestro infraestructura'!K423</f>
        <v>Activo</v>
      </c>
      <c r="F424" s="1" t="str">
        <f ca="1">+'Maestro infraestructura'!V423</f>
        <v>AL DÍA</v>
      </c>
      <c r="G424" s="1" t="str">
        <f>+'Maestro infraestructura'!X423</f>
        <v>SEGURIDAD</v>
      </c>
      <c r="H424" s="1">
        <f>+'Maestro infraestructura'!Y423</f>
        <v>1</v>
      </c>
      <c r="I424" s="1"/>
      <c r="J424" s="6">
        <f>+'Maestro infraestructura'!T423</f>
        <v>46563</v>
      </c>
      <c r="K424" s="6">
        <f t="shared" ca="1" si="26"/>
        <v>46563</v>
      </c>
      <c r="L424" s="6"/>
    </row>
    <row r="425" spans="1:12" x14ac:dyDescent="0.2">
      <c r="A425" s="1" t="str">
        <f>+'Maestro infraestructura'!A424</f>
        <v>EDIFICIO PRINCIPAL</v>
      </c>
      <c r="B425" s="1" t="str">
        <f>+'Maestro infraestructura'!B424</f>
        <v>6° Piso</v>
      </c>
      <c r="C425" s="1">
        <f>+'Maestro infraestructura'!C424</f>
        <v>606</v>
      </c>
      <c r="D425" s="1" t="str">
        <f>+'Maestro infraestructura'!F424</f>
        <v>Piso</v>
      </c>
      <c r="E425" s="25" t="str">
        <f ca="1">+'Maestro infraestructura'!K424</f>
        <v>Activo</v>
      </c>
      <c r="F425" s="1" t="str">
        <f ca="1">+'Maestro infraestructura'!V424</f>
        <v>AL DÍA</v>
      </c>
      <c r="G425" s="1" t="str">
        <f>+'Maestro infraestructura'!X424</f>
        <v>GENERAL</v>
      </c>
      <c r="H425" s="1">
        <f>+'Maestro infraestructura'!Y424</f>
        <v>2</v>
      </c>
      <c r="I425" s="1"/>
      <c r="J425" s="6">
        <f>+'Maestro infraestructura'!T424</f>
        <v>46563</v>
      </c>
      <c r="K425" s="6">
        <f t="shared" ca="1" si="26"/>
        <v>46563</v>
      </c>
      <c r="L425" s="6"/>
    </row>
    <row r="426" spans="1:12" x14ac:dyDescent="0.2">
      <c r="A426" s="1" t="str">
        <f>+'Maestro infraestructura'!A425</f>
        <v>EDIFICIO PRINCIPAL</v>
      </c>
      <c r="B426" s="1" t="str">
        <f>+'Maestro infraestructura'!B425</f>
        <v>6° Piso</v>
      </c>
      <c r="C426" s="1">
        <f>+'Maestro infraestructura'!C425</f>
        <v>606</v>
      </c>
      <c r="D426" s="1" t="str">
        <f>+'Maestro infraestructura'!F425</f>
        <v>Enchufes</v>
      </c>
      <c r="E426" s="25" t="str">
        <f ca="1">+'Maestro infraestructura'!K425</f>
        <v>Activo</v>
      </c>
      <c r="F426" s="1" t="str">
        <f ca="1">+'Maestro infraestructura'!V425</f>
        <v>AL DÍA</v>
      </c>
      <c r="G426" s="1" t="str">
        <f>+'Maestro infraestructura'!X425</f>
        <v>GENERAL</v>
      </c>
      <c r="H426" s="1">
        <f>+'Maestro infraestructura'!Y425</f>
        <v>2</v>
      </c>
      <c r="I426" s="1"/>
      <c r="J426" s="6">
        <f>+'Maestro infraestructura'!T425</f>
        <v>46563</v>
      </c>
      <c r="K426" s="6">
        <f t="shared" ca="1" si="26"/>
        <v>46563</v>
      </c>
      <c r="L426" s="6"/>
    </row>
    <row r="427" spans="1:12" x14ac:dyDescent="0.2">
      <c r="A427" s="1" t="str">
        <f>+'Maestro infraestructura'!A426</f>
        <v>EDIFICIO PRINCIPAL</v>
      </c>
      <c r="B427" s="1" t="str">
        <f>+'Maestro infraestructura'!B426</f>
        <v>6° Piso</v>
      </c>
      <c r="C427" s="1">
        <f>+'Maestro infraestructura'!C426</f>
        <v>606</v>
      </c>
      <c r="D427" s="1" t="str">
        <f>+'Maestro infraestructura'!F426</f>
        <v>TV</v>
      </c>
      <c r="E427" s="25" t="str">
        <f ca="1">+'Maestro infraestructura'!K426</f>
        <v>Activo</v>
      </c>
      <c r="F427" s="1" t="str">
        <f ca="1">+'Maestro infraestructura'!V426</f>
        <v>AL DÍA</v>
      </c>
      <c r="G427" s="1" t="str">
        <f>+'Maestro infraestructura'!X426</f>
        <v>OPERACIÓN</v>
      </c>
      <c r="H427" s="1">
        <f>+'Maestro infraestructura'!Y426</f>
        <v>2</v>
      </c>
      <c r="I427" s="1"/>
      <c r="J427" s="6">
        <f>+'Maestro infraestructura'!T426</f>
        <v>46563</v>
      </c>
      <c r="K427" s="6">
        <f t="shared" ca="1" si="26"/>
        <v>46563</v>
      </c>
      <c r="L427" s="6"/>
    </row>
    <row r="428" spans="1:12" x14ac:dyDescent="0.2">
      <c r="A428" s="1" t="str">
        <f>+'Maestro infraestructura'!A427</f>
        <v>EDIFICIO PRINCIPAL</v>
      </c>
      <c r="B428" s="1" t="str">
        <f>+'Maestro infraestructura'!B427</f>
        <v>6° Piso</v>
      </c>
      <c r="C428" s="1">
        <f>+'Maestro infraestructura'!C427</f>
        <v>606</v>
      </c>
      <c r="D428" s="1" t="str">
        <f>+'Maestro infraestructura'!F427</f>
        <v>Pizarra</v>
      </c>
      <c r="E428" s="25" t="str">
        <f ca="1">+'Maestro infraestructura'!K427</f>
        <v>Activo</v>
      </c>
      <c r="F428" s="1" t="str">
        <f ca="1">+'Maestro infraestructura'!V427</f>
        <v>AL DÍA</v>
      </c>
      <c r="G428" s="1" t="str">
        <f>+'Maestro infraestructura'!X427</f>
        <v>OPERACIÓN</v>
      </c>
      <c r="H428" s="1">
        <f>+'Maestro infraestructura'!Y427</f>
        <v>2</v>
      </c>
      <c r="I428" s="1"/>
      <c r="J428" s="6">
        <f>+'Maestro infraestructura'!T427</f>
        <v>46563</v>
      </c>
      <c r="K428" s="6">
        <f t="shared" ca="1" si="26"/>
        <v>46563</v>
      </c>
      <c r="L428" s="6"/>
    </row>
    <row r="429" spans="1:12" x14ac:dyDescent="0.2">
      <c r="A429" s="1" t="str">
        <f>+'Maestro infraestructura'!A428</f>
        <v>EDIFICIO PRINCIPAL</v>
      </c>
      <c r="B429" s="1" t="str">
        <f>+'Maestro infraestructura'!B428</f>
        <v>6° Piso</v>
      </c>
      <c r="C429" s="1">
        <f>+'Maestro infraestructura'!C428</f>
        <v>606</v>
      </c>
      <c r="D429" s="1" t="str">
        <f>+'Maestro infraestructura'!F428</f>
        <v>Puertas</v>
      </c>
      <c r="E429" s="25" t="str">
        <f ca="1">+'Maestro infraestructura'!K428</f>
        <v>Activo</v>
      </c>
      <c r="F429" s="1" t="str">
        <f ca="1">+'Maestro infraestructura'!V428</f>
        <v>AL DÍA</v>
      </c>
      <c r="G429" s="1" t="str">
        <f>+'Maestro infraestructura'!X428</f>
        <v>GENERAL</v>
      </c>
      <c r="H429" s="1">
        <f>+'Maestro infraestructura'!Y428</f>
        <v>2</v>
      </c>
      <c r="I429" s="1"/>
      <c r="J429" s="6">
        <f>+'Maestro infraestructura'!T428</f>
        <v>46563</v>
      </c>
      <c r="K429" s="6">
        <f t="shared" ca="1" si="26"/>
        <v>46563</v>
      </c>
      <c r="L429" s="6"/>
    </row>
    <row r="430" spans="1:12" x14ac:dyDescent="0.2">
      <c r="A430" s="1" t="str">
        <f>+'Maestro infraestructura'!A429</f>
        <v>EDIFICIO PRINCIPAL</v>
      </c>
      <c r="B430" s="1" t="str">
        <f>+'Maestro infraestructura'!B429</f>
        <v>6° Piso</v>
      </c>
      <c r="C430" s="1">
        <f>+'Maestro infraestructura'!C429</f>
        <v>607</v>
      </c>
      <c r="D430" s="1" t="str">
        <f>+'Maestro infraestructura'!F429</f>
        <v>Ventanas</v>
      </c>
      <c r="E430" s="25" t="str">
        <f ca="1">+'Maestro infraestructura'!K429</f>
        <v>Activo</v>
      </c>
      <c r="F430" s="1" t="str">
        <f ca="1">+'Maestro infraestructura'!V429</f>
        <v>AL DÍA</v>
      </c>
      <c r="G430" s="1" t="str">
        <f>+'Maestro infraestructura'!X429</f>
        <v>OPERACIÓN</v>
      </c>
      <c r="H430" s="1">
        <f>+'Maestro infraestructura'!Y429</f>
        <v>2</v>
      </c>
      <c r="I430" s="1"/>
      <c r="J430" s="6">
        <f>+'Maestro infraestructura'!T429</f>
        <v>46563</v>
      </c>
      <c r="K430" s="6">
        <f t="shared" ca="1" si="26"/>
        <v>46563</v>
      </c>
      <c r="L430" s="6"/>
    </row>
    <row r="431" spans="1:12" x14ac:dyDescent="0.2">
      <c r="A431" s="1" t="str">
        <f>+'Maestro infraestructura'!A430</f>
        <v>EDIFICIO PRINCIPAL</v>
      </c>
      <c r="B431" s="1" t="str">
        <f>+'Maestro infraestructura'!B430</f>
        <v>6° Piso</v>
      </c>
      <c r="C431" s="1">
        <f>+'Maestro infraestructura'!C430</f>
        <v>607</v>
      </c>
      <c r="D431" s="1" t="str">
        <f>+'Maestro infraestructura'!F430</f>
        <v xml:space="preserve">Baranda </v>
      </c>
      <c r="E431" s="25" t="str">
        <f ca="1">+'Maestro infraestructura'!K430</f>
        <v>Activo</v>
      </c>
      <c r="F431" s="1" t="str">
        <f ca="1">+'Maestro infraestructura'!V430</f>
        <v>AL DÍA</v>
      </c>
      <c r="G431" s="1" t="str">
        <f>+'Maestro infraestructura'!X430</f>
        <v>SEGURIDAD</v>
      </c>
      <c r="H431" s="1">
        <f>+'Maestro infraestructura'!Y430</f>
        <v>1</v>
      </c>
      <c r="I431" s="1"/>
      <c r="J431" s="6">
        <f>+'Maestro infraestructura'!T430</f>
        <v>46563</v>
      </c>
      <c r="K431" s="6">
        <f t="shared" ca="1" si="26"/>
        <v>46563</v>
      </c>
      <c r="L431" s="6"/>
    </row>
    <row r="432" spans="1:12" x14ac:dyDescent="0.2">
      <c r="A432" s="1" t="str">
        <f>+'Maestro infraestructura'!A431</f>
        <v>EDIFICIO PRINCIPAL</v>
      </c>
      <c r="B432" s="1" t="str">
        <f>+'Maestro infraestructura'!B431</f>
        <v>6° Piso</v>
      </c>
      <c r="C432" s="1">
        <f>+'Maestro infraestructura'!C431</f>
        <v>607</v>
      </c>
      <c r="D432" s="1" t="str">
        <f>+'Maestro infraestructura'!F431</f>
        <v>Piso</v>
      </c>
      <c r="E432" s="25" t="str">
        <f ca="1">+'Maestro infraestructura'!K431</f>
        <v>Activo</v>
      </c>
      <c r="F432" s="1" t="str">
        <f ca="1">+'Maestro infraestructura'!V431</f>
        <v>AL DÍA</v>
      </c>
      <c r="G432" s="1" t="str">
        <f>+'Maestro infraestructura'!X431</f>
        <v>GENERAL</v>
      </c>
      <c r="H432" s="1">
        <f>+'Maestro infraestructura'!Y431</f>
        <v>2</v>
      </c>
      <c r="I432" s="1"/>
      <c r="J432" s="6">
        <f>+'Maestro infraestructura'!T431</f>
        <v>46563</v>
      </c>
      <c r="K432" s="6">
        <f t="shared" ca="1" si="26"/>
        <v>46563</v>
      </c>
      <c r="L432" s="6"/>
    </row>
    <row r="433" spans="1:12" x14ac:dyDescent="0.2">
      <c r="A433" s="1" t="str">
        <f>+'Maestro infraestructura'!A432</f>
        <v>EDIFICIO PRINCIPAL</v>
      </c>
      <c r="B433" s="1" t="str">
        <f>+'Maestro infraestructura'!B432</f>
        <v>6° Piso</v>
      </c>
      <c r="C433" s="1">
        <f>+'Maestro infraestructura'!C432</f>
        <v>607</v>
      </c>
      <c r="D433" s="1" t="str">
        <f>+'Maestro infraestructura'!F432</f>
        <v>Enchufes</v>
      </c>
      <c r="E433" s="25" t="str">
        <f ca="1">+'Maestro infraestructura'!K432</f>
        <v>Activo</v>
      </c>
      <c r="F433" s="1" t="str">
        <f ca="1">+'Maestro infraestructura'!V432</f>
        <v>AL DÍA</v>
      </c>
      <c r="G433" s="1" t="str">
        <f>+'Maestro infraestructura'!X432</f>
        <v>GENERAL</v>
      </c>
      <c r="H433" s="1">
        <f>+'Maestro infraestructura'!Y432</f>
        <v>2</v>
      </c>
      <c r="I433" s="1"/>
      <c r="J433" s="6">
        <f>+'Maestro infraestructura'!T432</f>
        <v>46563</v>
      </c>
      <c r="K433" s="6">
        <f t="shared" ca="1" si="26"/>
        <v>46563</v>
      </c>
      <c r="L433" s="6"/>
    </row>
    <row r="434" spans="1:12" x14ac:dyDescent="0.2">
      <c r="A434" s="1" t="str">
        <f>+'Maestro infraestructura'!A433</f>
        <v>EDIFICIO PRINCIPAL</v>
      </c>
      <c r="B434" s="1" t="str">
        <f>+'Maestro infraestructura'!B433</f>
        <v>6° Piso</v>
      </c>
      <c r="C434" s="1">
        <f>+'Maestro infraestructura'!C433</f>
        <v>607</v>
      </c>
      <c r="D434" s="1" t="str">
        <f>+'Maestro infraestructura'!F433</f>
        <v>TV</v>
      </c>
      <c r="E434" s="25" t="str">
        <f ca="1">+'Maestro infraestructura'!K433</f>
        <v>Activo</v>
      </c>
      <c r="F434" s="1" t="str">
        <f ca="1">+'Maestro infraestructura'!V433</f>
        <v>AL DÍA</v>
      </c>
      <c r="G434" s="1" t="str">
        <f>+'Maestro infraestructura'!X433</f>
        <v>OPERACIÓN</v>
      </c>
      <c r="H434" s="1">
        <f>+'Maestro infraestructura'!Y433</f>
        <v>2</v>
      </c>
      <c r="I434" s="1"/>
      <c r="J434" s="6">
        <f>+'Maestro infraestructura'!T433</f>
        <v>46563</v>
      </c>
      <c r="K434" s="6">
        <f t="shared" ca="1" si="26"/>
        <v>46563</v>
      </c>
      <c r="L434" s="6"/>
    </row>
    <row r="435" spans="1:12" x14ac:dyDescent="0.2">
      <c r="A435" s="1" t="str">
        <f>+'Maestro infraestructura'!A434</f>
        <v>EDIFICIO PRINCIPAL</v>
      </c>
      <c r="B435" s="1" t="str">
        <f>+'Maestro infraestructura'!B434</f>
        <v>6° Piso</v>
      </c>
      <c r="C435" s="1">
        <f>+'Maestro infraestructura'!C434</f>
        <v>607</v>
      </c>
      <c r="D435" s="1" t="str">
        <f>+'Maestro infraestructura'!F434</f>
        <v>Pizarra</v>
      </c>
      <c r="E435" s="25" t="str">
        <f ca="1">+'Maestro infraestructura'!K434</f>
        <v>Activo</v>
      </c>
      <c r="F435" s="1" t="str">
        <f ca="1">+'Maestro infraestructura'!V434</f>
        <v>AL DÍA</v>
      </c>
      <c r="G435" s="1" t="str">
        <f>+'Maestro infraestructura'!X434</f>
        <v>OPERACIÓN</v>
      </c>
      <c r="H435" s="1">
        <f>+'Maestro infraestructura'!Y434</f>
        <v>2</v>
      </c>
      <c r="I435" s="1"/>
      <c r="J435" s="6">
        <f>+'Maestro infraestructura'!T434</f>
        <v>46563</v>
      </c>
      <c r="K435" s="6">
        <f t="shared" ca="1" si="26"/>
        <v>46563</v>
      </c>
      <c r="L435" s="6"/>
    </row>
    <row r="436" spans="1:12" x14ac:dyDescent="0.2">
      <c r="A436" s="1" t="str">
        <f>+'Maestro infraestructura'!A435</f>
        <v>EDIFICIO PRINCIPAL</v>
      </c>
      <c r="B436" s="1" t="str">
        <f>+'Maestro infraestructura'!B435</f>
        <v>6° Piso</v>
      </c>
      <c r="C436" s="1">
        <f>+'Maestro infraestructura'!C435</f>
        <v>607</v>
      </c>
      <c r="D436" s="1" t="str">
        <f>+'Maestro infraestructura'!F435</f>
        <v>Puertas</v>
      </c>
      <c r="E436" s="25" t="str">
        <f ca="1">+'Maestro infraestructura'!K435</f>
        <v>Activo</v>
      </c>
      <c r="F436" s="1" t="str">
        <f ca="1">+'Maestro infraestructura'!V435</f>
        <v>AL DÍA</v>
      </c>
      <c r="G436" s="1" t="str">
        <f>+'Maestro infraestructura'!X435</f>
        <v>GENERAL</v>
      </c>
      <c r="H436" s="1">
        <f>+'Maestro infraestructura'!Y435</f>
        <v>2</v>
      </c>
      <c r="I436" s="1"/>
      <c r="J436" s="6">
        <f>+'Maestro infraestructura'!T435</f>
        <v>46563</v>
      </c>
      <c r="K436" s="6">
        <f t="shared" ca="1" si="26"/>
        <v>46563</v>
      </c>
      <c r="L436" s="6"/>
    </row>
    <row r="437" spans="1:12" x14ac:dyDescent="0.2">
      <c r="A437" s="1" t="str">
        <f>+'Maestro infraestructura'!A436</f>
        <v>EDIFICIO PRINCIPAL</v>
      </c>
      <c r="B437" s="1" t="str">
        <f>+'Maestro infraestructura'!B436</f>
        <v>6° Piso</v>
      </c>
      <c r="C437" s="1">
        <f>+'Maestro infraestructura'!C436</f>
        <v>608</v>
      </c>
      <c r="D437" s="1" t="str">
        <f>+'Maestro infraestructura'!F436</f>
        <v>Ventanas</v>
      </c>
      <c r="E437" s="25" t="str">
        <f ca="1">+'Maestro infraestructura'!K436</f>
        <v>Activo</v>
      </c>
      <c r="F437" s="1" t="str">
        <f ca="1">+'Maestro infraestructura'!V436</f>
        <v>AL DÍA</v>
      </c>
      <c r="G437" s="1" t="str">
        <f>+'Maestro infraestructura'!X436</f>
        <v>OPERACIÓN</v>
      </c>
      <c r="H437" s="1">
        <f>+'Maestro infraestructura'!Y436</f>
        <v>2</v>
      </c>
      <c r="I437" s="1"/>
      <c r="J437" s="6">
        <f>+'Maestro infraestructura'!T436</f>
        <v>46563</v>
      </c>
      <c r="K437" s="6">
        <f t="shared" ca="1" si="26"/>
        <v>46563</v>
      </c>
      <c r="L437" s="6"/>
    </row>
    <row r="438" spans="1:12" x14ac:dyDescent="0.2">
      <c r="A438" s="1" t="str">
        <f>+'Maestro infraestructura'!A437</f>
        <v>EDIFICIO PRINCIPAL</v>
      </c>
      <c r="B438" s="1" t="str">
        <f>+'Maestro infraestructura'!B437</f>
        <v>6° Piso</v>
      </c>
      <c r="C438" s="1">
        <f>+'Maestro infraestructura'!C437</f>
        <v>608</v>
      </c>
      <c r="D438" s="1" t="str">
        <f>+'Maestro infraestructura'!F437</f>
        <v xml:space="preserve">Baranda </v>
      </c>
      <c r="E438" s="25" t="str">
        <f ca="1">+'Maestro infraestructura'!K437</f>
        <v>Activo</v>
      </c>
      <c r="F438" s="1" t="str">
        <f ca="1">+'Maestro infraestructura'!V437</f>
        <v>AL DÍA</v>
      </c>
      <c r="G438" s="1" t="str">
        <f>+'Maestro infraestructura'!X437</f>
        <v>SEGURIDAD</v>
      </c>
      <c r="H438" s="1">
        <f>+'Maestro infraestructura'!Y437</f>
        <v>1</v>
      </c>
      <c r="I438" s="1"/>
      <c r="J438" s="6">
        <f>+'Maestro infraestructura'!T437</f>
        <v>46563</v>
      </c>
      <c r="K438" s="6">
        <f t="shared" ca="1" si="26"/>
        <v>46563</v>
      </c>
      <c r="L438" s="6"/>
    </row>
    <row r="439" spans="1:12" x14ac:dyDescent="0.2">
      <c r="A439" s="1" t="str">
        <f>+'Maestro infraestructura'!A438</f>
        <v>EDIFICIO PRINCIPAL</v>
      </c>
      <c r="B439" s="1" t="str">
        <f>+'Maestro infraestructura'!B438</f>
        <v>6° Piso</v>
      </c>
      <c r="C439" s="1">
        <f>+'Maestro infraestructura'!C438</f>
        <v>608</v>
      </c>
      <c r="D439" s="1" t="str">
        <f>+'Maestro infraestructura'!F438</f>
        <v>Piso</v>
      </c>
      <c r="E439" s="25" t="str">
        <f ca="1">+'Maestro infraestructura'!K438</f>
        <v>Activo</v>
      </c>
      <c r="F439" s="1" t="str">
        <f ca="1">+'Maestro infraestructura'!V438</f>
        <v>AL DÍA</v>
      </c>
      <c r="G439" s="1" t="str">
        <f>+'Maestro infraestructura'!X438</f>
        <v>GENERAL</v>
      </c>
      <c r="H439" s="1">
        <f>+'Maestro infraestructura'!Y438</f>
        <v>2</v>
      </c>
      <c r="I439" s="1"/>
      <c r="J439" s="6">
        <f>+'Maestro infraestructura'!T438</f>
        <v>46563</v>
      </c>
      <c r="K439" s="6">
        <f t="shared" ca="1" si="26"/>
        <v>46563</v>
      </c>
      <c r="L439" s="6"/>
    </row>
    <row r="440" spans="1:12" x14ac:dyDescent="0.2">
      <c r="A440" s="1" t="str">
        <f>+'Maestro infraestructura'!A439</f>
        <v>EDIFICIO PRINCIPAL</v>
      </c>
      <c r="B440" s="1" t="str">
        <f>+'Maestro infraestructura'!B439</f>
        <v>6° Piso</v>
      </c>
      <c r="C440" s="1">
        <f>+'Maestro infraestructura'!C439</f>
        <v>608</v>
      </c>
      <c r="D440" s="1" t="str">
        <f>+'Maestro infraestructura'!F439</f>
        <v>Enchufes</v>
      </c>
      <c r="E440" s="25" t="str">
        <f ca="1">+'Maestro infraestructura'!K439</f>
        <v>Activo</v>
      </c>
      <c r="F440" s="1" t="str">
        <f ca="1">+'Maestro infraestructura'!V439</f>
        <v>AL DÍA</v>
      </c>
      <c r="G440" s="1" t="str">
        <f>+'Maestro infraestructura'!X439</f>
        <v>GENERAL</v>
      </c>
      <c r="H440" s="1">
        <f>+'Maestro infraestructura'!Y439</f>
        <v>2</v>
      </c>
      <c r="I440" s="1"/>
      <c r="J440" s="6">
        <f>+'Maestro infraestructura'!T439</f>
        <v>46563</v>
      </c>
      <c r="K440" s="6">
        <f t="shared" ca="1" si="26"/>
        <v>46563</v>
      </c>
      <c r="L440" s="6"/>
    </row>
    <row r="441" spans="1:12" x14ac:dyDescent="0.2">
      <c r="A441" s="1" t="str">
        <f>+'Maestro infraestructura'!A440</f>
        <v>EDIFICIO PRINCIPAL</v>
      </c>
      <c r="B441" s="1" t="str">
        <f>+'Maestro infraestructura'!B440</f>
        <v>6° Piso</v>
      </c>
      <c r="C441" s="1">
        <f>+'Maestro infraestructura'!C440</f>
        <v>608</v>
      </c>
      <c r="D441" s="1" t="str">
        <f>+'Maestro infraestructura'!F440</f>
        <v>TV</v>
      </c>
      <c r="E441" s="25" t="str">
        <f ca="1">+'Maestro infraestructura'!K440</f>
        <v>Activo</v>
      </c>
      <c r="F441" s="1" t="str">
        <f ca="1">+'Maestro infraestructura'!V440</f>
        <v>AL DÍA</v>
      </c>
      <c r="G441" s="1" t="str">
        <f>+'Maestro infraestructura'!X440</f>
        <v>OPERACIÓN</v>
      </c>
      <c r="H441" s="1">
        <f>+'Maestro infraestructura'!Y440</f>
        <v>2</v>
      </c>
      <c r="I441" s="1"/>
      <c r="J441" s="6">
        <f>+'Maestro infraestructura'!T440</f>
        <v>46563</v>
      </c>
      <c r="K441" s="6">
        <f t="shared" ca="1" si="26"/>
        <v>46563</v>
      </c>
      <c r="L441" s="6"/>
    </row>
    <row r="442" spans="1:12" x14ac:dyDescent="0.2">
      <c r="A442" s="1" t="str">
        <f>+'Maestro infraestructura'!A441</f>
        <v>EDIFICIO PRINCIPAL</v>
      </c>
      <c r="B442" s="1" t="str">
        <f>+'Maestro infraestructura'!B441</f>
        <v>6° Piso</v>
      </c>
      <c r="C442" s="1">
        <f>+'Maestro infraestructura'!C441</f>
        <v>608</v>
      </c>
      <c r="D442" s="1" t="str">
        <f>+'Maestro infraestructura'!F441</f>
        <v>Pizarra</v>
      </c>
      <c r="E442" s="25" t="str">
        <f ca="1">+'Maestro infraestructura'!K441</f>
        <v>Activo</v>
      </c>
      <c r="F442" s="1" t="str">
        <f ca="1">+'Maestro infraestructura'!V441</f>
        <v>AL DÍA</v>
      </c>
      <c r="G442" s="1" t="str">
        <f>+'Maestro infraestructura'!X441</f>
        <v>OPERACIÓN</v>
      </c>
      <c r="H442" s="1">
        <f>+'Maestro infraestructura'!Y441</f>
        <v>2</v>
      </c>
      <c r="I442" s="1"/>
      <c r="J442" s="6">
        <f>+'Maestro infraestructura'!T441</f>
        <v>46563</v>
      </c>
      <c r="K442" s="6">
        <f t="shared" ca="1" si="26"/>
        <v>46563</v>
      </c>
      <c r="L442" s="6"/>
    </row>
    <row r="443" spans="1:12" x14ac:dyDescent="0.2">
      <c r="A443" s="1" t="str">
        <f>+'Maestro infraestructura'!A442</f>
        <v>EDIFICIO PRINCIPAL</v>
      </c>
      <c r="B443" s="1" t="str">
        <f>+'Maestro infraestructura'!B442</f>
        <v>6° Piso</v>
      </c>
      <c r="C443" s="1">
        <f>+'Maestro infraestructura'!C442</f>
        <v>608</v>
      </c>
      <c r="D443" s="1" t="str">
        <f>+'Maestro infraestructura'!F442</f>
        <v>Puertas</v>
      </c>
      <c r="E443" s="25" t="str">
        <f ca="1">+'Maestro infraestructura'!K442</f>
        <v>Activo</v>
      </c>
      <c r="F443" s="1" t="str">
        <f ca="1">+'Maestro infraestructura'!V442</f>
        <v>AL DÍA</v>
      </c>
      <c r="G443" s="1" t="str">
        <f>+'Maestro infraestructura'!X442</f>
        <v>GENERAL</v>
      </c>
      <c r="H443" s="1">
        <f>+'Maestro infraestructura'!Y442</f>
        <v>2</v>
      </c>
      <c r="I443" s="1"/>
      <c r="J443" s="6">
        <f>+'Maestro infraestructura'!T442</f>
        <v>46563</v>
      </c>
      <c r="K443" s="6">
        <f t="shared" ca="1" si="26"/>
        <v>46563</v>
      </c>
      <c r="L443" s="6"/>
    </row>
    <row r="444" spans="1:12" x14ac:dyDescent="0.2">
      <c r="A444" s="1" t="str">
        <f>+'Maestro infraestructura'!A443</f>
        <v>EDIFICIO PRINCIPAL</v>
      </c>
      <c r="B444" s="1" t="str">
        <f>+'Maestro infraestructura'!B443</f>
        <v>6° Piso</v>
      </c>
      <c r="C444" s="1">
        <f>+'Maestro infraestructura'!C443</f>
        <v>609</v>
      </c>
      <c r="D444" s="1" t="str">
        <f>+'Maestro infraestructura'!F443</f>
        <v>Ventanas</v>
      </c>
      <c r="E444" s="25" t="str">
        <f ca="1">+'Maestro infraestructura'!K443</f>
        <v>Activo</v>
      </c>
      <c r="F444" s="1" t="str">
        <f ca="1">+'Maestro infraestructura'!V443</f>
        <v>AL DÍA</v>
      </c>
      <c r="G444" s="1" t="str">
        <f>+'Maestro infraestructura'!X443</f>
        <v>OPERACIÓN</v>
      </c>
      <c r="H444" s="1">
        <f>+'Maestro infraestructura'!Y443</f>
        <v>2</v>
      </c>
      <c r="I444" s="1"/>
      <c r="J444" s="6">
        <f>+'Maestro infraestructura'!T443</f>
        <v>46563</v>
      </c>
      <c r="K444" s="6">
        <f t="shared" ca="1" si="26"/>
        <v>46563</v>
      </c>
      <c r="L444" s="6"/>
    </row>
    <row r="445" spans="1:12" x14ac:dyDescent="0.2">
      <c r="A445" s="1" t="str">
        <f>+'Maestro infraestructura'!A444</f>
        <v>EDIFICIO PRINCIPAL</v>
      </c>
      <c r="B445" s="1" t="str">
        <f>+'Maestro infraestructura'!B444</f>
        <v>6° Piso</v>
      </c>
      <c r="C445" s="1">
        <f>+'Maestro infraestructura'!C444</f>
        <v>609</v>
      </c>
      <c r="D445" s="1" t="str">
        <f>+'Maestro infraestructura'!F444</f>
        <v xml:space="preserve">Baranda </v>
      </c>
      <c r="E445" s="25" t="str">
        <f ca="1">+'Maestro infraestructura'!K444</f>
        <v>Activo</v>
      </c>
      <c r="F445" s="1" t="str">
        <f ca="1">+'Maestro infraestructura'!V444</f>
        <v>AL DÍA</v>
      </c>
      <c r="G445" s="1" t="str">
        <f>+'Maestro infraestructura'!X444</f>
        <v>SEGURIDAD</v>
      </c>
      <c r="H445" s="1">
        <f>+'Maestro infraestructura'!Y444</f>
        <v>1</v>
      </c>
      <c r="I445" s="1"/>
      <c r="J445" s="6">
        <f>+'Maestro infraestructura'!T444</f>
        <v>46563</v>
      </c>
      <c r="K445" s="6">
        <f t="shared" ca="1" si="26"/>
        <v>46563</v>
      </c>
      <c r="L445" s="6"/>
    </row>
    <row r="446" spans="1:12" x14ac:dyDescent="0.2">
      <c r="A446" s="1" t="str">
        <f>+'Maestro infraestructura'!A445</f>
        <v>EDIFICIO PRINCIPAL</v>
      </c>
      <c r="B446" s="1" t="str">
        <f>+'Maestro infraestructura'!B445</f>
        <v>6° Piso</v>
      </c>
      <c r="C446" s="1">
        <f>+'Maestro infraestructura'!C445</f>
        <v>609</v>
      </c>
      <c r="D446" s="1" t="str">
        <f>+'Maestro infraestructura'!F445</f>
        <v>Piso</v>
      </c>
      <c r="E446" s="25" t="str">
        <f ca="1">+'Maestro infraestructura'!K445</f>
        <v>Activo</v>
      </c>
      <c r="F446" s="1" t="str">
        <f ca="1">+'Maestro infraestructura'!V445</f>
        <v>AL DÍA</v>
      </c>
      <c r="G446" s="1" t="str">
        <f>+'Maestro infraestructura'!X445</f>
        <v>GENERAL</v>
      </c>
      <c r="H446" s="1">
        <f>+'Maestro infraestructura'!Y445</f>
        <v>2</v>
      </c>
      <c r="I446" s="1"/>
      <c r="J446" s="6">
        <f>+'Maestro infraestructura'!T445</f>
        <v>46563</v>
      </c>
      <c r="K446" s="6">
        <f t="shared" ca="1" si="26"/>
        <v>46563</v>
      </c>
      <c r="L446" s="6"/>
    </row>
    <row r="447" spans="1:12" x14ac:dyDescent="0.2">
      <c r="A447" s="1" t="str">
        <f>+'Maestro infraestructura'!A446</f>
        <v>EDIFICIO PRINCIPAL</v>
      </c>
      <c r="B447" s="1" t="str">
        <f>+'Maestro infraestructura'!B446</f>
        <v>6° Piso</v>
      </c>
      <c r="C447" s="1">
        <f>+'Maestro infraestructura'!C446</f>
        <v>609</v>
      </c>
      <c r="D447" s="1" t="str">
        <f>+'Maestro infraestructura'!F446</f>
        <v>Enchufes</v>
      </c>
      <c r="E447" s="25" t="str">
        <f ca="1">+'Maestro infraestructura'!K446</f>
        <v>Activo</v>
      </c>
      <c r="F447" s="1" t="str">
        <f ca="1">+'Maestro infraestructura'!V446</f>
        <v>AL DÍA</v>
      </c>
      <c r="G447" s="1" t="str">
        <f>+'Maestro infraestructura'!X446</f>
        <v>GENERAL</v>
      </c>
      <c r="H447" s="1">
        <f>+'Maestro infraestructura'!Y446</f>
        <v>2</v>
      </c>
      <c r="I447" s="1"/>
      <c r="J447" s="6">
        <f>+'Maestro infraestructura'!T446</f>
        <v>46563</v>
      </c>
      <c r="K447" s="6">
        <f t="shared" ca="1" si="26"/>
        <v>46563</v>
      </c>
      <c r="L447" s="6"/>
    </row>
    <row r="448" spans="1:12" x14ac:dyDescent="0.2">
      <c r="A448" s="1" t="str">
        <f>+'Maestro infraestructura'!A447</f>
        <v>EDIFICIO PRINCIPAL</v>
      </c>
      <c r="B448" s="1" t="str">
        <f>+'Maestro infraestructura'!B447</f>
        <v>6° Piso</v>
      </c>
      <c r="C448" s="1">
        <f>+'Maestro infraestructura'!C447</f>
        <v>609</v>
      </c>
      <c r="D448" s="1" t="str">
        <f>+'Maestro infraestructura'!F447</f>
        <v>TV</v>
      </c>
      <c r="E448" s="25" t="str">
        <f ca="1">+'Maestro infraestructura'!K447</f>
        <v>Activo</v>
      </c>
      <c r="F448" s="1" t="str">
        <f ca="1">+'Maestro infraestructura'!V447</f>
        <v>AL DÍA</v>
      </c>
      <c r="G448" s="1" t="str">
        <f>+'Maestro infraestructura'!X447</f>
        <v>OPERACIÓN</v>
      </c>
      <c r="H448" s="1">
        <f>+'Maestro infraestructura'!Y447</f>
        <v>2</v>
      </c>
      <c r="I448" s="1"/>
      <c r="J448" s="6">
        <f>+'Maestro infraestructura'!T447</f>
        <v>46563</v>
      </c>
      <c r="K448" s="6">
        <f t="shared" ca="1" si="26"/>
        <v>46563</v>
      </c>
      <c r="L448" s="6"/>
    </row>
    <row r="449" spans="1:12" x14ac:dyDescent="0.2">
      <c r="A449" s="1" t="str">
        <f>+'Maestro infraestructura'!A448</f>
        <v>EDIFICIO PRINCIPAL</v>
      </c>
      <c r="B449" s="1" t="str">
        <f>+'Maestro infraestructura'!B448</f>
        <v>6° Piso</v>
      </c>
      <c r="C449" s="1">
        <f>+'Maestro infraestructura'!C448</f>
        <v>609</v>
      </c>
      <c r="D449" s="1" t="str">
        <f>+'Maestro infraestructura'!F448</f>
        <v>Pizarra</v>
      </c>
      <c r="E449" s="25" t="str">
        <f ca="1">+'Maestro infraestructura'!K448</f>
        <v>Activo</v>
      </c>
      <c r="F449" s="1" t="str">
        <f ca="1">+'Maestro infraestructura'!V448</f>
        <v>AL DÍA</v>
      </c>
      <c r="G449" s="1" t="str">
        <f>+'Maestro infraestructura'!X448</f>
        <v>OPERACIÓN</v>
      </c>
      <c r="H449" s="1">
        <f>+'Maestro infraestructura'!Y448</f>
        <v>2</v>
      </c>
      <c r="I449" s="1"/>
      <c r="J449" s="6">
        <f>+'Maestro infraestructura'!T448</f>
        <v>46563</v>
      </c>
      <c r="K449" s="6">
        <f t="shared" ca="1" si="26"/>
        <v>46563</v>
      </c>
      <c r="L449" s="6"/>
    </row>
    <row r="450" spans="1:12" x14ac:dyDescent="0.2">
      <c r="A450" s="1" t="str">
        <f>+'Maestro infraestructura'!A449</f>
        <v>EDIFICIO PRINCIPAL</v>
      </c>
      <c r="B450" s="1" t="str">
        <f>+'Maestro infraestructura'!B449</f>
        <v>6° Piso</v>
      </c>
      <c r="C450" s="1">
        <f>+'Maestro infraestructura'!C449</f>
        <v>609</v>
      </c>
      <c r="D450" s="1" t="str">
        <f>+'Maestro infraestructura'!F449</f>
        <v>Puertas</v>
      </c>
      <c r="E450" s="25" t="str">
        <f ca="1">+'Maestro infraestructura'!K449</f>
        <v>Activo</v>
      </c>
      <c r="F450" s="1" t="str">
        <f ca="1">+'Maestro infraestructura'!V449</f>
        <v>AL DÍA</v>
      </c>
      <c r="G450" s="1" t="str">
        <f>+'Maestro infraestructura'!X449</f>
        <v>GENERAL</v>
      </c>
      <c r="H450" s="1">
        <f>+'Maestro infraestructura'!Y449</f>
        <v>2</v>
      </c>
      <c r="I450" s="1"/>
      <c r="J450" s="6">
        <f>+'Maestro infraestructura'!T449</f>
        <v>46563</v>
      </c>
      <c r="K450" s="6">
        <f t="shared" ca="1" si="26"/>
        <v>46563</v>
      </c>
      <c r="L450" s="6"/>
    </row>
    <row r="451" spans="1:12" x14ac:dyDescent="0.2">
      <c r="A451" s="1" t="str">
        <f>+'Maestro infraestructura'!A450</f>
        <v>EDIFICIO PRINCIPAL</v>
      </c>
      <c r="B451" s="1" t="str">
        <f>+'Maestro infraestructura'!B450</f>
        <v>6° Piso</v>
      </c>
      <c r="C451" s="1">
        <f>+'Maestro infraestructura'!C450</f>
        <v>610</v>
      </c>
      <c r="D451" s="1" t="str">
        <f>+'Maestro infraestructura'!F450</f>
        <v>Ventanas</v>
      </c>
      <c r="E451" s="25" t="str">
        <f ca="1">+'Maestro infraestructura'!K450</f>
        <v>Activo</v>
      </c>
      <c r="F451" s="1" t="str">
        <f ca="1">+'Maestro infraestructura'!V450</f>
        <v>AL DÍA</v>
      </c>
      <c r="G451" s="1" t="str">
        <f>+'Maestro infraestructura'!X450</f>
        <v>OPERACIÓN</v>
      </c>
      <c r="H451" s="1">
        <f>+'Maestro infraestructura'!Y450</f>
        <v>2</v>
      </c>
      <c r="I451" s="1"/>
      <c r="J451" s="6">
        <f>+'Maestro infraestructura'!T450</f>
        <v>46563</v>
      </c>
      <c r="K451" s="6">
        <f t="shared" ca="1" si="26"/>
        <v>46563</v>
      </c>
      <c r="L451" s="6"/>
    </row>
    <row r="452" spans="1:12" x14ac:dyDescent="0.2">
      <c r="A452" s="1" t="str">
        <f>+'Maestro infraestructura'!A451</f>
        <v>EDIFICIO PRINCIPAL</v>
      </c>
      <c r="B452" s="1" t="str">
        <f>+'Maestro infraestructura'!B451</f>
        <v>6° Piso</v>
      </c>
      <c r="C452" s="1">
        <f>+'Maestro infraestructura'!C451</f>
        <v>610</v>
      </c>
      <c r="D452" s="1" t="str">
        <f>+'Maestro infraestructura'!F451</f>
        <v xml:space="preserve">Baranda </v>
      </c>
      <c r="E452" s="25" t="str">
        <f ca="1">+'Maestro infraestructura'!K451</f>
        <v>Activo</v>
      </c>
      <c r="F452" s="1" t="str">
        <f ca="1">+'Maestro infraestructura'!V451</f>
        <v>AL DÍA</v>
      </c>
      <c r="G452" s="1" t="str">
        <f>+'Maestro infraestructura'!X451</f>
        <v>SEGURIDAD</v>
      </c>
      <c r="H452" s="1">
        <f>+'Maestro infraestructura'!Y451</f>
        <v>1</v>
      </c>
      <c r="I452" s="1"/>
      <c r="J452" s="6">
        <f>+'Maestro infraestructura'!T451</f>
        <v>46563</v>
      </c>
      <c r="K452" s="6">
        <f t="shared" ref="K452:K515" ca="1" si="27">IF(E452="Cambiar o Inspección externa",1/1/2027,IF(E452="cambiar",1/1/2027,J452))</f>
        <v>46563</v>
      </c>
      <c r="L452" s="6"/>
    </row>
    <row r="453" spans="1:12" x14ac:dyDescent="0.2">
      <c r="A453" s="1" t="str">
        <f>+'Maestro infraestructura'!A452</f>
        <v>EDIFICIO PRINCIPAL</v>
      </c>
      <c r="B453" s="1" t="str">
        <f>+'Maestro infraestructura'!B452</f>
        <v>6° Piso</v>
      </c>
      <c r="C453" s="1">
        <f>+'Maestro infraestructura'!C452</f>
        <v>610</v>
      </c>
      <c r="D453" s="1" t="str">
        <f>+'Maestro infraestructura'!F452</f>
        <v>Piso</v>
      </c>
      <c r="E453" s="25" t="str">
        <f ca="1">+'Maestro infraestructura'!K452</f>
        <v>Activo</v>
      </c>
      <c r="F453" s="1" t="str">
        <f ca="1">+'Maestro infraestructura'!V452</f>
        <v>AL DÍA</v>
      </c>
      <c r="G453" s="1" t="str">
        <f>+'Maestro infraestructura'!X452</f>
        <v>GENERAL</v>
      </c>
      <c r="H453" s="1">
        <f>+'Maestro infraestructura'!Y452</f>
        <v>2</v>
      </c>
      <c r="I453" s="1"/>
      <c r="J453" s="6">
        <f>+'Maestro infraestructura'!T452</f>
        <v>46563</v>
      </c>
      <c r="K453" s="6">
        <f t="shared" ca="1" si="27"/>
        <v>46563</v>
      </c>
      <c r="L453" s="6"/>
    </row>
    <row r="454" spans="1:12" x14ac:dyDescent="0.2">
      <c r="A454" s="1" t="str">
        <f>+'Maestro infraestructura'!A453</f>
        <v>EDIFICIO PRINCIPAL</v>
      </c>
      <c r="B454" s="1" t="str">
        <f>+'Maestro infraestructura'!B453</f>
        <v>6° Piso</v>
      </c>
      <c r="C454" s="1">
        <f>+'Maestro infraestructura'!C453</f>
        <v>610</v>
      </c>
      <c r="D454" s="1" t="str">
        <f>+'Maestro infraestructura'!F453</f>
        <v>Enchufes</v>
      </c>
      <c r="E454" s="25" t="str">
        <f ca="1">+'Maestro infraestructura'!K453</f>
        <v>Activo</v>
      </c>
      <c r="F454" s="1" t="str">
        <f ca="1">+'Maestro infraestructura'!V453</f>
        <v>AL DÍA</v>
      </c>
      <c r="G454" s="1" t="str">
        <f>+'Maestro infraestructura'!X453</f>
        <v>GENERAL</v>
      </c>
      <c r="H454" s="1">
        <f>+'Maestro infraestructura'!Y453</f>
        <v>2</v>
      </c>
      <c r="I454" s="1"/>
      <c r="J454" s="6">
        <f>+'Maestro infraestructura'!T453</f>
        <v>46563</v>
      </c>
      <c r="K454" s="6">
        <f t="shared" ca="1" si="27"/>
        <v>46563</v>
      </c>
      <c r="L454" s="6"/>
    </row>
    <row r="455" spans="1:12" x14ac:dyDescent="0.2">
      <c r="A455" s="1" t="str">
        <f>+'Maestro infraestructura'!A454</f>
        <v>EDIFICIO PRINCIPAL</v>
      </c>
      <c r="B455" s="1" t="str">
        <f>+'Maestro infraestructura'!B454</f>
        <v>6° Piso</v>
      </c>
      <c r="C455" s="1">
        <f>+'Maestro infraestructura'!C454</f>
        <v>610</v>
      </c>
      <c r="D455" s="1" t="str">
        <f>+'Maestro infraestructura'!F454</f>
        <v>TV</v>
      </c>
      <c r="E455" s="25" t="str">
        <f ca="1">+'Maestro infraestructura'!K454</f>
        <v>Activo</v>
      </c>
      <c r="F455" s="1" t="str">
        <f ca="1">+'Maestro infraestructura'!V454</f>
        <v>AL DÍA</v>
      </c>
      <c r="G455" s="1" t="str">
        <f>+'Maestro infraestructura'!X454</f>
        <v>OPERACIÓN</v>
      </c>
      <c r="H455" s="1">
        <f>+'Maestro infraestructura'!Y454</f>
        <v>2</v>
      </c>
      <c r="I455" s="1"/>
      <c r="J455" s="6">
        <f>+'Maestro infraestructura'!T454</f>
        <v>46563</v>
      </c>
      <c r="K455" s="6">
        <f t="shared" ca="1" si="27"/>
        <v>46563</v>
      </c>
      <c r="L455" s="6"/>
    </row>
    <row r="456" spans="1:12" x14ac:dyDescent="0.2">
      <c r="A456" s="1" t="str">
        <f>+'Maestro infraestructura'!A455</f>
        <v>EDIFICIO PRINCIPAL</v>
      </c>
      <c r="B456" s="1" t="str">
        <f>+'Maestro infraestructura'!B455</f>
        <v>6° Piso</v>
      </c>
      <c r="C456" s="1">
        <f>+'Maestro infraestructura'!C455</f>
        <v>610</v>
      </c>
      <c r="D456" s="1" t="str">
        <f>+'Maestro infraestructura'!F455</f>
        <v>Pizarra</v>
      </c>
      <c r="E456" s="25" t="str">
        <f ca="1">+'Maestro infraestructura'!K455</f>
        <v>Activo</v>
      </c>
      <c r="F456" s="1" t="str">
        <f ca="1">+'Maestro infraestructura'!V455</f>
        <v>AL DÍA</v>
      </c>
      <c r="G456" s="1" t="str">
        <f>+'Maestro infraestructura'!X455</f>
        <v>OPERACIÓN</v>
      </c>
      <c r="H456" s="1">
        <f>+'Maestro infraestructura'!Y455</f>
        <v>2</v>
      </c>
      <c r="I456" s="1"/>
      <c r="J456" s="6">
        <f>+'Maestro infraestructura'!T455</f>
        <v>46563</v>
      </c>
      <c r="K456" s="6">
        <f t="shared" ca="1" si="27"/>
        <v>46563</v>
      </c>
      <c r="L456" s="6"/>
    </row>
    <row r="457" spans="1:12" x14ac:dyDescent="0.2">
      <c r="A457" s="1" t="str">
        <f>+'Maestro infraestructura'!A456</f>
        <v>EDIFICIO PRINCIPAL</v>
      </c>
      <c r="B457" s="1" t="str">
        <f>+'Maestro infraestructura'!B456</f>
        <v>6° Piso</v>
      </c>
      <c r="C457" s="1">
        <f>+'Maestro infraestructura'!C456</f>
        <v>610</v>
      </c>
      <c r="D457" s="1" t="str">
        <f>+'Maestro infraestructura'!F456</f>
        <v>Puertas</v>
      </c>
      <c r="E457" s="25" t="str">
        <f ca="1">+'Maestro infraestructura'!K456</f>
        <v>Activo</v>
      </c>
      <c r="F457" s="1" t="str">
        <f ca="1">+'Maestro infraestructura'!V456</f>
        <v>AL DÍA</v>
      </c>
      <c r="G457" s="1" t="str">
        <f>+'Maestro infraestructura'!X456</f>
        <v>GENERAL</v>
      </c>
      <c r="H457" s="1">
        <f>+'Maestro infraestructura'!Y456</f>
        <v>2</v>
      </c>
      <c r="I457" s="1"/>
      <c r="J457" s="6">
        <f>+'Maestro infraestructura'!T456</f>
        <v>46563</v>
      </c>
      <c r="K457" s="6">
        <f t="shared" ca="1" si="27"/>
        <v>46563</v>
      </c>
      <c r="L457" s="6"/>
    </row>
    <row r="458" spans="1:12" x14ac:dyDescent="0.2">
      <c r="A458" s="1" t="str">
        <f>+'Maestro infraestructura'!A457</f>
        <v>EDIFICIO PRINCIPAL</v>
      </c>
      <c r="B458" s="1" t="str">
        <f>+'Maestro infraestructura'!B457</f>
        <v>6° Piso</v>
      </c>
      <c r="C458" s="1">
        <f>+'Maestro infraestructura'!C457</f>
        <v>611</v>
      </c>
      <c r="D458" s="1" t="str">
        <f>+'Maestro infraestructura'!F457</f>
        <v>Ventanas</v>
      </c>
      <c r="E458" s="25" t="str">
        <f ca="1">+'Maestro infraestructura'!K457</f>
        <v>Activo</v>
      </c>
      <c r="F458" s="1" t="str">
        <f ca="1">+'Maestro infraestructura'!V457</f>
        <v>AL DÍA</v>
      </c>
      <c r="G458" s="1" t="str">
        <f>+'Maestro infraestructura'!X457</f>
        <v>OPERACIÓN</v>
      </c>
      <c r="H458" s="1">
        <f>+'Maestro infraestructura'!Y457</f>
        <v>2</v>
      </c>
      <c r="I458" s="1"/>
      <c r="J458" s="6">
        <f>+'Maestro infraestructura'!T457</f>
        <v>46563</v>
      </c>
      <c r="K458" s="6">
        <f t="shared" ca="1" si="27"/>
        <v>46563</v>
      </c>
      <c r="L458" s="6"/>
    </row>
    <row r="459" spans="1:12" x14ac:dyDescent="0.2">
      <c r="A459" s="1" t="str">
        <f>+'Maestro infraestructura'!A458</f>
        <v>EDIFICIO PRINCIPAL</v>
      </c>
      <c r="B459" s="1" t="str">
        <f>+'Maestro infraestructura'!B458</f>
        <v>6° Piso</v>
      </c>
      <c r="C459" s="1">
        <f>+'Maestro infraestructura'!C458</f>
        <v>611</v>
      </c>
      <c r="D459" s="1" t="str">
        <f>+'Maestro infraestructura'!F458</f>
        <v xml:space="preserve">Baranda </v>
      </c>
      <c r="E459" s="25" t="str">
        <f ca="1">+'Maestro infraestructura'!K458</f>
        <v>Activo</v>
      </c>
      <c r="F459" s="1" t="str">
        <f ca="1">+'Maestro infraestructura'!V458</f>
        <v>AL DÍA</v>
      </c>
      <c r="G459" s="1" t="str">
        <f>+'Maestro infraestructura'!X458</f>
        <v>SEGURIDAD</v>
      </c>
      <c r="H459" s="1">
        <f>+'Maestro infraestructura'!Y458</f>
        <v>1</v>
      </c>
      <c r="I459" s="1"/>
      <c r="J459" s="6">
        <f>+'Maestro infraestructura'!T458</f>
        <v>46563</v>
      </c>
      <c r="K459" s="6">
        <f t="shared" ca="1" si="27"/>
        <v>46563</v>
      </c>
      <c r="L459" s="6"/>
    </row>
    <row r="460" spans="1:12" x14ac:dyDescent="0.2">
      <c r="A460" s="1" t="str">
        <f>+'Maestro infraestructura'!A459</f>
        <v>EDIFICIO PRINCIPAL</v>
      </c>
      <c r="B460" s="1" t="str">
        <f>+'Maestro infraestructura'!B459</f>
        <v>6° Piso</v>
      </c>
      <c r="C460" s="1">
        <f>+'Maestro infraestructura'!C459</f>
        <v>611</v>
      </c>
      <c r="D460" s="1" t="str">
        <f>+'Maestro infraestructura'!F459</f>
        <v>Piso</v>
      </c>
      <c r="E460" s="25" t="str">
        <f ca="1">+'Maestro infraestructura'!K459</f>
        <v>Activo</v>
      </c>
      <c r="F460" s="1" t="str">
        <f ca="1">+'Maestro infraestructura'!V459</f>
        <v>AL DÍA</v>
      </c>
      <c r="G460" s="1" t="str">
        <f>+'Maestro infraestructura'!X459</f>
        <v>GENERAL</v>
      </c>
      <c r="H460" s="1">
        <f>+'Maestro infraestructura'!Y459</f>
        <v>2</v>
      </c>
      <c r="I460" s="1"/>
      <c r="J460" s="6">
        <f>+'Maestro infraestructura'!T459</f>
        <v>46563</v>
      </c>
      <c r="K460" s="6">
        <f t="shared" ca="1" si="27"/>
        <v>46563</v>
      </c>
      <c r="L460" s="6"/>
    </row>
    <row r="461" spans="1:12" x14ac:dyDescent="0.2">
      <c r="A461" s="1" t="str">
        <f>+'Maestro infraestructura'!A460</f>
        <v>EDIFICIO PRINCIPAL</v>
      </c>
      <c r="B461" s="1" t="str">
        <f>+'Maestro infraestructura'!B460</f>
        <v>6° Piso</v>
      </c>
      <c r="C461" s="1">
        <f>+'Maestro infraestructura'!C460</f>
        <v>611</v>
      </c>
      <c r="D461" s="1" t="str">
        <f>+'Maestro infraestructura'!F460</f>
        <v>Enchufes</v>
      </c>
      <c r="E461" s="25" t="str">
        <f ca="1">+'Maestro infraestructura'!K460</f>
        <v>Activo</v>
      </c>
      <c r="F461" s="1" t="str">
        <f ca="1">+'Maestro infraestructura'!V460</f>
        <v>AL DÍA</v>
      </c>
      <c r="G461" s="1" t="str">
        <f>+'Maestro infraestructura'!X460</f>
        <v>GENERAL</v>
      </c>
      <c r="H461" s="1">
        <f>+'Maestro infraestructura'!Y460</f>
        <v>2</v>
      </c>
      <c r="I461" s="1"/>
      <c r="J461" s="6">
        <f>+'Maestro infraestructura'!T460</f>
        <v>46563</v>
      </c>
      <c r="K461" s="6">
        <f t="shared" ca="1" si="27"/>
        <v>46563</v>
      </c>
      <c r="L461" s="6"/>
    </row>
    <row r="462" spans="1:12" x14ac:dyDescent="0.2">
      <c r="A462" s="1" t="str">
        <f>+'Maestro infraestructura'!A461</f>
        <v>EDIFICIO PRINCIPAL</v>
      </c>
      <c r="B462" s="1" t="str">
        <f>+'Maestro infraestructura'!B461</f>
        <v>6° Piso</v>
      </c>
      <c r="C462" s="1">
        <f>+'Maestro infraestructura'!C461</f>
        <v>611</v>
      </c>
      <c r="D462" s="1" t="str">
        <f>+'Maestro infraestructura'!F461</f>
        <v>TV</v>
      </c>
      <c r="E462" s="25" t="str">
        <f ca="1">+'Maestro infraestructura'!K461</f>
        <v>Activo</v>
      </c>
      <c r="F462" s="1" t="str">
        <f ca="1">+'Maestro infraestructura'!V461</f>
        <v>AL DÍA</v>
      </c>
      <c r="G462" s="1" t="str">
        <f>+'Maestro infraestructura'!X461</f>
        <v>OPERACIÓN</v>
      </c>
      <c r="H462" s="1">
        <f>+'Maestro infraestructura'!Y461</f>
        <v>2</v>
      </c>
      <c r="I462" s="1"/>
      <c r="J462" s="6">
        <f>+'Maestro infraestructura'!T461</f>
        <v>46563</v>
      </c>
      <c r="K462" s="6">
        <f t="shared" ca="1" si="27"/>
        <v>46563</v>
      </c>
      <c r="L462" s="6"/>
    </row>
    <row r="463" spans="1:12" x14ac:dyDescent="0.2">
      <c r="A463" s="1" t="str">
        <f>+'Maestro infraestructura'!A462</f>
        <v>EDIFICIO PRINCIPAL</v>
      </c>
      <c r="B463" s="1" t="str">
        <f>+'Maestro infraestructura'!B462</f>
        <v>6° Piso</v>
      </c>
      <c r="C463" s="1">
        <f>+'Maestro infraestructura'!C462</f>
        <v>611</v>
      </c>
      <c r="D463" s="1" t="str">
        <f>+'Maestro infraestructura'!F462</f>
        <v>Pizarra</v>
      </c>
      <c r="E463" s="25" t="str">
        <f ca="1">+'Maestro infraestructura'!K462</f>
        <v>Activo</v>
      </c>
      <c r="F463" s="1" t="str">
        <f ca="1">+'Maestro infraestructura'!V462</f>
        <v>AL DÍA</v>
      </c>
      <c r="G463" s="1" t="str">
        <f>+'Maestro infraestructura'!X462</f>
        <v>OPERACIÓN</v>
      </c>
      <c r="H463" s="1">
        <f>+'Maestro infraestructura'!Y462</f>
        <v>2</v>
      </c>
      <c r="I463" s="1"/>
      <c r="J463" s="6">
        <f>+'Maestro infraestructura'!T462</f>
        <v>46563</v>
      </c>
      <c r="K463" s="6">
        <f t="shared" ca="1" si="27"/>
        <v>46563</v>
      </c>
      <c r="L463" s="6"/>
    </row>
    <row r="464" spans="1:12" x14ac:dyDescent="0.2">
      <c r="A464" s="1" t="str">
        <f>+'Maestro infraestructura'!A463</f>
        <v>EDIFICIO PRINCIPAL</v>
      </c>
      <c r="B464" s="1" t="str">
        <f>+'Maestro infraestructura'!B463</f>
        <v>6° Piso</v>
      </c>
      <c r="C464" s="1">
        <f>+'Maestro infraestructura'!C463</f>
        <v>611</v>
      </c>
      <c r="D464" s="1" t="str">
        <f>+'Maestro infraestructura'!F463</f>
        <v>Puertas</v>
      </c>
      <c r="E464" s="25" t="str">
        <f ca="1">+'Maestro infraestructura'!K463</f>
        <v>Activo</v>
      </c>
      <c r="F464" s="1" t="str">
        <f ca="1">+'Maestro infraestructura'!V463</f>
        <v>AL DÍA</v>
      </c>
      <c r="G464" s="1" t="str">
        <f>+'Maestro infraestructura'!X463</f>
        <v>GENERAL</v>
      </c>
      <c r="H464" s="1">
        <f>+'Maestro infraestructura'!Y463</f>
        <v>2</v>
      </c>
      <c r="I464" s="1"/>
      <c r="J464" s="6">
        <f>+'Maestro infraestructura'!T463</f>
        <v>46563</v>
      </c>
      <c r="K464" s="6">
        <f t="shared" ca="1" si="27"/>
        <v>46563</v>
      </c>
      <c r="L464" s="6"/>
    </row>
    <row r="465" spans="1:12" x14ac:dyDescent="0.2">
      <c r="A465" s="1" t="str">
        <f>+'Maestro infraestructura'!A464</f>
        <v>EDIFICIO PRINCIPAL</v>
      </c>
      <c r="B465" s="1" t="str">
        <f>+'Maestro infraestructura'!B464</f>
        <v>6° Piso</v>
      </c>
      <c r="C465" s="1">
        <f>+'Maestro infraestructura'!C464</f>
        <v>612</v>
      </c>
      <c r="D465" s="1" t="str">
        <f>+'Maestro infraestructura'!F464</f>
        <v>Ventanas</v>
      </c>
      <c r="E465" s="25" t="str">
        <f ca="1">+'Maestro infraestructura'!K464</f>
        <v>Activo</v>
      </c>
      <c r="F465" s="1" t="str">
        <f ca="1">+'Maestro infraestructura'!V464</f>
        <v>AL DÍA</v>
      </c>
      <c r="G465" s="1" t="str">
        <f>+'Maestro infraestructura'!X464</f>
        <v>OPERACIÓN</v>
      </c>
      <c r="H465" s="1">
        <f>+'Maestro infraestructura'!Y464</f>
        <v>2</v>
      </c>
      <c r="I465" s="1"/>
      <c r="J465" s="6">
        <f>+'Maestro infraestructura'!T464</f>
        <v>46563</v>
      </c>
      <c r="K465" s="6">
        <f t="shared" ca="1" si="27"/>
        <v>46563</v>
      </c>
      <c r="L465" s="6"/>
    </row>
    <row r="466" spans="1:12" x14ac:dyDescent="0.2">
      <c r="A466" s="1" t="str">
        <f>+'Maestro infraestructura'!A465</f>
        <v>EDIFICIO PRINCIPAL</v>
      </c>
      <c r="B466" s="1" t="str">
        <f>+'Maestro infraestructura'!B465</f>
        <v>6° Piso</v>
      </c>
      <c r="C466" s="1">
        <f>+'Maestro infraestructura'!C465</f>
        <v>612</v>
      </c>
      <c r="D466" s="1" t="str">
        <f>+'Maestro infraestructura'!F465</f>
        <v xml:space="preserve">Baranda </v>
      </c>
      <c r="E466" s="25" t="str">
        <f ca="1">+'Maestro infraestructura'!K465</f>
        <v>Activo</v>
      </c>
      <c r="F466" s="1" t="str">
        <f ca="1">+'Maestro infraestructura'!V465</f>
        <v>AL DÍA</v>
      </c>
      <c r="G466" s="1" t="str">
        <f>+'Maestro infraestructura'!X465</f>
        <v>SEGURIDAD</v>
      </c>
      <c r="H466" s="1">
        <f>+'Maestro infraestructura'!Y465</f>
        <v>1</v>
      </c>
      <c r="I466" s="1"/>
      <c r="J466" s="6">
        <f>+'Maestro infraestructura'!T465</f>
        <v>46563</v>
      </c>
      <c r="K466" s="6">
        <f t="shared" ca="1" si="27"/>
        <v>46563</v>
      </c>
      <c r="L466" s="6"/>
    </row>
    <row r="467" spans="1:12" x14ac:dyDescent="0.2">
      <c r="A467" s="1" t="str">
        <f>+'Maestro infraestructura'!A466</f>
        <v>EDIFICIO PRINCIPAL</v>
      </c>
      <c r="B467" s="1" t="str">
        <f>+'Maestro infraestructura'!B466</f>
        <v>6° Piso</v>
      </c>
      <c r="C467" s="1">
        <f>+'Maestro infraestructura'!C466</f>
        <v>612</v>
      </c>
      <c r="D467" s="1" t="str">
        <f>+'Maestro infraestructura'!F466</f>
        <v>Piso</v>
      </c>
      <c r="E467" s="25" t="str">
        <f ca="1">+'Maestro infraestructura'!K466</f>
        <v>Activo</v>
      </c>
      <c r="F467" s="1" t="str">
        <f ca="1">+'Maestro infraestructura'!V466</f>
        <v>AL DÍA</v>
      </c>
      <c r="G467" s="1" t="str">
        <f>+'Maestro infraestructura'!X466</f>
        <v>GENERAL</v>
      </c>
      <c r="H467" s="1">
        <f>+'Maestro infraestructura'!Y466</f>
        <v>2</v>
      </c>
      <c r="I467" s="1"/>
      <c r="J467" s="6">
        <f>+'Maestro infraestructura'!T466</f>
        <v>46563</v>
      </c>
      <c r="K467" s="6">
        <f t="shared" ca="1" si="27"/>
        <v>46563</v>
      </c>
      <c r="L467" s="6"/>
    </row>
    <row r="468" spans="1:12" x14ac:dyDescent="0.2">
      <c r="A468" s="1" t="str">
        <f>+'Maestro infraestructura'!A467</f>
        <v>EDIFICIO PRINCIPAL</v>
      </c>
      <c r="B468" s="1" t="str">
        <f>+'Maestro infraestructura'!B467</f>
        <v>6° Piso</v>
      </c>
      <c r="C468" s="1">
        <f>+'Maestro infraestructura'!C467</f>
        <v>612</v>
      </c>
      <c r="D468" s="1" t="str">
        <f>+'Maestro infraestructura'!F467</f>
        <v>Enchufes</v>
      </c>
      <c r="E468" s="25" t="str">
        <f ca="1">+'Maestro infraestructura'!K467</f>
        <v>Activo</v>
      </c>
      <c r="F468" s="1" t="str">
        <f ca="1">+'Maestro infraestructura'!V467</f>
        <v>AL DÍA</v>
      </c>
      <c r="G468" s="1" t="str">
        <f>+'Maestro infraestructura'!X467</f>
        <v>GENERAL</v>
      </c>
      <c r="H468" s="1">
        <f>+'Maestro infraestructura'!Y467</f>
        <v>2</v>
      </c>
      <c r="I468" s="1"/>
      <c r="J468" s="6">
        <f>+'Maestro infraestructura'!T467</f>
        <v>46563</v>
      </c>
      <c r="K468" s="6">
        <f t="shared" ca="1" si="27"/>
        <v>46563</v>
      </c>
      <c r="L468" s="6"/>
    </row>
    <row r="469" spans="1:12" x14ac:dyDescent="0.2">
      <c r="A469" s="1" t="str">
        <f>+'Maestro infraestructura'!A468</f>
        <v>EDIFICIO PRINCIPAL</v>
      </c>
      <c r="B469" s="1" t="str">
        <f>+'Maestro infraestructura'!B468</f>
        <v>6° Piso</v>
      </c>
      <c r="C469" s="1">
        <f>+'Maestro infraestructura'!C468</f>
        <v>612</v>
      </c>
      <c r="D469" s="1" t="str">
        <f>+'Maestro infraestructura'!F468</f>
        <v>TV</v>
      </c>
      <c r="E469" s="25" t="str">
        <f ca="1">+'Maestro infraestructura'!K468</f>
        <v>Activo</v>
      </c>
      <c r="F469" s="1" t="str">
        <f ca="1">+'Maestro infraestructura'!V468</f>
        <v>AL DÍA</v>
      </c>
      <c r="G469" s="1" t="str">
        <f>+'Maestro infraestructura'!X468</f>
        <v>OPERACIÓN</v>
      </c>
      <c r="H469" s="1">
        <f>+'Maestro infraestructura'!Y468</f>
        <v>2</v>
      </c>
      <c r="I469" s="1"/>
      <c r="J469" s="6">
        <f>+'Maestro infraestructura'!T468</f>
        <v>46563</v>
      </c>
      <c r="K469" s="6">
        <f t="shared" ca="1" si="27"/>
        <v>46563</v>
      </c>
      <c r="L469" s="6"/>
    </row>
    <row r="470" spans="1:12" x14ac:dyDescent="0.2">
      <c r="A470" s="1" t="str">
        <f>+'Maestro infraestructura'!A469</f>
        <v>EDIFICIO PRINCIPAL</v>
      </c>
      <c r="B470" s="1" t="str">
        <f>+'Maestro infraestructura'!B469</f>
        <v>6° Piso</v>
      </c>
      <c r="C470" s="1">
        <f>+'Maestro infraestructura'!C469</f>
        <v>612</v>
      </c>
      <c r="D470" s="1" t="str">
        <f>+'Maestro infraestructura'!F469</f>
        <v>Pizarra</v>
      </c>
      <c r="E470" s="25" t="str">
        <f ca="1">+'Maestro infraestructura'!K469</f>
        <v>Activo</v>
      </c>
      <c r="F470" s="1" t="str">
        <f ca="1">+'Maestro infraestructura'!V469</f>
        <v>AL DÍA</v>
      </c>
      <c r="G470" s="1" t="str">
        <f>+'Maestro infraestructura'!X469</f>
        <v>OPERACIÓN</v>
      </c>
      <c r="H470" s="1">
        <f>+'Maestro infraestructura'!Y469</f>
        <v>2</v>
      </c>
      <c r="I470" s="1"/>
      <c r="J470" s="6">
        <f>+'Maestro infraestructura'!T469</f>
        <v>46563</v>
      </c>
      <c r="K470" s="6">
        <f t="shared" ca="1" si="27"/>
        <v>46563</v>
      </c>
      <c r="L470" s="6"/>
    </row>
    <row r="471" spans="1:12" x14ac:dyDescent="0.2">
      <c r="A471" s="1" t="str">
        <f>+'Maestro infraestructura'!A470</f>
        <v>EDIFICIO PRINCIPAL</v>
      </c>
      <c r="B471" s="1" t="str">
        <f>+'Maestro infraestructura'!B470</f>
        <v>6° Piso</v>
      </c>
      <c r="C471" s="1">
        <f>+'Maestro infraestructura'!C470</f>
        <v>612</v>
      </c>
      <c r="D471" s="1" t="str">
        <f>+'Maestro infraestructura'!F470</f>
        <v>Puertas</v>
      </c>
      <c r="E471" s="25" t="str">
        <f ca="1">+'Maestro infraestructura'!K470</f>
        <v>Activo</v>
      </c>
      <c r="F471" s="1" t="str">
        <f ca="1">+'Maestro infraestructura'!V470</f>
        <v>AL DÍA</v>
      </c>
      <c r="G471" s="1" t="str">
        <f>+'Maestro infraestructura'!X470</f>
        <v>GENERAL</v>
      </c>
      <c r="H471" s="1">
        <f>+'Maestro infraestructura'!Y470</f>
        <v>2</v>
      </c>
      <c r="I471" s="1"/>
      <c r="J471" s="6">
        <f>+'Maestro infraestructura'!T470</f>
        <v>46563</v>
      </c>
      <c r="K471" s="6">
        <f t="shared" ca="1" si="27"/>
        <v>46563</v>
      </c>
      <c r="L471" s="6"/>
    </row>
    <row r="472" spans="1:12" x14ac:dyDescent="0.2">
      <c r="A472" s="1" t="str">
        <f>+'Maestro infraestructura'!A471</f>
        <v>EDIFICIO PRINCIPAL</v>
      </c>
      <c r="B472" s="1" t="str">
        <f>+'Maestro infraestructura'!B471</f>
        <v>6° Piso</v>
      </c>
      <c r="C472" s="1">
        <f>+'Maestro infraestructura'!C471</f>
        <v>613</v>
      </c>
      <c r="D472" s="1" t="str">
        <f>+'Maestro infraestructura'!F471</f>
        <v>Ventanas</v>
      </c>
      <c r="E472" s="25" t="str">
        <f ca="1">+'Maestro infraestructura'!K471</f>
        <v>Activo</v>
      </c>
      <c r="F472" s="1" t="str">
        <f ca="1">+'Maestro infraestructura'!V471</f>
        <v>AL DÍA</v>
      </c>
      <c r="G472" s="1" t="str">
        <f>+'Maestro infraestructura'!X471</f>
        <v>OPERACIÓN</v>
      </c>
      <c r="H472" s="1">
        <f>+'Maestro infraestructura'!Y471</f>
        <v>2</v>
      </c>
      <c r="I472" s="1"/>
      <c r="J472" s="6">
        <f>+'Maestro infraestructura'!T471</f>
        <v>46563</v>
      </c>
      <c r="K472" s="6">
        <f t="shared" ca="1" si="27"/>
        <v>46563</v>
      </c>
      <c r="L472" s="6"/>
    </row>
    <row r="473" spans="1:12" x14ac:dyDescent="0.2">
      <c r="A473" s="1" t="str">
        <f>+'Maestro infraestructura'!A472</f>
        <v>EDIFICIO PRINCIPAL</v>
      </c>
      <c r="B473" s="1" t="str">
        <f>+'Maestro infraestructura'!B472</f>
        <v>6° Piso</v>
      </c>
      <c r="C473" s="1">
        <f>+'Maestro infraestructura'!C472</f>
        <v>613</v>
      </c>
      <c r="D473" s="1" t="str">
        <f>+'Maestro infraestructura'!F472</f>
        <v xml:space="preserve">Baranda </v>
      </c>
      <c r="E473" s="25" t="str">
        <f ca="1">+'Maestro infraestructura'!K472</f>
        <v>Activo</v>
      </c>
      <c r="F473" s="1" t="str">
        <f ca="1">+'Maestro infraestructura'!V472</f>
        <v>AL DÍA</v>
      </c>
      <c r="G473" s="1" t="str">
        <f>+'Maestro infraestructura'!X472</f>
        <v>SEGURIDAD</v>
      </c>
      <c r="H473" s="1">
        <f>+'Maestro infraestructura'!Y472</f>
        <v>1</v>
      </c>
      <c r="I473" s="1"/>
      <c r="J473" s="6">
        <f>+'Maestro infraestructura'!T472</f>
        <v>46563</v>
      </c>
      <c r="K473" s="6">
        <f t="shared" ca="1" si="27"/>
        <v>46563</v>
      </c>
      <c r="L473" s="6"/>
    </row>
    <row r="474" spans="1:12" x14ac:dyDescent="0.2">
      <c r="A474" s="1" t="str">
        <f>+'Maestro infraestructura'!A473</f>
        <v>EDIFICIO PRINCIPAL</v>
      </c>
      <c r="B474" s="1" t="str">
        <f>+'Maestro infraestructura'!B473</f>
        <v>6° Piso</v>
      </c>
      <c r="C474" s="1">
        <f>+'Maestro infraestructura'!C473</f>
        <v>613</v>
      </c>
      <c r="D474" s="1" t="str">
        <f>+'Maestro infraestructura'!F473</f>
        <v>Piso</v>
      </c>
      <c r="E474" s="25" t="str">
        <f ca="1">+'Maestro infraestructura'!K473</f>
        <v>Activo</v>
      </c>
      <c r="F474" s="1" t="str">
        <f ca="1">+'Maestro infraestructura'!V473</f>
        <v>AL DÍA</v>
      </c>
      <c r="G474" s="1" t="str">
        <f>+'Maestro infraestructura'!X473</f>
        <v>GENERAL</v>
      </c>
      <c r="H474" s="1">
        <f>+'Maestro infraestructura'!Y473</f>
        <v>2</v>
      </c>
      <c r="I474" s="1"/>
      <c r="J474" s="6">
        <f>+'Maestro infraestructura'!T473</f>
        <v>46563</v>
      </c>
      <c r="K474" s="6">
        <f t="shared" ca="1" si="27"/>
        <v>46563</v>
      </c>
      <c r="L474" s="6"/>
    </row>
    <row r="475" spans="1:12" x14ac:dyDescent="0.2">
      <c r="A475" s="1" t="str">
        <f>+'Maestro infraestructura'!A474</f>
        <v>EDIFICIO PRINCIPAL</v>
      </c>
      <c r="B475" s="1" t="str">
        <f>+'Maestro infraestructura'!B474</f>
        <v>6° Piso</v>
      </c>
      <c r="C475" s="1">
        <f>+'Maestro infraestructura'!C474</f>
        <v>613</v>
      </c>
      <c r="D475" s="1" t="str">
        <f>+'Maestro infraestructura'!F474</f>
        <v>Enchufes</v>
      </c>
      <c r="E475" s="25" t="str">
        <f ca="1">+'Maestro infraestructura'!K474</f>
        <v>Activo</v>
      </c>
      <c r="F475" s="1" t="str">
        <f ca="1">+'Maestro infraestructura'!V474</f>
        <v>AL DÍA</v>
      </c>
      <c r="G475" s="1" t="str">
        <f>+'Maestro infraestructura'!X474</f>
        <v>GENERAL</v>
      </c>
      <c r="H475" s="1">
        <f>+'Maestro infraestructura'!Y474</f>
        <v>2</v>
      </c>
      <c r="I475" s="1"/>
      <c r="J475" s="6">
        <f>+'Maestro infraestructura'!T474</f>
        <v>46563</v>
      </c>
      <c r="K475" s="6">
        <f t="shared" ca="1" si="27"/>
        <v>46563</v>
      </c>
      <c r="L475" s="6"/>
    </row>
    <row r="476" spans="1:12" x14ac:dyDescent="0.2">
      <c r="A476" s="1" t="str">
        <f>+'Maestro infraestructura'!A475</f>
        <v>EDIFICIO PRINCIPAL</v>
      </c>
      <c r="B476" s="1" t="str">
        <f>+'Maestro infraestructura'!B475</f>
        <v>6° Piso</v>
      </c>
      <c r="C476" s="1">
        <f>+'Maestro infraestructura'!C475</f>
        <v>613</v>
      </c>
      <c r="D476" s="1" t="str">
        <f>+'Maestro infraestructura'!F475</f>
        <v>TV</v>
      </c>
      <c r="E476" s="25" t="str">
        <f ca="1">+'Maestro infraestructura'!K475</f>
        <v>Activo</v>
      </c>
      <c r="F476" s="1" t="str">
        <f ca="1">+'Maestro infraestructura'!V475</f>
        <v>AL DÍA</v>
      </c>
      <c r="G476" s="1" t="str">
        <f>+'Maestro infraestructura'!X475</f>
        <v>OPERACIÓN</v>
      </c>
      <c r="H476" s="1">
        <f>+'Maestro infraestructura'!Y475</f>
        <v>2</v>
      </c>
      <c r="I476" s="1"/>
      <c r="J476" s="6">
        <f>+'Maestro infraestructura'!T475</f>
        <v>46563</v>
      </c>
      <c r="K476" s="6">
        <f t="shared" ca="1" si="27"/>
        <v>46563</v>
      </c>
      <c r="L476" s="6"/>
    </row>
    <row r="477" spans="1:12" x14ac:dyDescent="0.2">
      <c r="A477" s="1" t="str">
        <f>+'Maestro infraestructura'!A476</f>
        <v>EDIFICIO PRINCIPAL</v>
      </c>
      <c r="B477" s="1" t="str">
        <f>+'Maestro infraestructura'!B476</f>
        <v>6° Piso</v>
      </c>
      <c r="C477" s="1">
        <f>+'Maestro infraestructura'!C476</f>
        <v>613</v>
      </c>
      <c r="D477" s="1" t="str">
        <f>+'Maestro infraestructura'!F476</f>
        <v>Pizarra</v>
      </c>
      <c r="E477" s="25" t="str">
        <f ca="1">+'Maestro infraestructura'!K476</f>
        <v>Activo</v>
      </c>
      <c r="F477" s="1" t="str">
        <f ca="1">+'Maestro infraestructura'!V476</f>
        <v>AL DÍA</v>
      </c>
      <c r="G477" s="1" t="str">
        <f>+'Maestro infraestructura'!X476</f>
        <v>OPERACIÓN</v>
      </c>
      <c r="H477" s="1">
        <f>+'Maestro infraestructura'!Y476</f>
        <v>2</v>
      </c>
      <c r="I477" s="1"/>
      <c r="J477" s="6">
        <f>+'Maestro infraestructura'!T476</f>
        <v>46563</v>
      </c>
      <c r="K477" s="6">
        <f t="shared" ca="1" si="27"/>
        <v>46563</v>
      </c>
      <c r="L477" s="6"/>
    </row>
    <row r="478" spans="1:12" x14ac:dyDescent="0.2">
      <c r="A478" s="1" t="str">
        <f>+'Maestro infraestructura'!A477</f>
        <v>EDIFICIO PRINCIPAL</v>
      </c>
      <c r="B478" s="1" t="str">
        <f>+'Maestro infraestructura'!B477</f>
        <v>6° Piso</v>
      </c>
      <c r="C478" s="1">
        <f>+'Maestro infraestructura'!C477</f>
        <v>613</v>
      </c>
      <c r="D478" s="1" t="str">
        <f>+'Maestro infraestructura'!F477</f>
        <v>Puertas</v>
      </c>
      <c r="E478" s="25" t="str">
        <f ca="1">+'Maestro infraestructura'!K477</f>
        <v>Activo</v>
      </c>
      <c r="F478" s="1" t="str">
        <f ca="1">+'Maestro infraestructura'!V477</f>
        <v>AL DÍA</v>
      </c>
      <c r="G478" s="1" t="str">
        <f>+'Maestro infraestructura'!X477</f>
        <v>GENERAL</v>
      </c>
      <c r="H478" s="1">
        <f>+'Maestro infraestructura'!Y477</f>
        <v>2</v>
      </c>
      <c r="I478" s="1"/>
      <c r="J478" s="6">
        <f>+'Maestro infraestructura'!T477</f>
        <v>46563</v>
      </c>
      <c r="K478" s="6">
        <f t="shared" ca="1" si="27"/>
        <v>46563</v>
      </c>
      <c r="L478" s="6"/>
    </row>
    <row r="479" spans="1:12" x14ac:dyDescent="0.2">
      <c r="A479" s="1" t="str">
        <f>+'Maestro infraestructura'!A478</f>
        <v>EDIFICIO PRINCIPAL</v>
      </c>
      <c r="B479" s="1" t="str">
        <f>+'Maestro infraestructura'!B478</f>
        <v>6° Piso</v>
      </c>
      <c r="C479" s="1">
        <f>+'Maestro infraestructura'!C478</f>
        <v>614</v>
      </c>
      <c r="D479" s="1" t="str">
        <f>+'Maestro infraestructura'!F478</f>
        <v>Ventanas</v>
      </c>
      <c r="E479" s="25" t="str">
        <f ca="1">+'Maestro infraestructura'!K478</f>
        <v>Activo</v>
      </c>
      <c r="F479" s="1" t="str">
        <f ca="1">+'Maestro infraestructura'!V478</f>
        <v>AL DÍA</v>
      </c>
      <c r="G479" s="1" t="str">
        <f>+'Maestro infraestructura'!X478</f>
        <v>OPERACIÓN</v>
      </c>
      <c r="H479" s="1">
        <f>+'Maestro infraestructura'!Y478</f>
        <v>2</v>
      </c>
      <c r="I479" s="1"/>
      <c r="J479" s="6">
        <f>+'Maestro infraestructura'!T478</f>
        <v>46563</v>
      </c>
      <c r="K479" s="6">
        <f t="shared" ca="1" si="27"/>
        <v>46563</v>
      </c>
      <c r="L479" s="6"/>
    </row>
    <row r="480" spans="1:12" x14ac:dyDescent="0.2">
      <c r="A480" s="1" t="str">
        <f>+'Maestro infraestructura'!A479</f>
        <v>EDIFICIO PRINCIPAL</v>
      </c>
      <c r="B480" s="1" t="str">
        <f>+'Maestro infraestructura'!B479</f>
        <v>6° Piso</v>
      </c>
      <c r="C480" s="1">
        <f>+'Maestro infraestructura'!C479</f>
        <v>614</v>
      </c>
      <c r="D480" s="1" t="str">
        <f>+'Maestro infraestructura'!F479</f>
        <v xml:space="preserve">Baranda </v>
      </c>
      <c r="E480" s="25" t="str">
        <f ca="1">+'Maestro infraestructura'!K479</f>
        <v>Activo</v>
      </c>
      <c r="F480" s="1" t="str">
        <f ca="1">+'Maestro infraestructura'!V479</f>
        <v>AL DÍA</v>
      </c>
      <c r="G480" s="1" t="str">
        <f>+'Maestro infraestructura'!X479</f>
        <v>SEGURIDAD</v>
      </c>
      <c r="H480" s="1">
        <f>+'Maestro infraestructura'!Y479</f>
        <v>1</v>
      </c>
      <c r="I480" s="1"/>
      <c r="J480" s="6">
        <f>+'Maestro infraestructura'!T479</f>
        <v>46563</v>
      </c>
      <c r="K480" s="6">
        <f t="shared" ca="1" si="27"/>
        <v>46563</v>
      </c>
      <c r="L480" s="6"/>
    </row>
    <row r="481" spans="1:12" x14ac:dyDescent="0.2">
      <c r="A481" s="1" t="str">
        <f>+'Maestro infraestructura'!A480</f>
        <v>EDIFICIO PRINCIPAL</v>
      </c>
      <c r="B481" s="1" t="str">
        <f>+'Maestro infraestructura'!B480</f>
        <v>6° Piso</v>
      </c>
      <c r="C481" s="1">
        <f>+'Maestro infraestructura'!C480</f>
        <v>614</v>
      </c>
      <c r="D481" s="1" t="str">
        <f>+'Maestro infraestructura'!F480</f>
        <v>Piso</v>
      </c>
      <c r="E481" s="25" t="str">
        <f ca="1">+'Maestro infraestructura'!K480</f>
        <v>Activo</v>
      </c>
      <c r="F481" s="1" t="str">
        <f ca="1">+'Maestro infraestructura'!V480</f>
        <v>AL DÍA</v>
      </c>
      <c r="G481" s="1" t="str">
        <f>+'Maestro infraestructura'!X480</f>
        <v>GENERAL</v>
      </c>
      <c r="H481" s="1">
        <f>+'Maestro infraestructura'!Y480</f>
        <v>2</v>
      </c>
      <c r="I481" s="1"/>
      <c r="J481" s="6">
        <f>+'Maestro infraestructura'!T480</f>
        <v>46563</v>
      </c>
      <c r="K481" s="6">
        <f t="shared" ca="1" si="27"/>
        <v>46563</v>
      </c>
      <c r="L481" s="6"/>
    </row>
    <row r="482" spans="1:12" x14ac:dyDescent="0.2">
      <c r="A482" s="1" t="str">
        <f>+'Maestro infraestructura'!A481</f>
        <v>EDIFICIO PRINCIPAL</v>
      </c>
      <c r="B482" s="1" t="str">
        <f>+'Maestro infraestructura'!B481</f>
        <v>6° Piso</v>
      </c>
      <c r="C482" s="1">
        <f>+'Maestro infraestructura'!C481</f>
        <v>614</v>
      </c>
      <c r="D482" s="1" t="str">
        <f>+'Maestro infraestructura'!F481</f>
        <v>Enchufes</v>
      </c>
      <c r="E482" s="25" t="str">
        <f ca="1">+'Maestro infraestructura'!K481</f>
        <v>Activo</v>
      </c>
      <c r="F482" s="1" t="str">
        <f ca="1">+'Maestro infraestructura'!V481</f>
        <v>AL DÍA</v>
      </c>
      <c r="G482" s="1" t="str">
        <f>+'Maestro infraestructura'!X481</f>
        <v>GENERAL</v>
      </c>
      <c r="H482" s="1">
        <f>+'Maestro infraestructura'!Y481</f>
        <v>2</v>
      </c>
      <c r="I482" s="1"/>
      <c r="J482" s="6">
        <f>+'Maestro infraestructura'!T481</f>
        <v>46563</v>
      </c>
      <c r="K482" s="6">
        <f t="shared" ca="1" si="27"/>
        <v>46563</v>
      </c>
      <c r="L482" s="6"/>
    </row>
    <row r="483" spans="1:12" x14ac:dyDescent="0.2">
      <c r="A483" s="1" t="str">
        <f>+'Maestro infraestructura'!A482</f>
        <v>EDIFICIO PRINCIPAL</v>
      </c>
      <c r="B483" s="1" t="str">
        <f>+'Maestro infraestructura'!B482</f>
        <v>6° Piso</v>
      </c>
      <c r="C483" s="1">
        <f>+'Maestro infraestructura'!C482</f>
        <v>614</v>
      </c>
      <c r="D483" s="1" t="str">
        <f>+'Maestro infraestructura'!F482</f>
        <v>TV</v>
      </c>
      <c r="E483" s="25" t="str">
        <f ca="1">+'Maestro infraestructura'!K482</f>
        <v>Activo</v>
      </c>
      <c r="F483" s="1" t="str">
        <f ca="1">+'Maestro infraestructura'!V482</f>
        <v>AL DÍA</v>
      </c>
      <c r="G483" s="1" t="str">
        <f>+'Maestro infraestructura'!X482</f>
        <v>OPERACIÓN</v>
      </c>
      <c r="H483" s="1">
        <f>+'Maestro infraestructura'!Y482</f>
        <v>2</v>
      </c>
      <c r="I483" s="1"/>
      <c r="J483" s="6">
        <f>+'Maestro infraestructura'!T482</f>
        <v>46563</v>
      </c>
      <c r="K483" s="6">
        <f t="shared" ca="1" si="27"/>
        <v>46563</v>
      </c>
      <c r="L483" s="6"/>
    </row>
    <row r="484" spans="1:12" x14ac:dyDescent="0.2">
      <c r="A484" s="1" t="str">
        <f>+'Maestro infraestructura'!A483</f>
        <v>EDIFICIO PRINCIPAL</v>
      </c>
      <c r="B484" s="1" t="str">
        <f>+'Maestro infraestructura'!B483</f>
        <v>6° Piso</v>
      </c>
      <c r="C484" s="1">
        <f>+'Maestro infraestructura'!C483</f>
        <v>614</v>
      </c>
      <c r="D484" s="1" t="str">
        <f>+'Maestro infraestructura'!F483</f>
        <v>Pizarra</v>
      </c>
      <c r="E484" s="25" t="str">
        <f ca="1">+'Maestro infraestructura'!K483</f>
        <v>Activo</v>
      </c>
      <c r="F484" s="1" t="str">
        <f ca="1">+'Maestro infraestructura'!V483</f>
        <v>AL DÍA</v>
      </c>
      <c r="G484" s="1" t="str">
        <f>+'Maestro infraestructura'!X483</f>
        <v>OPERACIÓN</v>
      </c>
      <c r="H484" s="1">
        <f>+'Maestro infraestructura'!Y483</f>
        <v>2</v>
      </c>
      <c r="I484" s="1"/>
      <c r="J484" s="6">
        <f>+'Maestro infraestructura'!T483</f>
        <v>46563</v>
      </c>
      <c r="K484" s="6">
        <f t="shared" ca="1" si="27"/>
        <v>46563</v>
      </c>
      <c r="L484" s="6"/>
    </row>
    <row r="485" spans="1:12" x14ac:dyDescent="0.2">
      <c r="A485" s="1" t="str">
        <f>+'Maestro infraestructura'!A484</f>
        <v>EDIFICIO PRINCIPAL</v>
      </c>
      <c r="B485" s="1" t="str">
        <f>+'Maestro infraestructura'!B484</f>
        <v>6° Piso</v>
      </c>
      <c r="C485" s="1">
        <f>+'Maestro infraestructura'!C484</f>
        <v>614</v>
      </c>
      <c r="D485" s="1" t="str">
        <f>+'Maestro infraestructura'!F484</f>
        <v>Puertas</v>
      </c>
      <c r="E485" s="25" t="str">
        <f ca="1">+'Maestro infraestructura'!K484</f>
        <v>Activo</v>
      </c>
      <c r="F485" s="1" t="str">
        <f ca="1">+'Maestro infraestructura'!V484</f>
        <v>AL DÍA</v>
      </c>
      <c r="G485" s="1" t="str">
        <f>+'Maestro infraestructura'!X484</f>
        <v>GENERAL</v>
      </c>
      <c r="H485" s="1">
        <f>+'Maestro infraestructura'!Y484</f>
        <v>2</v>
      </c>
      <c r="I485" s="1"/>
      <c r="J485" s="6">
        <f>+'Maestro infraestructura'!T484</f>
        <v>46563</v>
      </c>
      <c r="K485" s="6">
        <f t="shared" ca="1" si="27"/>
        <v>46563</v>
      </c>
      <c r="L485" s="6"/>
    </row>
    <row r="486" spans="1:12" x14ac:dyDescent="0.2">
      <c r="A486" s="1" t="str">
        <f>+'Maestro infraestructura'!A485</f>
        <v>EDIFICIO PRINCIPAL</v>
      </c>
      <c r="B486" s="1" t="str">
        <f>+'Maestro infraestructura'!B485</f>
        <v>6° Piso</v>
      </c>
      <c r="C486" s="1">
        <f>+'Maestro infraestructura'!C485</f>
        <v>615</v>
      </c>
      <c r="D486" s="1" t="str">
        <f>+'Maestro infraestructura'!F485</f>
        <v>Ventanas</v>
      </c>
      <c r="E486" s="25" t="str">
        <f ca="1">+'Maestro infraestructura'!K485</f>
        <v>Activo</v>
      </c>
      <c r="F486" s="1" t="str">
        <f ca="1">+'Maestro infraestructura'!V485</f>
        <v>AL DÍA</v>
      </c>
      <c r="G486" s="1" t="str">
        <f>+'Maestro infraestructura'!X485</f>
        <v>OPERACIÓN</v>
      </c>
      <c r="H486" s="1">
        <f>+'Maestro infraestructura'!Y485</f>
        <v>2</v>
      </c>
      <c r="I486" s="1"/>
      <c r="J486" s="6">
        <f>+'Maestro infraestructura'!T485</f>
        <v>46563</v>
      </c>
      <c r="K486" s="6">
        <f t="shared" ca="1" si="27"/>
        <v>46563</v>
      </c>
      <c r="L486" s="6"/>
    </row>
    <row r="487" spans="1:12" x14ac:dyDescent="0.2">
      <c r="A487" s="1" t="str">
        <f>+'Maestro infraestructura'!A486</f>
        <v>EDIFICIO PRINCIPAL</v>
      </c>
      <c r="B487" s="1" t="str">
        <f>+'Maestro infraestructura'!B486</f>
        <v>6° Piso</v>
      </c>
      <c r="C487" s="1">
        <f>+'Maestro infraestructura'!C486</f>
        <v>615</v>
      </c>
      <c r="D487" s="1" t="str">
        <f>+'Maestro infraestructura'!F486</f>
        <v xml:space="preserve">Baranda </v>
      </c>
      <c r="E487" s="25" t="str">
        <f ca="1">+'Maestro infraestructura'!K486</f>
        <v>Activo</v>
      </c>
      <c r="F487" s="1" t="str">
        <f ca="1">+'Maestro infraestructura'!V486</f>
        <v>AL DÍA</v>
      </c>
      <c r="G487" s="1" t="str">
        <f>+'Maestro infraestructura'!X486</f>
        <v>SEGURIDAD</v>
      </c>
      <c r="H487" s="1">
        <f>+'Maestro infraestructura'!Y486</f>
        <v>1</v>
      </c>
      <c r="I487" s="1"/>
      <c r="J487" s="6">
        <f>+'Maestro infraestructura'!T486</f>
        <v>46563</v>
      </c>
      <c r="K487" s="6">
        <f t="shared" ca="1" si="27"/>
        <v>46563</v>
      </c>
      <c r="L487" s="6"/>
    </row>
    <row r="488" spans="1:12" x14ac:dyDescent="0.2">
      <c r="A488" s="1" t="str">
        <f>+'Maestro infraestructura'!A487</f>
        <v>EDIFICIO PRINCIPAL</v>
      </c>
      <c r="B488" s="1" t="str">
        <f>+'Maestro infraestructura'!B487</f>
        <v>6° Piso</v>
      </c>
      <c r="C488" s="1">
        <f>+'Maestro infraestructura'!C487</f>
        <v>615</v>
      </c>
      <c r="D488" s="1" t="str">
        <f>+'Maestro infraestructura'!F487</f>
        <v>Piso</v>
      </c>
      <c r="E488" s="25" t="str">
        <f ca="1">+'Maestro infraestructura'!K487</f>
        <v>Activo</v>
      </c>
      <c r="F488" s="1" t="str">
        <f ca="1">+'Maestro infraestructura'!V487</f>
        <v>AL DÍA</v>
      </c>
      <c r="G488" s="1" t="str">
        <f>+'Maestro infraestructura'!X487</f>
        <v>GENERAL</v>
      </c>
      <c r="H488" s="1">
        <f>+'Maestro infraestructura'!Y487</f>
        <v>2</v>
      </c>
      <c r="I488" s="1"/>
      <c r="J488" s="6">
        <f>+'Maestro infraestructura'!T487</f>
        <v>46563</v>
      </c>
      <c r="K488" s="6">
        <f t="shared" ca="1" si="27"/>
        <v>46563</v>
      </c>
      <c r="L488" s="6"/>
    </row>
    <row r="489" spans="1:12" x14ac:dyDescent="0.2">
      <c r="A489" s="1" t="str">
        <f>+'Maestro infraestructura'!A488</f>
        <v>EDIFICIO PRINCIPAL</v>
      </c>
      <c r="B489" s="1" t="str">
        <f>+'Maestro infraestructura'!B488</f>
        <v>6° Piso</v>
      </c>
      <c r="C489" s="1">
        <f>+'Maestro infraestructura'!C488</f>
        <v>615</v>
      </c>
      <c r="D489" s="1" t="str">
        <f>+'Maestro infraestructura'!F488</f>
        <v>Enchufes</v>
      </c>
      <c r="E489" s="25" t="str">
        <f ca="1">+'Maestro infraestructura'!K488</f>
        <v>Activo</v>
      </c>
      <c r="F489" s="1" t="str">
        <f ca="1">+'Maestro infraestructura'!V488</f>
        <v>AL DÍA</v>
      </c>
      <c r="G489" s="1" t="str">
        <f>+'Maestro infraestructura'!X488</f>
        <v>GENERAL</v>
      </c>
      <c r="H489" s="1">
        <f>+'Maestro infraestructura'!Y488</f>
        <v>2</v>
      </c>
      <c r="I489" s="1"/>
      <c r="J489" s="6">
        <f>+'Maestro infraestructura'!T488</f>
        <v>46563</v>
      </c>
      <c r="K489" s="6">
        <f t="shared" ca="1" si="27"/>
        <v>46563</v>
      </c>
      <c r="L489" s="6"/>
    </row>
    <row r="490" spans="1:12" x14ac:dyDescent="0.2">
      <c r="A490" s="1" t="str">
        <f>+'Maestro infraestructura'!A489</f>
        <v>EDIFICIO PRINCIPAL</v>
      </c>
      <c r="B490" s="1" t="str">
        <f>+'Maestro infraestructura'!B489</f>
        <v>6° Piso</v>
      </c>
      <c r="C490" s="1">
        <f>+'Maestro infraestructura'!C489</f>
        <v>615</v>
      </c>
      <c r="D490" s="1" t="str">
        <f>+'Maestro infraestructura'!F489</f>
        <v>TV</v>
      </c>
      <c r="E490" s="25" t="str">
        <f ca="1">+'Maestro infraestructura'!K489</f>
        <v>Activo</v>
      </c>
      <c r="F490" s="1" t="str">
        <f ca="1">+'Maestro infraestructura'!V489</f>
        <v>AL DÍA</v>
      </c>
      <c r="G490" s="1" t="str">
        <f>+'Maestro infraestructura'!X489</f>
        <v>OPERACIÓN</v>
      </c>
      <c r="H490" s="1">
        <f>+'Maestro infraestructura'!Y489</f>
        <v>2</v>
      </c>
      <c r="I490" s="1"/>
      <c r="J490" s="6">
        <f>+'Maestro infraestructura'!T489</f>
        <v>46563</v>
      </c>
      <c r="K490" s="6">
        <f t="shared" ca="1" si="27"/>
        <v>46563</v>
      </c>
      <c r="L490" s="6"/>
    </row>
    <row r="491" spans="1:12" x14ac:dyDescent="0.2">
      <c r="A491" s="1" t="str">
        <f>+'Maestro infraestructura'!A490</f>
        <v>EDIFICIO PRINCIPAL</v>
      </c>
      <c r="B491" s="1" t="str">
        <f>+'Maestro infraestructura'!B490</f>
        <v>6° Piso</v>
      </c>
      <c r="C491" s="1">
        <f>+'Maestro infraestructura'!C490</f>
        <v>615</v>
      </c>
      <c r="D491" s="1" t="str">
        <f>+'Maestro infraestructura'!F490</f>
        <v>Pizarra</v>
      </c>
      <c r="E491" s="25" t="str">
        <f ca="1">+'Maestro infraestructura'!K490</f>
        <v>Activo</v>
      </c>
      <c r="F491" s="1" t="str">
        <f ca="1">+'Maestro infraestructura'!V490</f>
        <v>AL DÍA</v>
      </c>
      <c r="G491" s="1" t="str">
        <f>+'Maestro infraestructura'!X490</f>
        <v>OPERACIÓN</v>
      </c>
      <c r="H491" s="1">
        <f>+'Maestro infraestructura'!Y490</f>
        <v>2</v>
      </c>
      <c r="I491" s="1"/>
      <c r="J491" s="6">
        <f>+'Maestro infraestructura'!T490</f>
        <v>46563</v>
      </c>
      <c r="K491" s="6">
        <f t="shared" ca="1" si="27"/>
        <v>46563</v>
      </c>
      <c r="L491" s="6"/>
    </row>
    <row r="492" spans="1:12" x14ac:dyDescent="0.2">
      <c r="A492" s="1" t="str">
        <f>+'Maestro infraestructura'!A491</f>
        <v>EDIFICIO PRINCIPAL</v>
      </c>
      <c r="B492" s="1" t="str">
        <f>+'Maestro infraestructura'!B491</f>
        <v>6° Piso</v>
      </c>
      <c r="C492" s="1">
        <f>+'Maestro infraestructura'!C491</f>
        <v>615</v>
      </c>
      <c r="D492" s="1" t="str">
        <f>+'Maestro infraestructura'!F491</f>
        <v>Puertas</v>
      </c>
      <c r="E492" s="25" t="str">
        <f ca="1">+'Maestro infraestructura'!K491</f>
        <v>Activo</v>
      </c>
      <c r="F492" s="1" t="str">
        <f ca="1">+'Maestro infraestructura'!V491</f>
        <v>AL DÍA</v>
      </c>
      <c r="G492" s="1" t="str">
        <f>+'Maestro infraestructura'!X491</f>
        <v>GENERAL</v>
      </c>
      <c r="H492" s="1">
        <f>+'Maestro infraestructura'!Y491</f>
        <v>2</v>
      </c>
      <c r="I492" s="1"/>
      <c r="J492" s="6">
        <f>+'Maestro infraestructura'!T491</f>
        <v>46563</v>
      </c>
      <c r="K492" s="6">
        <f t="shared" ca="1" si="27"/>
        <v>46563</v>
      </c>
      <c r="L492" s="6"/>
    </row>
    <row r="493" spans="1:12" x14ac:dyDescent="0.2">
      <c r="A493" s="1" t="str">
        <f>+'Maestro infraestructura'!A492</f>
        <v>EDIFICIO PRINCIPAL</v>
      </c>
      <c r="B493" s="1" t="str">
        <f>+'Maestro infraestructura'!B492</f>
        <v>6° Piso</v>
      </c>
      <c r="C493" s="1">
        <f>+'Maestro infraestructura'!C492</f>
        <v>618</v>
      </c>
      <c r="D493" s="1" t="str">
        <f>+'Maestro infraestructura'!F492</f>
        <v>Ventanas</v>
      </c>
      <c r="E493" s="25" t="str">
        <f ca="1">+'Maestro infraestructura'!K492</f>
        <v>Activo</v>
      </c>
      <c r="F493" s="1" t="str">
        <f ca="1">+'Maestro infraestructura'!V492</f>
        <v>AL DÍA</v>
      </c>
      <c r="G493" s="1" t="str">
        <f>+'Maestro infraestructura'!X492</f>
        <v>OPERACIÓN</v>
      </c>
      <c r="H493" s="1">
        <f>+'Maestro infraestructura'!Y492</f>
        <v>2</v>
      </c>
      <c r="I493" s="1"/>
      <c r="J493" s="6">
        <f>+'Maestro infraestructura'!T492</f>
        <v>46563</v>
      </c>
      <c r="K493" s="6">
        <f t="shared" ca="1" si="27"/>
        <v>46563</v>
      </c>
      <c r="L493" s="6"/>
    </row>
    <row r="494" spans="1:12" x14ac:dyDescent="0.2">
      <c r="A494" s="1" t="str">
        <f>+'Maestro infraestructura'!A493</f>
        <v>EDIFICIO PRINCIPAL</v>
      </c>
      <c r="B494" s="1" t="str">
        <f>+'Maestro infraestructura'!B493</f>
        <v>6° Piso</v>
      </c>
      <c r="C494" s="1">
        <f>+'Maestro infraestructura'!C493</f>
        <v>618</v>
      </c>
      <c r="D494" s="1" t="str">
        <f>+'Maestro infraestructura'!F493</f>
        <v xml:space="preserve">Baranda </v>
      </c>
      <c r="E494" s="25" t="str">
        <f ca="1">+'Maestro infraestructura'!K493</f>
        <v>Activo</v>
      </c>
      <c r="F494" s="1" t="str">
        <f ca="1">+'Maestro infraestructura'!V493</f>
        <v>AL DÍA</v>
      </c>
      <c r="G494" s="1" t="str">
        <f>+'Maestro infraestructura'!X493</f>
        <v>SEGURIDAD</v>
      </c>
      <c r="H494" s="1">
        <f>+'Maestro infraestructura'!Y493</f>
        <v>1</v>
      </c>
      <c r="I494" s="1"/>
      <c r="J494" s="6">
        <f>+'Maestro infraestructura'!T493</f>
        <v>46563</v>
      </c>
      <c r="K494" s="6">
        <f t="shared" ca="1" si="27"/>
        <v>46563</v>
      </c>
      <c r="L494" s="6"/>
    </row>
    <row r="495" spans="1:12" x14ac:dyDescent="0.2">
      <c r="A495" s="1" t="str">
        <f>+'Maestro infraestructura'!A494</f>
        <v>EDIFICIO PRINCIPAL</v>
      </c>
      <c r="B495" s="1" t="str">
        <f>+'Maestro infraestructura'!B494</f>
        <v>6° Piso</v>
      </c>
      <c r="C495" s="1">
        <f>+'Maestro infraestructura'!C494</f>
        <v>618</v>
      </c>
      <c r="D495" s="1" t="str">
        <f>+'Maestro infraestructura'!F494</f>
        <v>Piso</v>
      </c>
      <c r="E495" s="25" t="str">
        <f ca="1">+'Maestro infraestructura'!K494</f>
        <v>Activo</v>
      </c>
      <c r="F495" s="1" t="str">
        <f ca="1">+'Maestro infraestructura'!V494</f>
        <v>AL DÍA</v>
      </c>
      <c r="G495" s="1" t="str">
        <f>+'Maestro infraestructura'!X494</f>
        <v>GENERAL</v>
      </c>
      <c r="H495" s="1">
        <f>+'Maestro infraestructura'!Y494</f>
        <v>2</v>
      </c>
      <c r="I495" s="1"/>
      <c r="J495" s="6">
        <f>+'Maestro infraestructura'!T494</f>
        <v>46563</v>
      </c>
      <c r="K495" s="6">
        <f t="shared" ca="1" si="27"/>
        <v>46563</v>
      </c>
      <c r="L495" s="6"/>
    </row>
    <row r="496" spans="1:12" x14ac:dyDescent="0.2">
      <c r="A496" s="1" t="str">
        <f>+'Maestro infraestructura'!A495</f>
        <v>EDIFICIO PRINCIPAL</v>
      </c>
      <c r="B496" s="1" t="str">
        <f>+'Maestro infraestructura'!B495</f>
        <v>6° Piso</v>
      </c>
      <c r="C496" s="1">
        <f>+'Maestro infraestructura'!C495</f>
        <v>618</v>
      </c>
      <c r="D496" s="1" t="str">
        <f>+'Maestro infraestructura'!F495</f>
        <v>Enchufes</v>
      </c>
      <c r="E496" s="25" t="str">
        <f ca="1">+'Maestro infraestructura'!K495</f>
        <v>Activo</v>
      </c>
      <c r="F496" s="1" t="str">
        <f ca="1">+'Maestro infraestructura'!V495</f>
        <v>AL DÍA</v>
      </c>
      <c r="G496" s="1" t="str">
        <f>+'Maestro infraestructura'!X495</f>
        <v>GENERAL</v>
      </c>
      <c r="H496" s="1">
        <f>+'Maestro infraestructura'!Y495</f>
        <v>2</v>
      </c>
      <c r="I496" s="1"/>
      <c r="J496" s="6">
        <f>+'Maestro infraestructura'!T495</f>
        <v>46563</v>
      </c>
      <c r="K496" s="6">
        <f t="shared" ca="1" si="27"/>
        <v>46563</v>
      </c>
      <c r="L496" s="6"/>
    </row>
    <row r="497" spans="1:12" x14ac:dyDescent="0.2">
      <c r="A497" s="1" t="str">
        <f>+'Maestro infraestructura'!A496</f>
        <v>EDIFICIO PRINCIPAL</v>
      </c>
      <c r="B497" s="1" t="str">
        <f>+'Maestro infraestructura'!B496</f>
        <v>6° Piso</v>
      </c>
      <c r="C497" s="1">
        <f>+'Maestro infraestructura'!C496</f>
        <v>618</v>
      </c>
      <c r="D497" s="1" t="str">
        <f>+'Maestro infraestructura'!F496</f>
        <v>TV</v>
      </c>
      <c r="E497" s="25" t="str">
        <f ca="1">+'Maestro infraestructura'!K496</f>
        <v>Activo</v>
      </c>
      <c r="F497" s="1" t="str">
        <f ca="1">+'Maestro infraestructura'!V496</f>
        <v>AL DÍA</v>
      </c>
      <c r="G497" s="1" t="str">
        <f>+'Maestro infraestructura'!X496</f>
        <v>OPERACIÓN</v>
      </c>
      <c r="H497" s="1">
        <f>+'Maestro infraestructura'!Y496</f>
        <v>2</v>
      </c>
      <c r="I497" s="1"/>
      <c r="J497" s="6">
        <f>+'Maestro infraestructura'!T496</f>
        <v>46563</v>
      </c>
      <c r="K497" s="6">
        <f t="shared" ca="1" si="27"/>
        <v>46563</v>
      </c>
      <c r="L497" s="6"/>
    </row>
    <row r="498" spans="1:12" x14ac:dyDescent="0.2">
      <c r="A498" s="1" t="str">
        <f>+'Maestro infraestructura'!A497</f>
        <v>EDIFICIO PRINCIPAL</v>
      </c>
      <c r="B498" s="1" t="str">
        <f>+'Maestro infraestructura'!B497</f>
        <v>6° Piso</v>
      </c>
      <c r="C498" s="1">
        <f>+'Maestro infraestructura'!C497</f>
        <v>618</v>
      </c>
      <c r="D498" s="1" t="str">
        <f>+'Maestro infraestructura'!F497</f>
        <v>Pizarra</v>
      </c>
      <c r="E498" s="25" t="str">
        <f ca="1">+'Maestro infraestructura'!K497</f>
        <v>Activo</v>
      </c>
      <c r="F498" s="1" t="str">
        <f ca="1">+'Maestro infraestructura'!V497</f>
        <v>AL DÍA</v>
      </c>
      <c r="G498" s="1" t="str">
        <f>+'Maestro infraestructura'!X497</f>
        <v>OPERACIÓN</v>
      </c>
      <c r="H498" s="1">
        <f>+'Maestro infraestructura'!Y497</f>
        <v>2</v>
      </c>
      <c r="I498" s="1"/>
      <c r="J498" s="6">
        <f>+'Maestro infraestructura'!T497</f>
        <v>46563</v>
      </c>
      <c r="K498" s="6">
        <f t="shared" ca="1" si="27"/>
        <v>46563</v>
      </c>
      <c r="L498" s="6"/>
    </row>
    <row r="499" spans="1:12" x14ac:dyDescent="0.2">
      <c r="A499" s="1" t="str">
        <f>+'Maestro infraestructura'!A498</f>
        <v>EDIFICIO PRINCIPAL</v>
      </c>
      <c r="B499" s="1" t="str">
        <f>+'Maestro infraestructura'!B498</f>
        <v>6° Piso</v>
      </c>
      <c r="C499" s="1">
        <f>+'Maestro infraestructura'!C498</f>
        <v>618</v>
      </c>
      <c r="D499" s="1" t="str">
        <f>+'Maestro infraestructura'!F498</f>
        <v>Puertas</v>
      </c>
      <c r="E499" s="25" t="str">
        <f ca="1">+'Maestro infraestructura'!K498</f>
        <v>Activo</v>
      </c>
      <c r="F499" s="1" t="str">
        <f ca="1">+'Maestro infraestructura'!V498</f>
        <v>AL DÍA</v>
      </c>
      <c r="G499" s="1" t="str">
        <f>+'Maestro infraestructura'!X498</f>
        <v>GENERAL</v>
      </c>
      <c r="H499" s="1">
        <f>+'Maestro infraestructura'!Y498</f>
        <v>2</v>
      </c>
      <c r="I499" s="1"/>
      <c r="J499" s="6">
        <f>+'Maestro infraestructura'!T498</f>
        <v>46563</v>
      </c>
      <c r="K499" s="6">
        <f t="shared" ca="1" si="27"/>
        <v>46563</v>
      </c>
      <c r="L499" s="6"/>
    </row>
    <row r="500" spans="1:12" x14ac:dyDescent="0.2">
      <c r="A500" s="1" t="str">
        <f>+'Maestro infraestructura'!A499</f>
        <v>EDIFICIO PRINCIPAL</v>
      </c>
      <c r="B500" s="1" t="str">
        <f>+'Maestro infraestructura'!B499</f>
        <v>6° Piso</v>
      </c>
      <c r="C500" s="1">
        <f>+'Maestro infraestructura'!C499</f>
        <v>623</v>
      </c>
      <c r="D500" s="1" t="str">
        <f>+'Maestro infraestructura'!F499</f>
        <v>Ventanas</v>
      </c>
      <c r="E500" s="25" t="str">
        <f ca="1">+'Maestro infraestructura'!K499</f>
        <v>Activo</v>
      </c>
      <c r="F500" s="1" t="str">
        <f ca="1">+'Maestro infraestructura'!V499</f>
        <v>AL DÍA</v>
      </c>
      <c r="G500" s="1" t="str">
        <f>+'Maestro infraestructura'!X499</f>
        <v>OPERACIÓN</v>
      </c>
      <c r="H500" s="1">
        <f>+'Maestro infraestructura'!Y499</f>
        <v>2</v>
      </c>
      <c r="I500" s="1"/>
      <c r="J500" s="6">
        <f>+'Maestro infraestructura'!T499</f>
        <v>46563</v>
      </c>
      <c r="K500" s="6">
        <f t="shared" ca="1" si="27"/>
        <v>46563</v>
      </c>
      <c r="L500" s="6"/>
    </row>
    <row r="501" spans="1:12" x14ac:dyDescent="0.2">
      <c r="A501" s="1" t="str">
        <f>+'Maestro infraestructura'!A500</f>
        <v>EDIFICIO PRINCIPAL</v>
      </c>
      <c r="B501" s="1" t="str">
        <f>+'Maestro infraestructura'!B500</f>
        <v>6° Piso</v>
      </c>
      <c r="C501" s="1">
        <f>+'Maestro infraestructura'!C500</f>
        <v>623</v>
      </c>
      <c r="D501" s="1" t="str">
        <f>+'Maestro infraestructura'!F500</f>
        <v xml:space="preserve">Baranda </v>
      </c>
      <c r="E501" s="25" t="str">
        <f ca="1">+'Maestro infraestructura'!K500</f>
        <v>Activo</v>
      </c>
      <c r="F501" s="1" t="str">
        <f ca="1">+'Maestro infraestructura'!V500</f>
        <v>AL DÍA</v>
      </c>
      <c r="G501" s="1" t="str">
        <f>+'Maestro infraestructura'!X500</f>
        <v>SEGURIDAD</v>
      </c>
      <c r="H501" s="1">
        <f>+'Maestro infraestructura'!Y500</f>
        <v>1</v>
      </c>
      <c r="I501" s="1"/>
      <c r="J501" s="6">
        <f>+'Maestro infraestructura'!T500</f>
        <v>46563</v>
      </c>
      <c r="K501" s="6">
        <f t="shared" ca="1" si="27"/>
        <v>46563</v>
      </c>
      <c r="L501" s="6"/>
    </row>
    <row r="502" spans="1:12" x14ac:dyDescent="0.2">
      <c r="A502" s="1" t="str">
        <f>+'Maestro infraestructura'!A501</f>
        <v>EDIFICIO PRINCIPAL</v>
      </c>
      <c r="B502" s="1" t="str">
        <f>+'Maestro infraestructura'!B501</f>
        <v>6° Piso</v>
      </c>
      <c r="C502" s="1">
        <f>+'Maestro infraestructura'!C501</f>
        <v>623</v>
      </c>
      <c r="D502" s="1" t="str">
        <f>+'Maestro infraestructura'!F501</f>
        <v>Piso</v>
      </c>
      <c r="E502" s="25" t="str">
        <f ca="1">+'Maestro infraestructura'!K501</f>
        <v>Activo</v>
      </c>
      <c r="F502" s="1" t="str">
        <f ca="1">+'Maestro infraestructura'!V501</f>
        <v>AL DÍA</v>
      </c>
      <c r="G502" s="1" t="str">
        <f>+'Maestro infraestructura'!X501</f>
        <v>GENERAL</v>
      </c>
      <c r="H502" s="1">
        <f>+'Maestro infraestructura'!Y501</f>
        <v>2</v>
      </c>
      <c r="I502" s="1"/>
      <c r="J502" s="6">
        <f>+'Maestro infraestructura'!T501</f>
        <v>46563</v>
      </c>
      <c r="K502" s="6">
        <f t="shared" ca="1" si="27"/>
        <v>46563</v>
      </c>
      <c r="L502" s="6"/>
    </row>
    <row r="503" spans="1:12" x14ac:dyDescent="0.2">
      <c r="A503" s="1" t="str">
        <f>+'Maestro infraestructura'!A502</f>
        <v>EDIFICIO PRINCIPAL</v>
      </c>
      <c r="B503" s="1" t="str">
        <f>+'Maestro infraestructura'!B502</f>
        <v>6° Piso</v>
      </c>
      <c r="C503" s="1">
        <f>+'Maestro infraestructura'!C502</f>
        <v>623</v>
      </c>
      <c r="D503" s="1" t="str">
        <f>+'Maestro infraestructura'!F502</f>
        <v>Enchufes</v>
      </c>
      <c r="E503" s="25" t="str">
        <f ca="1">+'Maestro infraestructura'!K502</f>
        <v>Activo</v>
      </c>
      <c r="F503" s="1" t="str">
        <f ca="1">+'Maestro infraestructura'!V502</f>
        <v>AL DÍA</v>
      </c>
      <c r="G503" s="1" t="str">
        <f>+'Maestro infraestructura'!X502</f>
        <v>GENERAL</v>
      </c>
      <c r="H503" s="1">
        <f>+'Maestro infraestructura'!Y502</f>
        <v>2</v>
      </c>
      <c r="I503" s="1"/>
      <c r="J503" s="6">
        <f>+'Maestro infraestructura'!T502</f>
        <v>46563</v>
      </c>
      <c r="K503" s="6">
        <f t="shared" ca="1" si="27"/>
        <v>46563</v>
      </c>
      <c r="L503" s="6"/>
    </row>
    <row r="504" spans="1:12" x14ac:dyDescent="0.2">
      <c r="A504" s="1" t="str">
        <f>+'Maestro infraestructura'!A503</f>
        <v>EDIFICIO PRINCIPAL</v>
      </c>
      <c r="B504" s="1" t="str">
        <f>+'Maestro infraestructura'!B503</f>
        <v>6° Piso</v>
      </c>
      <c r="C504" s="1">
        <f>+'Maestro infraestructura'!C503</f>
        <v>623</v>
      </c>
      <c r="D504" s="1" t="str">
        <f>+'Maestro infraestructura'!F503</f>
        <v>TV</v>
      </c>
      <c r="E504" s="25" t="str">
        <f ca="1">+'Maestro infraestructura'!K503</f>
        <v>Activo</v>
      </c>
      <c r="F504" s="1" t="str">
        <f ca="1">+'Maestro infraestructura'!V503</f>
        <v>AL DÍA</v>
      </c>
      <c r="G504" s="1" t="str">
        <f>+'Maestro infraestructura'!X503</f>
        <v>OPERACIÓN</v>
      </c>
      <c r="H504" s="1">
        <f>+'Maestro infraestructura'!Y503</f>
        <v>2</v>
      </c>
      <c r="I504" s="1"/>
      <c r="J504" s="6">
        <f>+'Maestro infraestructura'!T503</f>
        <v>46563</v>
      </c>
      <c r="K504" s="6">
        <f t="shared" ca="1" si="27"/>
        <v>46563</v>
      </c>
      <c r="L504" s="6"/>
    </row>
    <row r="505" spans="1:12" x14ac:dyDescent="0.2">
      <c r="A505" s="1" t="str">
        <f>+'Maestro infraestructura'!A504</f>
        <v>EDIFICIO PRINCIPAL</v>
      </c>
      <c r="B505" s="1" t="str">
        <f>+'Maestro infraestructura'!B504</f>
        <v>6° Piso</v>
      </c>
      <c r="C505" s="1">
        <f>+'Maestro infraestructura'!C504</f>
        <v>623</v>
      </c>
      <c r="D505" s="1" t="str">
        <f>+'Maestro infraestructura'!F504</f>
        <v>Pizarra</v>
      </c>
      <c r="E505" s="25" t="str">
        <f ca="1">+'Maestro infraestructura'!K504</f>
        <v>Activo</v>
      </c>
      <c r="F505" s="1" t="str">
        <f ca="1">+'Maestro infraestructura'!V504</f>
        <v>AL DÍA</v>
      </c>
      <c r="G505" s="1" t="str">
        <f>+'Maestro infraestructura'!X504</f>
        <v>OPERACIÓN</v>
      </c>
      <c r="H505" s="1">
        <f>+'Maestro infraestructura'!Y504</f>
        <v>2</v>
      </c>
      <c r="I505" s="1"/>
      <c r="J505" s="6">
        <f>+'Maestro infraestructura'!T504</f>
        <v>46563</v>
      </c>
      <c r="K505" s="6">
        <f t="shared" ca="1" si="27"/>
        <v>46563</v>
      </c>
      <c r="L505" s="6"/>
    </row>
    <row r="506" spans="1:12" x14ac:dyDescent="0.2">
      <c r="A506" s="1" t="str">
        <f>+'Maestro infraestructura'!A505</f>
        <v>EDIFICIO PRINCIPAL</v>
      </c>
      <c r="B506" s="1" t="str">
        <f>+'Maestro infraestructura'!B505</f>
        <v>6° Piso</v>
      </c>
      <c r="C506" s="1">
        <f>+'Maestro infraestructura'!C505</f>
        <v>623</v>
      </c>
      <c r="D506" s="1" t="str">
        <f>+'Maestro infraestructura'!F505</f>
        <v>Puertas</v>
      </c>
      <c r="E506" s="25" t="str">
        <f ca="1">+'Maestro infraestructura'!K505</f>
        <v>Activo</v>
      </c>
      <c r="F506" s="1" t="str">
        <f ca="1">+'Maestro infraestructura'!V505</f>
        <v>AL DÍA</v>
      </c>
      <c r="G506" s="1" t="str">
        <f>+'Maestro infraestructura'!X505</f>
        <v>GENERAL</v>
      </c>
      <c r="H506" s="1">
        <f>+'Maestro infraestructura'!Y505</f>
        <v>2</v>
      </c>
      <c r="I506" s="1"/>
      <c r="J506" s="6">
        <f>+'Maestro infraestructura'!T505</f>
        <v>46563</v>
      </c>
      <c r="K506" s="6">
        <f t="shared" ca="1" si="27"/>
        <v>46563</v>
      </c>
      <c r="L506" s="6"/>
    </row>
    <row r="507" spans="1:12" x14ac:dyDescent="0.2">
      <c r="A507" s="1" t="str">
        <f>+'Maestro infraestructura'!A506</f>
        <v>EDIFICIO PRINCIPAL</v>
      </c>
      <c r="B507" s="1" t="str">
        <f>+'Maestro infraestructura'!B506</f>
        <v>6° Piso</v>
      </c>
      <c r="C507" s="1">
        <f>+'Maestro infraestructura'!C506</f>
        <v>624</v>
      </c>
      <c r="D507" s="1" t="str">
        <f>+'Maestro infraestructura'!F506</f>
        <v>Ventanas</v>
      </c>
      <c r="E507" s="25" t="str">
        <f ca="1">+'Maestro infraestructura'!K506</f>
        <v>Activo</v>
      </c>
      <c r="F507" s="1" t="str">
        <f ca="1">+'Maestro infraestructura'!V506</f>
        <v>AL DÍA</v>
      </c>
      <c r="G507" s="1" t="str">
        <f>+'Maestro infraestructura'!X506</f>
        <v>OPERACIÓN</v>
      </c>
      <c r="H507" s="1">
        <f>+'Maestro infraestructura'!Y506</f>
        <v>2</v>
      </c>
      <c r="I507" s="1"/>
      <c r="J507" s="6">
        <f>+'Maestro infraestructura'!T506</f>
        <v>46563</v>
      </c>
      <c r="K507" s="6">
        <f t="shared" ca="1" si="27"/>
        <v>46563</v>
      </c>
      <c r="L507" s="6"/>
    </row>
    <row r="508" spans="1:12" x14ac:dyDescent="0.2">
      <c r="A508" s="1" t="str">
        <f>+'Maestro infraestructura'!A507</f>
        <v>EDIFICIO PRINCIPAL</v>
      </c>
      <c r="B508" s="1" t="str">
        <f>+'Maestro infraestructura'!B507</f>
        <v>6° Piso</v>
      </c>
      <c r="C508" s="1">
        <f>+'Maestro infraestructura'!C507</f>
        <v>624</v>
      </c>
      <c r="D508" s="1" t="str">
        <f>+'Maestro infraestructura'!F507</f>
        <v xml:space="preserve">Baranda </v>
      </c>
      <c r="E508" s="25" t="str">
        <f ca="1">+'Maestro infraestructura'!K507</f>
        <v>Activo</v>
      </c>
      <c r="F508" s="1" t="str">
        <f ca="1">+'Maestro infraestructura'!V507</f>
        <v>AL DÍA</v>
      </c>
      <c r="G508" s="1" t="str">
        <f>+'Maestro infraestructura'!X507</f>
        <v>SEGURIDAD</v>
      </c>
      <c r="H508" s="1">
        <f>+'Maestro infraestructura'!Y507</f>
        <v>1</v>
      </c>
      <c r="I508" s="1"/>
      <c r="J508" s="6">
        <f>+'Maestro infraestructura'!T507</f>
        <v>46563</v>
      </c>
      <c r="K508" s="6">
        <f t="shared" ca="1" si="27"/>
        <v>46563</v>
      </c>
      <c r="L508" s="6"/>
    </row>
    <row r="509" spans="1:12" x14ac:dyDescent="0.2">
      <c r="A509" s="1" t="str">
        <f>+'Maestro infraestructura'!A508</f>
        <v>EDIFICIO PRINCIPAL</v>
      </c>
      <c r="B509" s="1" t="str">
        <f>+'Maestro infraestructura'!B508</f>
        <v>6° Piso</v>
      </c>
      <c r="C509" s="1">
        <f>+'Maestro infraestructura'!C508</f>
        <v>624</v>
      </c>
      <c r="D509" s="1" t="str">
        <f>+'Maestro infraestructura'!F508</f>
        <v>Piso</v>
      </c>
      <c r="E509" s="25" t="str">
        <f ca="1">+'Maestro infraestructura'!K508</f>
        <v>Activo</v>
      </c>
      <c r="F509" s="1" t="str">
        <f ca="1">+'Maestro infraestructura'!V508</f>
        <v>AL DÍA</v>
      </c>
      <c r="G509" s="1" t="str">
        <f>+'Maestro infraestructura'!X508</f>
        <v>GENERAL</v>
      </c>
      <c r="H509" s="1">
        <f>+'Maestro infraestructura'!Y508</f>
        <v>2</v>
      </c>
      <c r="I509" s="1"/>
      <c r="J509" s="6">
        <f>+'Maestro infraestructura'!T508</f>
        <v>46563</v>
      </c>
      <c r="K509" s="6">
        <f t="shared" ca="1" si="27"/>
        <v>46563</v>
      </c>
      <c r="L509" s="6"/>
    </row>
    <row r="510" spans="1:12" x14ac:dyDescent="0.2">
      <c r="A510" s="1" t="str">
        <f>+'Maestro infraestructura'!A509</f>
        <v>EDIFICIO PRINCIPAL</v>
      </c>
      <c r="B510" s="1" t="str">
        <f>+'Maestro infraestructura'!B509</f>
        <v>6° Piso</v>
      </c>
      <c r="C510" s="1">
        <f>+'Maestro infraestructura'!C509</f>
        <v>624</v>
      </c>
      <c r="D510" s="1" t="str">
        <f>+'Maestro infraestructura'!F509</f>
        <v>Enchufes</v>
      </c>
      <c r="E510" s="25" t="str">
        <f ca="1">+'Maestro infraestructura'!K509</f>
        <v>Activo</v>
      </c>
      <c r="F510" s="1" t="str">
        <f ca="1">+'Maestro infraestructura'!V509</f>
        <v>AL DÍA</v>
      </c>
      <c r="G510" s="1" t="str">
        <f>+'Maestro infraestructura'!X509</f>
        <v>GENERAL</v>
      </c>
      <c r="H510" s="1">
        <f>+'Maestro infraestructura'!Y509</f>
        <v>2</v>
      </c>
      <c r="I510" s="1"/>
      <c r="J510" s="6">
        <f>+'Maestro infraestructura'!T509</f>
        <v>46563</v>
      </c>
      <c r="K510" s="6">
        <f t="shared" ca="1" si="27"/>
        <v>46563</v>
      </c>
      <c r="L510" s="6"/>
    </row>
    <row r="511" spans="1:12" x14ac:dyDescent="0.2">
      <c r="A511" s="1" t="str">
        <f>+'Maestro infraestructura'!A510</f>
        <v>EDIFICIO PRINCIPAL</v>
      </c>
      <c r="B511" s="1" t="str">
        <f>+'Maestro infraestructura'!B510</f>
        <v>6° Piso</v>
      </c>
      <c r="C511" s="1">
        <f>+'Maestro infraestructura'!C510</f>
        <v>624</v>
      </c>
      <c r="D511" s="1" t="str">
        <f>+'Maestro infraestructura'!F510</f>
        <v>TV</v>
      </c>
      <c r="E511" s="25" t="str">
        <f ca="1">+'Maestro infraestructura'!K510</f>
        <v>Activo</v>
      </c>
      <c r="F511" s="1" t="str">
        <f ca="1">+'Maestro infraestructura'!V510</f>
        <v>AL DÍA</v>
      </c>
      <c r="G511" s="1" t="str">
        <f>+'Maestro infraestructura'!X510</f>
        <v>OPERACIÓN</v>
      </c>
      <c r="H511" s="1">
        <f>+'Maestro infraestructura'!Y510</f>
        <v>2</v>
      </c>
      <c r="I511" s="1"/>
      <c r="J511" s="6">
        <f>+'Maestro infraestructura'!T510</f>
        <v>46563</v>
      </c>
      <c r="K511" s="6">
        <f t="shared" ca="1" si="27"/>
        <v>46563</v>
      </c>
      <c r="L511" s="6"/>
    </row>
    <row r="512" spans="1:12" x14ac:dyDescent="0.2">
      <c r="A512" s="1" t="str">
        <f>+'Maestro infraestructura'!A511</f>
        <v>EDIFICIO PRINCIPAL</v>
      </c>
      <c r="B512" s="1" t="str">
        <f>+'Maestro infraestructura'!B511</f>
        <v>6° Piso</v>
      </c>
      <c r="C512" s="1">
        <f>+'Maestro infraestructura'!C511</f>
        <v>624</v>
      </c>
      <c r="D512" s="1" t="str">
        <f>+'Maestro infraestructura'!F511</f>
        <v>Pizarra</v>
      </c>
      <c r="E512" s="25" t="str">
        <f ca="1">+'Maestro infraestructura'!K511</f>
        <v>Activo</v>
      </c>
      <c r="F512" s="1" t="str">
        <f ca="1">+'Maestro infraestructura'!V511</f>
        <v>AL DÍA</v>
      </c>
      <c r="G512" s="1" t="str">
        <f>+'Maestro infraestructura'!X511</f>
        <v>OPERACIÓN</v>
      </c>
      <c r="H512" s="1">
        <f>+'Maestro infraestructura'!Y511</f>
        <v>2</v>
      </c>
      <c r="I512" s="1"/>
      <c r="J512" s="6">
        <f>+'Maestro infraestructura'!T511</f>
        <v>46563</v>
      </c>
      <c r="K512" s="6">
        <f t="shared" ca="1" si="27"/>
        <v>46563</v>
      </c>
      <c r="L512" s="6"/>
    </row>
    <row r="513" spans="1:12" x14ac:dyDescent="0.2">
      <c r="A513" s="1" t="str">
        <f>+'Maestro infraestructura'!A512</f>
        <v>EDIFICIO PRINCIPAL</v>
      </c>
      <c r="B513" s="1" t="str">
        <f>+'Maestro infraestructura'!B512</f>
        <v>6° Piso</v>
      </c>
      <c r="C513" s="1">
        <f>+'Maestro infraestructura'!C512</f>
        <v>624</v>
      </c>
      <c r="D513" s="1" t="str">
        <f>+'Maestro infraestructura'!F512</f>
        <v>Puertas</v>
      </c>
      <c r="E513" s="25" t="str">
        <f ca="1">+'Maestro infraestructura'!K512</f>
        <v>Activo</v>
      </c>
      <c r="F513" s="1" t="str">
        <f ca="1">+'Maestro infraestructura'!V512</f>
        <v>AL DÍA</v>
      </c>
      <c r="G513" s="1" t="str">
        <f>+'Maestro infraestructura'!X512</f>
        <v>GENERAL</v>
      </c>
      <c r="H513" s="1">
        <f>+'Maestro infraestructura'!Y512</f>
        <v>2</v>
      </c>
      <c r="I513" s="1"/>
      <c r="J513" s="6">
        <f>+'Maestro infraestructura'!T512</f>
        <v>46563</v>
      </c>
      <c r="K513" s="6">
        <f t="shared" ca="1" si="27"/>
        <v>46563</v>
      </c>
      <c r="L513" s="6"/>
    </row>
    <row r="514" spans="1:12" x14ac:dyDescent="0.2">
      <c r="A514" s="1" t="str">
        <f>+'Maestro infraestructura'!A513</f>
        <v>EDIFICIO PRINCIPAL</v>
      </c>
      <c r="B514" s="1" t="str">
        <f>+'Maestro infraestructura'!B513</f>
        <v>6° Piso</v>
      </c>
      <c r="C514" s="1">
        <f>+'Maestro infraestructura'!C513</f>
        <v>625</v>
      </c>
      <c r="D514" s="1" t="str">
        <f>+'Maestro infraestructura'!F513</f>
        <v>Ventanas</v>
      </c>
      <c r="E514" s="25" t="str">
        <f ca="1">+'Maestro infraestructura'!K513</f>
        <v>Activo</v>
      </c>
      <c r="F514" s="1" t="str">
        <f ca="1">+'Maestro infraestructura'!V513</f>
        <v>AL DÍA</v>
      </c>
      <c r="G514" s="1" t="str">
        <f>+'Maestro infraestructura'!X513</f>
        <v>OPERACIÓN</v>
      </c>
      <c r="H514" s="1">
        <f>+'Maestro infraestructura'!Y513</f>
        <v>2</v>
      </c>
      <c r="I514" s="1"/>
      <c r="J514" s="6">
        <f>+'Maestro infraestructura'!T513</f>
        <v>46563</v>
      </c>
      <c r="K514" s="6">
        <f t="shared" ca="1" si="27"/>
        <v>46563</v>
      </c>
      <c r="L514" s="6"/>
    </row>
    <row r="515" spans="1:12" x14ac:dyDescent="0.2">
      <c r="A515" s="1" t="str">
        <f>+'Maestro infraestructura'!A514</f>
        <v>EDIFICIO PRINCIPAL</v>
      </c>
      <c r="B515" s="1" t="str">
        <f>+'Maestro infraestructura'!B514</f>
        <v>6° Piso</v>
      </c>
      <c r="C515" s="1">
        <f>+'Maestro infraestructura'!C514</f>
        <v>625</v>
      </c>
      <c r="D515" s="1" t="str">
        <f>+'Maestro infraestructura'!F514</f>
        <v xml:space="preserve">Baranda </v>
      </c>
      <c r="E515" s="25" t="str">
        <f ca="1">+'Maestro infraestructura'!K514</f>
        <v>Activo</v>
      </c>
      <c r="F515" s="1" t="str">
        <f ca="1">+'Maestro infraestructura'!V514</f>
        <v>AL DÍA</v>
      </c>
      <c r="G515" s="1" t="str">
        <f>+'Maestro infraestructura'!X514</f>
        <v>SEGURIDAD</v>
      </c>
      <c r="H515" s="1">
        <f>+'Maestro infraestructura'!Y514</f>
        <v>1</v>
      </c>
      <c r="I515" s="1"/>
      <c r="J515" s="6">
        <f>+'Maestro infraestructura'!T514</f>
        <v>46563</v>
      </c>
      <c r="K515" s="6">
        <f t="shared" ca="1" si="27"/>
        <v>46563</v>
      </c>
      <c r="L515" s="6"/>
    </row>
    <row r="516" spans="1:12" x14ac:dyDescent="0.2">
      <c r="A516" s="1" t="str">
        <f>+'Maestro infraestructura'!A515</f>
        <v>EDIFICIO PRINCIPAL</v>
      </c>
      <c r="B516" s="1" t="str">
        <f>+'Maestro infraestructura'!B515</f>
        <v>6° Piso</v>
      </c>
      <c r="C516" s="1">
        <f>+'Maestro infraestructura'!C515</f>
        <v>625</v>
      </c>
      <c r="D516" s="1" t="str">
        <f>+'Maestro infraestructura'!F515</f>
        <v>Piso</v>
      </c>
      <c r="E516" s="25" t="str">
        <f ca="1">+'Maestro infraestructura'!K515</f>
        <v>Activo</v>
      </c>
      <c r="F516" s="1" t="str">
        <f ca="1">+'Maestro infraestructura'!V515</f>
        <v>AL DÍA</v>
      </c>
      <c r="G516" s="1" t="str">
        <f>+'Maestro infraestructura'!X515</f>
        <v>GENERAL</v>
      </c>
      <c r="H516" s="1">
        <f>+'Maestro infraestructura'!Y515</f>
        <v>2</v>
      </c>
      <c r="I516" s="1"/>
      <c r="J516" s="6">
        <f>+'Maestro infraestructura'!T515</f>
        <v>46563</v>
      </c>
      <c r="K516" s="6">
        <f t="shared" ref="K516:K579" ca="1" si="28">IF(E516="Cambiar o Inspección externa",1/1/2027,IF(E516="cambiar",1/1/2027,J516))</f>
        <v>46563</v>
      </c>
      <c r="L516" s="6"/>
    </row>
    <row r="517" spans="1:12" x14ac:dyDescent="0.2">
      <c r="A517" s="1" t="str">
        <f>+'Maestro infraestructura'!A516</f>
        <v>EDIFICIO PRINCIPAL</v>
      </c>
      <c r="B517" s="1" t="str">
        <f>+'Maestro infraestructura'!B516</f>
        <v>6° Piso</v>
      </c>
      <c r="C517" s="1">
        <f>+'Maestro infraestructura'!C516</f>
        <v>625</v>
      </c>
      <c r="D517" s="1" t="str">
        <f>+'Maestro infraestructura'!F516</f>
        <v>Enchufes</v>
      </c>
      <c r="E517" s="25" t="str">
        <f ca="1">+'Maestro infraestructura'!K516</f>
        <v>Activo</v>
      </c>
      <c r="F517" s="1" t="str">
        <f ca="1">+'Maestro infraestructura'!V516</f>
        <v>AL DÍA</v>
      </c>
      <c r="G517" s="1" t="str">
        <f>+'Maestro infraestructura'!X516</f>
        <v>GENERAL</v>
      </c>
      <c r="H517" s="1">
        <f>+'Maestro infraestructura'!Y516</f>
        <v>2</v>
      </c>
      <c r="I517" s="1"/>
      <c r="J517" s="6">
        <f>+'Maestro infraestructura'!T516</f>
        <v>46563</v>
      </c>
      <c r="K517" s="6">
        <f t="shared" ca="1" si="28"/>
        <v>46563</v>
      </c>
      <c r="L517" s="6"/>
    </row>
    <row r="518" spans="1:12" x14ac:dyDescent="0.2">
      <c r="A518" s="1" t="str">
        <f>+'Maestro infraestructura'!A517</f>
        <v>EDIFICIO PRINCIPAL</v>
      </c>
      <c r="B518" s="1" t="str">
        <f>+'Maestro infraestructura'!B517</f>
        <v>6° Piso</v>
      </c>
      <c r="C518" s="1">
        <f>+'Maestro infraestructura'!C517</f>
        <v>625</v>
      </c>
      <c r="D518" s="1" t="str">
        <f>+'Maestro infraestructura'!F517</f>
        <v>TV</v>
      </c>
      <c r="E518" s="25" t="str">
        <f ca="1">+'Maestro infraestructura'!K517</f>
        <v>Activo</v>
      </c>
      <c r="F518" s="1" t="str">
        <f ca="1">+'Maestro infraestructura'!V517</f>
        <v>AL DÍA</v>
      </c>
      <c r="G518" s="1" t="str">
        <f>+'Maestro infraestructura'!X517</f>
        <v>OPERACIÓN</v>
      </c>
      <c r="H518" s="1">
        <f>+'Maestro infraestructura'!Y517</f>
        <v>2</v>
      </c>
      <c r="I518" s="1"/>
      <c r="J518" s="6">
        <f>+'Maestro infraestructura'!T517</f>
        <v>46563</v>
      </c>
      <c r="K518" s="6">
        <f t="shared" ca="1" si="28"/>
        <v>46563</v>
      </c>
      <c r="L518" s="6"/>
    </row>
    <row r="519" spans="1:12" x14ac:dyDescent="0.2">
      <c r="A519" s="1" t="str">
        <f>+'Maestro infraestructura'!A518</f>
        <v>EDIFICIO PRINCIPAL</v>
      </c>
      <c r="B519" s="1" t="str">
        <f>+'Maestro infraestructura'!B518</f>
        <v>6° Piso</v>
      </c>
      <c r="C519" s="1">
        <f>+'Maestro infraestructura'!C518</f>
        <v>625</v>
      </c>
      <c r="D519" s="1" t="str">
        <f>+'Maestro infraestructura'!F518</f>
        <v>Pizarra</v>
      </c>
      <c r="E519" s="25" t="str">
        <f ca="1">+'Maestro infraestructura'!K518</f>
        <v>Activo</v>
      </c>
      <c r="F519" s="1" t="str">
        <f ca="1">+'Maestro infraestructura'!V518</f>
        <v>AL DÍA</v>
      </c>
      <c r="G519" s="1" t="str">
        <f>+'Maestro infraestructura'!X518</f>
        <v>OPERACIÓN</v>
      </c>
      <c r="H519" s="1">
        <f>+'Maestro infraestructura'!Y518</f>
        <v>2</v>
      </c>
      <c r="I519" s="1"/>
      <c r="J519" s="6">
        <f>+'Maestro infraestructura'!T518</f>
        <v>46563</v>
      </c>
      <c r="K519" s="6">
        <f t="shared" ca="1" si="28"/>
        <v>46563</v>
      </c>
      <c r="L519" s="6"/>
    </row>
    <row r="520" spans="1:12" x14ac:dyDescent="0.2">
      <c r="A520" s="1" t="str">
        <f>+'Maestro infraestructura'!A519</f>
        <v>EDIFICIO PRINCIPAL</v>
      </c>
      <c r="B520" s="1" t="str">
        <f>+'Maestro infraestructura'!B519</f>
        <v>6° Piso</v>
      </c>
      <c r="C520" s="1">
        <f>+'Maestro infraestructura'!C519</f>
        <v>625</v>
      </c>
      <c r="D520" s="1" t="str">
        <f>+'Maestro infraestructura'!F519</f>
        <v>Puertas</v>
      </c>
      <c r="E520" s="25" t="str">
        <f ca="1">+'Maestro infraestructura'!K519</f>
        <v>Activo</v>
      </c>
      <c r="F520" s="1" t="str">
        <f ca="1">+'Maestro infraestructura'!V519</f>
        <v>AL DÍA</v>
      </c>
      <c r="G520" s="1" t="str">
        <f>+'Maestro infraestructura'!X519</f>
        <v>GENERAL</v>
      </c>
      <c r="H520" s="1">
        <f>+'Maestro infraestructura'!Y519</f>
        <v>2</v>
      </c>
      <c r="I520" s="1"/>
      <c r="J520" s="6">
        <f>+'Maestro infraestructura'!T519</f>
        <v>46563</v>
      </c>
      <c r="K520" s="6">
        <f t="shared" ca="1" si="28"/>
        <v>46563</v>
      </c>
      <c r="L520" s="6"/>
    </row>
    <row r="521" spans="1:12" x14ac:dyDescent="0.2">
      <c r="A521" s="1" t="str">
        <f>+'Maestro infraestructura'!A520</f>
        <v>EDIFICIO PRINCIPAL</v>
      </c>
      <c r="B521" s="1" t="str">
        <f>+'Maestro infraestructura'!B520</f>
        <v>6° Piso</v>
      </c>
      <c r="C521" s="1">
        <f>+'Maestro infraestructura'!C520</f>
        <v>626</v>
      </c>
      <c r="D521" s="1" t="str">
        <f>+'Maestro infraestructura'!F520</f>
        <v>Ventanas</v>
      </c>
      <c r="E521" s="25" t="str">
        <f ca="1">+'Maestro infraestructura'!K520</f>
        <v>Activo</v>
      </c>
      <c r="F521" s="1" t="str">
        <f ca="1">+'Maestro infraestructura'!V520</f>
        <v>AL DÍA</v>
      </c>
      <c r="G521" s="1" t="str">
        <f>+'Maestro infraestructura'!X520</f>
        <v>OPERACIÓN</v>
      </c>
      <c r="H521" s="1">
        <f>+'Maestro infraestructura'!Y520</f>
        <v>2</v>
      </c>
      <c r="I521" s="1"/>
      <c r="J521" s="6">
        <f>+'Maestro infraestructura'!T520</f>
        <v>46563</v>
      </c>
      <c r="K521" s="6">
        <f t="shared" ca="1" si="28"/>
        <v>46563</v>
      </c>
      <c r="L521" s="6"/>
    </row>
    <row r="522" spans="1:12" x14ac:dyDescent="0.2">
      <c r="A522" s="1" t="str">
        <f>+'Maestro infraestructura'!A521</f>
        <v>EDIFICIO PRINCIPAL</v>
      </c>
      <c r="B522" s="1" t="str">
        <f>+'Maestro infraestructura'!B521</f>
        <v>6° Piso</v>
      </c>
      <c r="C522" s="1">
        <f>+'Maestro infraestructura'!C521</f>
        <v>626</v>
      </c>
      <c r="D522" s="1" t="str">
        <f>+'Maestro infraestructura'!F521</f>
        <v xml:space="preserve">Baranda </v>
      </c>
      <c r="E522" s="25" t="str">
        <f ca="1">+'Maestro infraestructura'!K521</f>
        <v>Activo</v>
      </c>
      <c r="F522" s="1" t="str">
        <f ca="1">+'Maestro infraestructura'!V521</f>
        <v>AL DÍA</v>
      </c>
      <c r="G522" s="1" t="str">
        <f>+'Maestro infraestructura'!X521</f>
        <v>SEGURIDAD</v>
      </c>
      <c r="H522" s="1">
        <f>+'Maestro infraestructura'!Y521</f>
        <v>1</v>
      </c>
      <c r="I522" s="1"/>
      <c r="J522" s="6">
        <f>+'Maestro infraestructura'!T521</f>
        <v>46563</v>
      </c>
      <c r="K522" s="6">
        <f t="shared" ca="1" si="28"/>
        <v>46563</v>
      </c>
      <c r="L522" s="6"/>
    </row>
    <row r="523" spans="1:12" x14ac:dyDescent="0.2">
      <c r="A523" s="1" t="str">
        <f>+'Maestro infraestructura'!A522</f>
        <v>EDIFICIO PRINCIPAL</v>
      </c>
      <c r="B523" s="1" t="str">
        <f>+'Maestro infraestructura'!B522</f>
        <v>6° Piso</v>
      </c>
      <c r="C523" s="1">
        <f>+'Maestro infraestructura'!C522</f>
        <v>626</v>
      </c>
      <c r="D523" s="1" t="str">
        <f>+'Maestro infraestructura'!F522</f>
        <v>Piso</v>
      </c>
      <c r="E523" s="25" t="str">
        <f ca="1">+'Maestro infraestructura'!K522</f>
        <v>Activo</v>
      </c>
      <c r="F523" s="1" t="str">
        <f ca="1">+'Maestro infraestructura'!V522</f>
        <v>AL DÍA</v>
      </c>
      <c r="G523" s="1" t="str">
        <f>+'Maestro infraestructura'!X522</f>
        <v>GENERAL</v>
      </c>
      <c r="H523" s="1">
        <f>+'Maestro infraestructura'!Y522</f>
        <v>2</v>
      </c>
      <c r="I523" s="1"/>
      <c r="J523" s="6">
        <f>+'Maestro infraestructura'!T522</f>
        <v>46563</v>
      </c>
      <c r="K523" s="6">
        <f t="shared" ca="1" si="28"/>
        <v>46563</v>
      </c>
      <c r="L523" s="6"/>
    </row>
    <row r="524" spans="1:12" x14ac:dyDescent="0.2">
      <c r="A524" s="1" t="str">
        <f>+'Maestro infraestructura'!A523</f>
        <v>EDIFICIO PRINCIPAL</v>
      </c>
      <c r="B524" s="1" t="str">
        <f>+'Maestro infraestructura'!B523</f>
        <v>6° Piso</v>
      </c>
      <c r="C524" s="1">
        <f>+'Maestro infraestructura'!C523</f>
        <v>626</v>
      </c>
      <c r="D524" s="1" t="str">
        <f>+'Maestro infraestructura'!F523</f>
        <v>Enchufes</v>
      </c>
      <c r="E524" s="25" t="str">
        <f ca="1">+'Maestro infraestructura'!K523</f>
        <v>Activo</v>
      </c>
      <c r="F524" s="1" t="str">
        <f ca="1">+'Maestro infraestructura'!V523</f>
        <v>AL DÍA</v>
      </c>
      <c r="G524" s="1" t="str">
        <f>+'Maestro infraestructura'!X523</f>
        <v>GENERAL</v>
      </c>
      <c r="H524" s="1">
        <f>+'Maestro infraestructura'!Y523</f>
        <v>2</v>
      </c>
      <c r="I524" s="1"/>
      <c r="J524" s="6">
        <f>+'Maestro infraestructura'!T523</f>
        <v>46563</v>
      </c>
      <c r="K524" s="6">
        <f t="shared" ca="1" si="28"/>
        <v>46563</v>
      </c>
      <c r="L524" s="6"/>
    </row>
    <row r="525" spans="1:12" x14ac:dyDescent="0.2">
      <c r="A525" s="1" t="str">
        <f>+'Maestro infraestructura'!A524</f>
        <v>EDIFICIO PRINCIPAL</v>
      </c>
      <c r="B525" s="1" t="str">
        <f>+'Maestro infraestructura'!B524</f>
        <v>6° Piso</v>
      </c>
      <c r="C525" s="1">
        <f>+'Maestro infraestructura'!C524</f>
        <v>626</v>
      </c>
      <c r="D525" s="1" t="str">
        <f>+'Maestro infraestructura'!F524</f>
        <v>TV</v>
      </c>
      <c r="E525" s="25" t="str">
        <f ca="1">+'Maestro infraestructura'!K524</f>
        <v>Activo</v>
      </c>
      <c r="F525" s="1" t="str">
        <f ca="1">+'Maestro infraestructura'!V524</f>
        <v>AL DÍA</v>
      </c>
      <c r="G525" s="1" t="str">
        <f>+'Maestro infraestructura'!X524</f>
        <v>OPERACIÓN</v>
      </c>
      <c r="H525" s="1">
        <f>+'Maestro infraestructura'!Y524</f>
        <v>2</v>
      </c>
      <c r="I525" s="1"/>
      <c r="J525" s="6">
        <f>+'Maestro infraestructura'!T524</f>
        <v>46563</v>
      </c>
      <c r="K525" s="6">
        <f t="shared" ca="1" si="28"/>
        <v>46563</v>
      </c>
      <c r="L525" s="6"/>
    </row>
    <row r="526" spans="1:12" x14ac:dyDescent="0.2">
      <c r="A526" s="1" t="str">
        <f>+'Maestro infraestructura'!A525</f>
        <v>EDIFICIO PRINCIPAL</v>
      </c>
      <c r="B526" s="1" t="str">
        <f>+'Maestro infraestructura'!B525</f>
        <v>6° Piso</v>
      </c>
      <c r="C526" s="1">
        <f>+'Maestro infraestructura'!C525</f>
        <v>626</v>
      </c>
      <c r="D526" s="1" t="str">
        <f>+'Maestro infraestructura'!F525</f>
        <v>Puertas</v>
      </c>
      <c r="E526" s="25" t="str">
        <f ca="1">+'Maestro infraestructura'!K525</f>
        <v>Activo</v>
      </c>
      <c r="F526" s="1" t="str">
        <f ca="1">+'Maestro infraestructura'!V525</f>
        <v>AL DÍA</v>
      </c>
      <c r="G526" s="1" t="str">
        <f>+'Maestro infraestructura'!X525</f>
        <v>GENERAL</v>
      </c>
      <c r="H526" s="1">
        <f>+'Maestro infraestructura'!Y525</f>
        <v>2</v>
      </c>
      <c r="I526" s="1"/>
      <c r="J526" s="6">
        <f>+'Maestro infraestructura'!T525</f>
        <v>46563</v>
      </c>
      <c r="K526" s="6">
        <f t="shared" ca="1" si="28"/>
        <v>46563</v>
      </c>
      <c r="L526" s="6"/>
    </row>
    <row r="527" spans="1:12" x14ac:dyDescent="0.2">
      <c r="A527" s="1" t="str">
        <f>+'Maestro infraestructura'!A526</f>
        <v>EDIFICIO PRINCIPAL</v>
      </c>
      <c r="B527" s="1" t="str">
        <f>+'Maestro infraestructura'!B526</f>
        <v>6° Piso</v>
      </c>
      <c r="C527" s="1" t="str">
        <f>+'Maestro infraestructura'!C526</f>
        <v>D.Media</v>
      </c>
      <c r="D527" s="1" t="str">
        <f>+'Maestro infraestructura'!F526</f>
        <v>Puertas</v>
      </c>
      <c r="E527" s="25" t="str">
        <f ca="1">+'Maestro infraestructura'!K526</f>
        <v>Activo</v>
      </c>
      <c r="F527" s="1" t="str">
        <f ca="1">+'Maestro infraestructura'!V526</f>
        <v>AL DÍA</v>
      </c>
      <c r="G527" s="1" t="str">
        <f>+'Maestro infraestructura'!X526</f>
        <v>GENERAL</v>
      </c>
      <c r="H527" s="1">
        <f>+'Maestro infraestructura'!Y526</f>
        <v>2</v>
      </c>
      <c r="I527" s="1"/>
      <c r="J527" s="6">
        <f>+'Maestro infraestructura'!T526</f>
        <v>46563</v>
      </c>
      <c r="K527" s="6">
        <f t="shared" ca="1" si="28"/>
        <v>46563</v>
      </c>
      <c r="L527" s="6"/>
    </row>
    <row r="528" spans="1:12" x14ac:dyDescent="0.2">
      <c r="A528" s="1" t="str">
        <f>+'Maestro infraestructura'!A527</f>
        <v>EDIFICIO PRINCIPAL</v>
      </c>
      <c r="B528" s="1" t="str">
        <f>+'Maestro infraestructura'!B527</f>
        <v>6° Piso</v>
      </c>
      <c r="C528" s="1" t="str">
        <f>+'Maestro infraestructura'!C527</f>
        <v>D.Media</v>
      </c>
      <c r="D528" s="1" t="str">
        <f>+'Maestro infraestructura'!F527</f>
        <v>Ventanas</v>
      </c>
      <c r="E528" s="25" t="str">
        <f ca="1">+'Maestro infraestructura'!K527</f>
        <v>Activo</v>
      </c>
      <c r="F528" s="1" t="str">
        <f ca="1">+'Maestro infraestructura'!V527</f>
        <v>AL DÍA</v>
      </c>
      <c r="G528" s="1" t="str">
        <f>+'Maestro infraestructura'!X527</f>
        <v>OPERACIÓN</v>
      </c>
      <c r="H528" s="1">
        <f>+'Maestro infraestructura'!Y527</f>
        <v>2</v>
      </c>
      <c r="I528" s="1"/>
      <c r="J528" s="6">
        <f>+'Maestro infraestructura'!T527</f>
        <v>46563</v>
      </c>
      <c r="K528" s="6">
        <f t="shared" ca="1" si="28"/>
        <v>46563</v>
      </c>
      <c r="L528" s="6"/>
    </row>
    <row r="529" spans="1:12" x14ac:dyDescent="0.2">
      <c r="A529" s="1" t="str">
        <f>+'Maestro infraestructura'!A528</f>
        <v>EDIFICIO PRINCIPAL</v>
      </c>
      <c r="B529" s="1" t="str">
        <f>+'Maestro infraestructura'!B528</f>
        <v>6° Piso</v>
      </c>
      <c r="C529" s="1" t="str">
        <f>+'Maestro infraestructura'!C528</f>
        <v>D.Media</v>
      </c>
      <c r="D529" s="1" t="str">
        <f>+'Maestro infraestructura'!F528</f>
        <v xml:space="preserve">Baranda </v>
      </c>
      <c r="E529" s="25" t="str">
        <f ca="1">+'Maestro infraestructura'!K528</f>
        <v>Activo</v>
      </c>
      <c r="F529" s="1" t="str">
        <f ca="1">+'Maestro infraestructura'!V528</f>
        <v>AL DÍA</v>
      </c>
      <c r="G529" s="1" t="str">
        <f>+'Maestro infraestructura'!X528</f>
        <v>SEGURIDAD</v>
      </c>
      <c r="H529" s="1">
        <f>+'Maestro infraestructura'!Y528</f>
        <v>1</v>
      </c>
      <c r="I529" s="1"/>
      <c r="J529" s="6">
        <f>+'Maestro infraestructura'!T528</f>
        <v>46563</v>
      </c>
      <c r="K529" s="6">
        <f t="shared" ca="1" si="28"/>
        <v>46563</v>
      </c>
      <c r="L529" s="6"/>
    </row>
    <row r="530" spans="1:12" x14ac:dyDescent="0.2">
      <c r="A530" s="1" t="str">
        <f>+'Maestro infraestructura'!A529</f>
        <v>EDIFICIO PRINCIPAL</v>
      </c>
      <c r="B530" s="1" t="str">
        <f>+'Maestro infraestructura'!B529</f>
        <v>6° Piso</v>
      </c>
      <c r="C530" s="1" t="str">
        <f>+'Maestro infraestructura'!C529</f>
        <v>D.Media</v>
      </c>
      <c r="D530" s="1" t="str">
        <f>+'Maestro infraestructura'!F529</f>
        <v>Piso</v>
      </c>
      <c r="E530" s="25" t="str">
        <f ca="1">+'Maestro infraestructura'!K529</f>
        <v>Activo</v>
      </c>
      <c r="F530" s="1" t="str">
        <f ca="1">+'Maestro infraestructura'!V529</f>
        <v>AL DÍA</v>
      </c>
      <c r="G530" s="1" t="str">
        <f>+'Maestro infraestructura'!X529</f>
        <v>GENERAL</v>
      </c>
      <c r="H530" s="1">
        <f>+'Maestro infraestructura'!Y529</f>
        <v>2</v>
      </c>
      <c r="I530" s="1"/>
      <c r="J530" s="6">
        <f>+'Maestro infraestructura'!T529</f>
        <v>46563</v>
      </c>
      <c r="K530" s="6">
        <f t="shared" ca="1" si="28"/>
        <v>46563</v>
      </c>
      <c r="L530" s="6"/>
    </row>
    <row r="531" spans="1:12" x14ac:dyDescent="0.2">
      <c r="A531" s="1" t="str">
        <f>+'Maestro infraestructura'!A530</f>
        <v>EDIFICIO PRINCIPAL</v>
      </c>
      <c r="B531" s="1" t="str">
        <f>+'Maestro infraestructura'!B530</f>
        <v>6° Piso</v>
      </c>
      <c r="C531" s="1" t="str">
        <f>+'Maestro infraestructura'!C530</f>
        <v>D.Media</v>
      </c>
      <c r="D531" s="1" t="str">
        <f>+'Maestro infraestructura'!F530</f>
        <v>Enchufes</v>
      </c>
      <c r="E531" s="25" t="str">
        <f ca="1">+'Maestro infraestructura'!K530</f>
        <v>Activo</v>
      </c>
      <c r="F531" s="1" t="str">
        <f ca="1">+'Maestro infraestructura'!V530</f>
        <v>AL DÍA</v>
      </c>
      <c r="G531" s="1" t="str">
        <f>+'Maestro infraestructura'!X530</f>
        <v>GENERAL</v>
      </c>
      <c r="H531" s="1">
        <f>+'Maestro infraestructura'!Y530</f>
        <v>2</v>
      </c>
      <c r="I531" s="1"/>
      <c r="J531" s="6">
        <f>+'Maestro infraestructura'!T530</f>
        <v>46563</v>
      </c>
      <c r="K531" s="6">
        <f t="shared" ca="1" si="28"/>
        <v>46563</v>
      </c>
      <c r="L531" s="6"/>
    </row>
    <row r="532" spans="1:12" x14ac:dyDescent="0.2">
      <c r="A532" s="1" t="str">
        <f>+'Maestro infraestructura'!A531</f>
        <v>EDIFICIO PRINCIPAL</v>
      </c>
      <c r="B532" s="1" t="str">
        <f>+'Maestro infraestructura'!B531</f>
        <v>6° Piso</v>
      </c>
      <c r="C532" s="1" t="str">
        <f>+'Maestro infraestructura'!C531</f>
        <v>S.Media</v>
      </c>
      <c r="D532" s="1" t="str">
        <f>+'Maestro infraestructura'!F531</f>
        <v>Puertas</v>
      </c>
      <c r="E532" s="25" t="str">
        <f ca="1">+'Maestro infraestructura'!K531</f>
        <v>Activo</v>
      </c>
      <c r="F532" s="1" t="str">
        <f ca="1">+'Maestro infraestructura'!V531</f>
        <v>AL DÍA</v>
      </c>
      <c r="G532" s="1" t="str">
        <f>+'Maestro infraestructura'!X531</f>
        <v>GENERAL</v>
      </c>
      <c r="H532" s="1">
        <f>+'Maestro infraestructura'!Y531</f>
        <v>2</v>
      </c>
      <c r="I532" s="1"/>
      <c r="J532" s="6">
        <f>+'Maestro infraestructura'!T531</f>
        <v>46563</v>
      </c>
      <c r="K532" s="6">
        <f t="shared" ca="1" si="28"/>
        <v>46563</v>
      </c>
      <c r="L532" s="6"/>
    </row>
    <row r="533" spans="1:12" x14ac:dyDescent="0.2">
      <c r="A533" s="1" t="str">
        <f>+'Maestro infraestructura'!A532</f>
        <v>EDIFICIO PRINCIPAL</v>
      </c>
      <c r="B533" s="1" t="str">
        <f>+'Maestro infraestructura'!B532</f>
        <v>6° Piso</v>
      </c>
      <c r="C533" s="1" t="str">
        <f>+'Maestro infraestructura'!C532</f>
        <v>S.Media</v>
      </c>
      <c r="D533" s="1" t="str">
        <f>+'Maestro infraestructura'!F532</f>
        <v>Ventanas</v>
      </c>
      <c r="E533" s="25" t="str">
        <f ca="1">+'Maestro infraestructura'!K532</f>
        <v>Activo</v>
      </c>
      <c r="F533" s="1" t="str">
        <f ca="1">+'Maestro infraestructura'!V532</f>
        <v>AL DÍA</v>
      </c>
      <c r="G533" s="1" t="str">
        <f>+'Maestro infraestructura'!X532</f>
        <v>OPERACIÓN</v>
      </c>
      <c r="H533" s="1">
        <f>+'Maestro infraestructura'!Y532</f>
        <v>2</v>
      </c>
      <c r="I533" s="1"/>
      <c r="J533" s="6">
        <f>+'Maestro infraestructura'!T532</f>
        <v>46563</v>
      </c>
      <c r="K533" s="6">
        <f t="shared" ca="1" si="28"/>
        <v>46563</v>
      </c>
      <c r="L533" s="6"/>
    </row>
    <row r="534" spans="1:12" x14ac:dyDescent="0.2">
      <c r="A534" s="1" t="str">
        <f>+'Maestro infraestructura'!A533</f>
        <v>EDIFICIO PRINCIPAL</v>
      </c>
      <c r="B534" s="1" t="str">
        <f>+'Maestro infraestructura'!B533</f>
        <v>6° Piso</v>
      </c>
      <c r="C534" s="1" t="str">
        <f>+'Maestro infraestructura'!C533</f>
        <v>S.Media</v>
      </c>
      <c r="D534" s="1" t="str">
        <f>+'Maestro infraestructura'!F533</f>
        <v xml:space="preserve">Baranda </v>
      </c>
      <c r="E534" s="25" t="str">
        <f ca="1">+'Maestro infraestructura'!K533</f>
        <v>Activo</v>
      </c>
      <c r="F534" s="1" t="str">
        <f ca="1">+'Maestro infraestructura'!V533</f>
        <v>AL DÍA</v>
      </c>
      <c r="G534" s="1" t="str">
        <f>+'Maestro infraestructura'!X533</f>
        <v>SEGURIDAD</v>
      </c>
      <c r="H534" s="1">
        <f>+'Maestro infraestructura'!Y533</f>
        <v>1</v>
      </c>
      <c r="I534" s="1"/>
      <c r="J534" s="6">
        <f>+'Maestro infraestructura'!T533</f>
        <v>46563</v>
      </c>
      <c r="K534" s="6">
        <f t="shared" ca="1" si="28"/>
        <v>46563</v>
      </c>
      <c r="L534" s="6"/>
    </row>
    <row r="535" spans="1:12" x14ac:dyDescent="0.2">
      <c r="A535" s="1" t="str">
        <f>+'Maestro infraestructura'!A534</f>
        <v>EDIFICIO PRINCIPAL</v>
      </c>
      <c r="B535" s="1" t="str">
        <f>+'Maestro infraestructura'!B534</f>
        <v>6° Piso</v>
      </c>
      <c r="C535" s="1" t="str">
        <f>+'Maestro infraestructura'!C534</f>
        <v>S.Media</v>
      </c>
      <c r="D535" s="1" t="str">
        <f>+'Maestro infraestructura'!F534</f>
        <v>Piso</v>
      </c>
      <c r="E535" s="25" t="str">
        <f ca="1">+'Maestro infraestructura'!K534</f>
        <v>Activo</v>
      </c>
      <c r="F535" s="1" t="str">
        <f ca="1">+'Maestro infraestructura'!V534</f>
        <v>AL DÍA</v>
      </c>
      <c r="G535" s="1" t="str">
        <f>+'Maestro infraestructura'!X534</f>
        <v>GENERAL</v>
      </c>
      <c r="H535" s="1">
        <f>+'Maestro infraestructura'!Y534</f>
        <v>2</v>
      </c>
      <c r="I535" s="1"/>
      <c r="J535" s="6">
        <f>+'Maestro infraestructura'!T534</f>
        <v>46563</v>
      </c>
      <c r="K535" s="6">
        <f t="shared" ca="1" si="28"/>
        <v>46563</v>
      </c>
      <c r="L535" s="6"/>
    </row>
    <row r="536" spans="1:12" x14ac:dyDescent="0.2">
      <c r="A536" s="1" t="str">
        <f>+'Maestro infraestructura'!A535</f>
        <v>EDIFICIO PRINCIPAL</v>
      </c>
      <c r="B536" s="1" t="str">
        <f>+'Maestro infraestructura'!B535</f>
        <v>6° Piso</v>
      </c>
      <c r="C536" s="1" t="str">
        <f>+'Maestro infraestructura'!C535</f>
        <v>S.Media</v>
      </c>
      <c r="D536" s="1" t="str">
        <f>+'Maestro infraestructura'!F535</f>
        <v>Enchufes</v>
      </c>
      <c r="E536" s="25" t="str">
        <f ca="1">+'Maestro infraestructura'!K535</f>
        <v>Activo</v>
      </c>
      <c r="F536" s="1" t="str">
        <f ca="1">+'Maestro infraestructura'!V535</f>
        <v>AL DÍA</v>
      </c>
      <c r="G536" s="1" t="str">
        <f>+'Maestro infraestructura'!X535</f>
        <v>GENERAL</v>
      </c>
      <c r="H536" s="1">
        <f>+'Maestro infraestructura'!Y535</f>
        <v>2</v>
      </c>
      <c r="I536" s="1"/>
      <c r="J536" s="6">
        <f>+'Maestro infraestructura'!T535</f>
        <v>46563</v>
      </c>
      <c r="K536" s="6">
        <f t="shared" ca="1" si="28"/>
        <v>46563</v>
      </c>
      <c r="L536" s="6"/>
    </row>
    <row r="537" spans="1:12" x14ac:dyDescent="0.2">
      <c r="A537" s="1" t="str">
        <f>+'Maestro infraestructura'!A536</f>
        <v>EDIFICIO PRINCIPAL</v>
      </c>
      <c r="B537" s="1" t="str">
        <f>+'Maestro infraestructura'!B536</f>
        <v>6° Piso</v>
      </c>
      <c r="C537" s="1" t="str">
        <f>+'Maestro infraestructura'!C536</f>
        <v>Edificio Principal</v>
      </c>
      <c r="D537" s="1" t="str">
        <f>+'Maestro infraestructura'!F536</f>
        <v>Techumbre Ed. Principal</v>
      </c>
      <c r="E537" s="25" t="str">
        <f ca="1">+'Maestro infraestructura'!K536</f>
        <v>Cambiar o Inspección externa</v>
      </c>
      <c r="F537" s="1" t="str">
        <f ca="1">+'Maestro infraestructura'!V536</f>
        <v>AL DÍA</v>
      </c>
      <c r="G537" s="1" t="str">
        <f>+'Maestro infraestructura'!X536</f>
        <v>SEGURIDAD</v>
      </c>
      <c r="H537" s="1">
        <f>+'Maestro infraestructura'!Y536</f>
        <v>1</v>
      </c>
      <c r="I537" s="1"/>
      <c r="J537" s="6">
        <f>+'Maestro infraestructura'!T536</f>
        <v>47475.5</v>
      </c>
      <c r="K537" s="6">
        <f t="shared" ca="1" si="28"/>
        <v>4.9333991119881603E-4</v>
      </c>
      <c r="L537" s="6"/>
    </row>
    <row r="538" spans="1:12" x14ac:dyDescent="0.2">
      <c r="A538" s="1" t="str">
        <f>+'Maestro infraestructura'!A537</f>
        <v>EDIFICIO PRINCIPAL</v>
      </c>
      <c r="B538" s="1" t="str">
        <f>+'Maestro infraestructura'!B537</f>
        <v>6° Piso</v>
      </c>
      <c r="C538" s="1" t="str">
        <f>+'Maestro infraestructura'!C537</f>
        <v>Edificio Principal</v>
      </c>
      <c r="D538" s="1" t="str">
        <f>+'Maestro infraestructura'!F537</f>
        <v>Bajada Aguas Lluvia</v>
      </c>
      <c r="E538" s="25" t="str">
        <f ca="1">+'Maestro infraestructura'!K537</f>
        <v>Activo</v>
      </c>
      <c r="F538" s="1" t="str">
        <f ca="1">+'Maestro infraestructura'!V537</f>
        <v>AL DÍA</v>
      </c>
      <c r="G538" s="1" t="str">
        <f>+'Maestro infraestructura'!X537</f>
        <v>OPERACIÓN</v>
      </c>
      <c r="H538" s="1">
        <f>+'Maestro infraestructura'!Y537</f>
        <v>2</v>
      </c>
      <c r="I538" s="1"/>
      <c r="J538" s="6">
        <f>+'Maestro infraestructura'!T537</f>
        <v>46563</v>
      </c>
      <c r="K538" s="6">
        <f t="shared" ca="1" si="28"/>
        <v>46563</v>
      </c>
      <c r="L538" s="6"/>
    </row>
    <row r="539" spans="1:12" x14ac:dyDescent="0.2">
      <c r="A539" s="1" t="str">
        <f>+'Maestro infraestructura'!A538</f>
        <v>EDIFICIO PRINCIPAL</v>
      </c>
      <c r="B539" s="1" t="str">
        <f>+'Maestro infraestructura'!B538</f>
        <v>6° Piso</v>
      </c>
      <c r="C539" s="1" t="str">
        <f>+'Maestro infraestructura'!C538</f>
        <v>Edificio Principal</v>
      </c>
      <c r="D539" s="1" t="str">
        <f>+'Maestro infraestructura'!F538</f>
        <v>Escalera Emergencia Oriente</v>
      </c>
      <c r="E539" s="25" t="str">
        <f ca="1">+'Maestro infraestructura'!K538</f>
        <v>Activo</v>
      </c>
      <c r="F539" s="1" t="str">
        <f ca="1">+'Maestro infraestructura'!V538</f>
        <v>AL DÍA</v>
      </c>
      <c r="G539" s="1" t="str">
        <f>+'Maestro infraestructura'!X538</f>
        <v>SEGURIDAD</v>
      </c>
      <c r="H539" s="1">
        <f>+'Maestro infraestructura'!Y538</f>
        <v>1</v>
      </c>
      <c r="I539" s="1"/>
      <c r="J539" s="6">
        <f>+'Maestro infraestructura'!T538</f>
        <v>46563</v>
      </c>
      <c r="K539" s="6">
        <f t="shared" ca="1" si="28"/>
        <v>46563</v>
      </c>
      <c r="L539" s="6"/>
    </row>
    <row r="540" spans="1:12" x14ac:dyDescent="0.2">
      <c r="A540" s="1" t="str">
        <f>+'Maestro infraestructura'!A539</f>
        <v>EDIFICIO PRINCIPAL</v>
      </c>
      <c r="B540" s="1" t="str">
        <f>+'Maestro infraestructura'!B539</f>
        <v>6° Piso</v>
      </c>
      <c r="C540" s="1" t="str">
        <f>+'Maestro infraestructura'!C539</f>
        <v>Edificio Principal</v>
      </c>
      <c r="D540" s="1" t="str">
        <f>+'Maestro infraestructura'!F539</f>
        <v>Escalera Emergencia Poniente</v>
      </c>
      <c r="E540" s="25" t="str">
        <f ca="1">+'Maestro infraestructura'!K539</f>
        <v>Activo</v>
      </c>
      <c r="F540" s="1" t="str">
        <f ca="1">+'Maestro infraestructura'!V539</f>
        <v>AL DÍA</v>
      </c>
      <c r="G540" s="1" t="str">
        <f>+'Maestro infraestructura'!X539</f>
        <v>SEGURIDAD</v>
      </c>
      <c r="H540" s="1">
        <f>+'Maestro infraestructura'!Y539</f>
        <v>1</v>
      </c>
      <c r="I540" s="1"/>
      <c r="J540" s="6">
        <f>+'Maestro infraestructura'!T539</f>
        <v>46563</v>
      </c>
      <c r="K540" s="6">
        <f t="shared" ca="1" si="28"/>
        <v>46563</v>
      </c>
      <c r="L540" s="6"/>
    </row>
    <row r="541" spans="1:12" x14ac:dyDescent="0.2">
      <c r="A541" s="1" t="str">
        <f>+'Maestro infraestructura'!A540</f>
        <v>EDIFICIO PRINCIPAL</v>
      </c>
      <c r="B541" s="1" t="str">
        <f>+'Maestro infraestructura'!B540</f>
        <v>6° Piso</v>
      </c>
      <c r="C541" s="1" t="str">
        <f>+'Maestro infraestructura'!C540</f>
        <v>Edificio Principal</v>
      </c>
      <c r="D541" s="1" t="str">
        <f>+'Maestro infraestructura'!F540</f>
        <v>Escalera Interior Oriente</v>
      </c>
      <c r="E541" s="25" t="str">
        <f ca="1">+'Maestro infraestructura'!K540</f>
        <v>Activo</v>
      </c>
      <c r="F541" s="1" t="str">
        <f ca="1">+'Maestro infraestructura'!V540</f>
        <v>AL DÍA</v>
      </c>
      <c r="G541" s="1" t="str">
        <f>+'Maestro infraestructura'!X540</f>
        <v>SEGURIDAD</v>
      </c>
      <c r="H541" s="1">
        <f>+'Maestro infraestructura'!Y540</f>
        <v>1</v>
      </c>
      <c r="I541" s="1"/>
      <c r="J541" s="6">
        <f>+'Maestro infraestructura'!T540</f>
        <v>46563</v>
      </c>
      <c r="K541" s="6">
        <f t="shared" ca="1" si="28"/>
        <v>46563</v>
      </c>
      <c r="L541" s="6"/>
    </row>
    <row r="542" spans="1:12" x14ac:dyDescent="0.2">
      <c r="A542" s="1" t="str">
        <f>+'Maestro infraestructura'!A541</f>
        <v>EDIFICIO PRINCIPAL</v>
      </c>
      <c r="B542" s="1" t="str">
        <f>+'Maestro infraestructura'!B541</f>
        <v>6° Piso</v>
      </c>
      <c r="C542" s="1" t="str">
        <f>+'Maestro infraestructura'!C541</f>
        <v>Edificio Principal</v>
      </c>
      <c r="D542" s="1" t="str">
        <f>+'Maestro infraestructura'!F541</f>
        <v>Escalera Interior  Poniente</v>
      </c>
      <c r="E542" s="25" t="str">
        <f ca="1">+'Maestro infraestructura'!K541</f>
        <v>Activo</v>
      </c>
      <c r="F542" s="1" t="str">
        <f ca="1">+'Maestro infraestructura'!V541</f>
        <v>AL DÍA</v>
      </c>
      <c r="G542" s="1" t="str">
        <f>+'Maestro infraestructura'!X541</f>
        <v>SEGURIDAD</v>
      </c>
      <c r="H542" s="1">
        <f>+'Maestro infraestructura'!Y541</f>
        <v>1</v>
      </c>
      <c r="I542" s="1"/>
      <c r="J542" s="6">
        <f>+'Maestro infraestructura'!T541</f>
        <v>46563</v>
      </c>
      <c r="K542" s="6">
        <f t="shared" ca="1" si="28"/>
        <v>46563</v>
      </c>
      <c r="L542" s="6"/>
    </row>
    <row r="543" spans="1:12" x14ac:dyDescent="0.2">
      <c r="A543" s="1" t="str">
        <f>+'Maestro infraestructura'!A542</f>
        <v>EDIFICIO PRINCIPAL</v>
      </c>
      <c r="B543" s="1" t="str">
        <f>+'Maestro infraestructura'!B542</f>
        <v>6° Piso</v>
      </c>
      <c r="C543" s="1">
        <f>+'Maestro infraestructura'!C542</f>
        <v>601</v>
      </c>
      <c r="D543" s="1" t="str">
        <f>+'Maestro infraestructura'!F542</f>
        <v>Radiadores</v>
      </c>
      <c r="E543" s="25" t="str">
        <f ca="1">+'Maestro infraestructura'!K542</f>
        <v>Cambiar o Inspección externa</v>
      </c>
      <c r="F543" s="1" t="str">
        <f ca="1">+'Maestro infraestructura'!V542</f>
        <v>AL DÍA</v>
      </c>
      <c r="G543" s="1" t="str">
        <f>+'Maestro infraestructura'!X542</f>
        <v>GENERAL</v>
      </c>
      <c r="H543" s="1">
        <f>+'Maestro infraestructura'!Y542</f>
        <v>1</v>
      </c>
      <c r="I543" s="1"/>
      <c r="J543" s="6">
        <f>+'Maestro infraestructura'!T542</f>
        <v>46563</v>
      </c>
      <c r="K543" s="6">
        <f t="shared" ca="1" si="28"/>
        <v>4.9333991119881603E-4</v>
      </c>
      <c r="L543" s="6"/>
    </row>
    <row r="544" spans="1:12" x14ac:dyDescent="0.2">
      <c r="A544" s="1" t="str">
        <f>+'Maestro infraestructura'!A543</f>
        <v>EDIFICIO PRINCIPAL</v>
      </c>
      <c r="B544" s="1" t="str">
        <f>+'Maestro infraestructura'!B543</f>
        <v>6° Piso</v>
      </c>
      <c r="C544" s="1">
        <f>+'Maestro infraestructura'!C543</f>
        <v>602</v>
      </c>
      <c r="D544" s="1" t="str">
        <f>+'Maestro infraestructura'!F543</f>
        <v>Radiadores</v>
      </c>
      <c r="E544" s="25" t="str">
        <f ca="1">+'Maestro infraestructura'!K543</f>
        <v>Cambiar o Inspección externa</v>
      </c>
      <c r="F544" s="1" t="str">
        <f ca="1">+'Maestro infraestructura'!V543</f>
        <v>AL DÍA</v>
      </c>
      <c r="G544" s="1" t="str">
        <f>+'Maestro infraestructura'!X543</f>
        <v>GENERAL</v>
      </c>
      <c r="H544" s="1">
        <f>+'Maestro infraestructura'!Y543</f>
        <v>1</v>
      </c>
      <c r="I544" s="1"/>
      <c r="J544" s="6">
        <f>+'Maestro infraestructura'!T543</f>
        <v>46563</v>
      </c>
      <c r="K544" s="6">
        <f t="shared" ca="1" si="28"/>
        <v>4.9333991119881603E-4</v>
      </c>
      <c r="L544" s="6"/>
    </row>
    <row r="545" spans="1:12" x14ac:dyDescent="0.2">
      <c r="A545" s="1" t="str">
        <f>+'Maestro infraestructura'!A544</f>
        <v>EDIFICIO PRINCIPAL</v>
      </c>
      <c r="B545" s="1" t="str">
        <f>+'Maestro infraestructura'!B544</f>
        <v>6° Piso</v>
      </c>
      <c r="C545" s="1">
        <f>+'Maestro infraestructura'!C544</f>
        <v>603</v>
      </c>
      <c r="D545" s="1" t="str">
        <f>+'Maestro infraestructura'!F544</f>
        <v>Radiadores</v>
      </c>
      <c r="E545" s="25" t="str">
        <f ca="1">+'Maestro infraestructura'!K544</f>
        <v>Cambiar o Inspección externa</v>
      </c>
      <c r="F545" s="1" t="str">
        <f ca="1">+'Maestro infraestructura'!V544</f>
        <v>AL DÍA</v>
      </c>
      <c r="G545" s="1" t="str">
        <f>+'Maestro infraestructura'!X544</f>
        <v>GENERAL</v>
      </c>
      <c r="H545" s="1">
        <f>+'Maestro infraestructura'!Y544</f>
        <v>1</v>
      </c>
      <c r="I545" s="1"/>
      <c r="J545" s="6">
        <f>+'Maestro infraestructura'!T544</f>
        <v>46563</v>
      </c>
      <c r="K545" s="6">
        <f t="shared" ca="1" si="28"/>
        <v>4.9333991119881603E-4</v>
      </c>
      <c r="L545" s="6"/>
    </row>
    <row r="546" spans="1:12" x14ac:dyDescent="0.2">
      <c r="A546" s="1" t="str">
        <f>+'Maestro infraestructura'!A545</f>
        <v>EDIFICIO PRINCIPAL</v>
      </c>
      <c r="B546" s="1" t="str">
        <f>+'Maestro infraestructura'!B545</f>
        <v>6° Piso</v>
      </c>
      <c r="C546" s="1">
        <f>+'Maestro infraestructura'!C545</f>
        <v>604</v>
      </c>
      <c r="D546" s="1" t="str">
        <f>+'Maestro infraestructura'!F545</f>
        <v>Radiadores</v>
      </c>
      <c r="E546" s="25" t="str">
        <f ca="1">+'Maestro infraestructura'!K545</f>
        <v>Cambiar o Inspección externa</v>
      </c>
      <c r="F546" s="1" t="str">
        <f ca="1">+'Maestro infraestructura'!V545</f>
        <v>AL DÍA</v>
      </c>
      <c r="G546" s="1" t="str">
        <f>+'Maestro infraestructura'!X545</f>
        <v>GENERAL</v>
      </c>
      <c r="H546" s="1">
        <f>+'Maestro infraestructura'!Y545</f>
        <v>1</v>
      </c>
      <c r="I546" s="1"/>
      <c r="J546" s="6">
        <f>+'Maestro infraestructura'!T545</f>
        <v>46563</v>
      </c>
      <c r="K546" s="6">
        <f t="shared" ca="1" si="28"/>
        <v>4.9333991119881603E-4</v>
      </c>
      <c r="L546" s="6"/>
    </row>
    <row r="547" spans="1:12" x14ac:dyDescent="0.2">
      <c r="A547" s="1" t="str">
        <f>+'Maestro infraestructura'!A546</f>
        <v>EDIFICIO PRINCIPAL</v>
      </c>
      <c r="B547" s="1" t="str">
        <f>+'Maestro infraestructura'!B546</f>
        <v>6° Piso</v>
      </c>
      <c r="C547" s="1">
        <f>+'Maestro infraestructura'!C546</f>
        <v>606</v>
      </c>
      <c r="D547" s="1" t="str">
        <f>+'Maestro infraestructura'!F546</f>
        <v>Radiadores</v>
      </c>
      <c r="E547" s="25" t="str">
        <f ca="1">+'Maestro infraestructura'!K546</f>
        <v>Cambiar o Inspección externa</v>
      </c>
      <c r="F547" s="1" t="str">
        <f ca="1">+'Maestro infraestructura'!V546</f>
        <v>AL DÍA</v>
      </c>
      <c r="G547" s="1" t="str">
        <f>+'Maestro infraestructura'!X546</f>
        <v>GENERAL</v>
      </c>
      <c r="H547" s="1">
        <f>+'Maestro infraestructura'!Y546</f>
        <v>1</v>
      </c>
      <c r="I547" s="1"/>
      <c r="J547" s="6">
        <f>+'Maestro infraestructura'!T546</f>
        <v>46563</v>
      </c>
      <c r="K547" s="6">
        <f t="shared" ca="1" si="28"/>
        <v>4.9333991119881603E-4</v>
      </c>
      <c r="L547" s="6"/>
    </row>
    <row r="548" spans="1:12" x14ac:dyDescent="0.2">
      <c r="A548" s="1" t="str">
        <f>+'Maestro infraestructura'!A547</f>
        <v>EDIFICIO PRINCIPAL</v>
      </c>
      <c r="B548" s="1" t="str">
        <f>+'Maestro infraestructura'!B547</f>
        <v>6° Piso</v>
      </c>
      <c r="C548" s="1">
        <f>+'Maestro infraestructura'!C547</f>
        <v>607</v>
      </c>
      <c r="D548" s="1" t="str">
        <f>+'Maestro infraestructura'!F547</f>
        <v>Radiadores</v>
      </c>
      <c r="E548" s="25" t="str">
        <f ca="1">+'Maestro infraestructura'!K547</f>
        <v>Cambiar o Inspección externa</v>
      </c>
      <c r="F548" s="1" t="str">
        <f ca="1">+'Maestro infraestructura'!V547</f>
        <v>AL DÍA</v>
      </c>
      <c r="G548" s="1" t="str">
        <f>+'Maestro infraestructura'!X547</f>
        <v>GENERAL</v>
      </c>
      <c r="H548" s="1">
        <f>+'Maestro infraestructura'!Y547</f>
        <v>1</v>
      </c>
      <c r="I548" s="1"/>
      <c r="J548" s="6">
        <f>+'Maestro infraestructura'!T547</f>
        <v>46563</v>
      </c>
      <c r="K548" s="6">
        <f t="shared" ca="1" si="28"/>
        <v>4.9333991119881603E-4</v>
      </c>
      <c r="L548" s="6"/>
    </row>
    <row r="549" spans="1:12" x14ac:dyDescent="0.2">
      <c r="A549" s="1" t="str">
        <f>+'Maestro infraestructura'!A548</f>
        <v>EDIFICIO PRINCIPAL</v>
      </c>
      <c r="B549" s="1" t="str">
        <f>+'Maestro infraestructura'!B548</f>
        <v>6° Piso</v>
      </c>
      <c r="C549" s="1">
        <f>+'Maestro infraestructura'!C548</f>
        <v>608</v>
      </c>
      <c r="D549" s="1" t="str">
        <f>+'Maestro infraestructura'!F548</f>
        <v>Radiadores</v>
      </c>
      <c r="E549" s="25" t="str">
        <f ca="1">+'Maestro infraestructura'!K548</f>
        <v>Cambiar o Inspección externa</v>
      </c>
      <c r="F549" s="1" t="str">
        <f ca="1">+'Maestro infraestructura'!V548</f>
        <v>AL DÍA</v>
      </c>
      <c r="G549" s="1" t="str">
        <f>+'Maestro infraestructura'!X548</f>
        <v>GENERAL</v>
      </c>
      <c r="H549" s="1">
        <f>+'Maestro infraestructura'!Y548</f>
        <v>1</v>
      </c>
      <c r="I549" s="1"/>
      <c r="J549" s="6">
        <f>+'Maestro infraestructura'!T548</f>
        <v>46563</v>
      </c>
      <c r="K549" s="6">
        <f t="shared" ca="1" si="28"/>
        <v>4.9333991119881603E-4</v>
      </c>
      <c r="L549" s="6"/>
    </row>
    <row r="550" spans="1:12" x14ac:dyDescent="0.2">
      <c r="A550" s="1" t="str">
        <f>+'Maestro infraestructura'!A549</f>
        <v>EDIFICIO PRINCIPAL</v>
      </c>
      <c r="B550" s="1" t="str">
        <f>+'Maestro infraestructura'!B549</f>
        <v>6° Piso</v>
      </c>
      <c r="C550" s="1">
        <f>+'Maestro infraestructura'!C549</f>
        <v>609</v>
      </c>
      <c r="D550" s="1" t="str">
        <f>+'Maestro infraestructura'!F549</f>
        <v>Radiadores</v>
      </c>
      <c r="E550" s="25" t="str">
        <f ca="1">+'Maestro infraestructura'!K549</f>
        <v>Cambiar o Inspección externa</v>
      </c>
      <c r="F550" s="1" t="str">
        <f ca="1">+'Maestro infraestructura'!V549</f>
        <v>AL DÍA</v>
      </c>
      <c r="G550" s="1" t="str">
        <f>+'Maestro infraestructura'!X549</f>
        <v>GENERAL</v>
      </c>
      <c r="H550" s="1">
        <f>+'Maestro infraestructura'!Y549</f>
        <v>1</v>
      </c>
      <c r="I550" s="1"/>
      <c r="J550" s="6">
        <f>+'Maestro infraestructura'!T549</f>
        <v>46563</v>
      </c>
      <c r="K550" s="6">
        <f t="shared" ca="1" si="28"/>
        <v>4.9333991119881603E-4</v>
      </c>
      <c r="L550" s="6"/>
    </row>
    <row r="551" spans="1:12" x14ac:dyDescent="0.2">
      <c r="A551" s="1" t="str">
        <f>+'Maestro infraestructura'!A550</f>
        <v>EDIFICIO PRINCIPAL</v>
      </c>
      <c r="B551" s="1" t="str">
        <f>+'Maestro infraestructura'!B550</f>
        <v>6° Piso</v>
      </c>
      <c r="C551" s="1">
        <f>+'Maestro infraestructura'!C550</f>
        <v>610</v>
      </c>
      <c r="D551" s="1" t="str">
        <f>+'Maestro infraestructura'!F550</f>
        <v>Radiadores</v>
      </c>
      <c r="E551" s="25" t="str">
        <f ca="1">+'Maestro infraestructura'!K550</f>
        <v>Cambiar o Inspección externa</v>
      </c>
      <c r="F551" s="1" t="str">
        <f ca="1">+'Maestro infraestructura'!V550</f>
        <v>AL DÍA</v>
      </c>
      <c r="G551" s="1" t="str">
        <f>+'Maestro infraestructura'!X550</f>
        <v>GENERAL</v>
      </c>
      <c r="H551" s="1">
        <f>+'Maestro infraestructura'!Y550</f>
        <v>1</v>
      </c>
      <c r="I551" s="1"/>
      <c r="J551" s="6">
        <f>+'Maestro infraestructura'!T550</f>
        <v>46563</v>
      </c>
      <c r="K551" s="6">
        <f t="shared" ca="1" si="28"/>
        <v>4.9333991119881603E-4</v>
      </c>
      <c r="L551" s="6"/>
    </row>
    <row r="552" spans="1:12" x14ac:dyDescent="0.2">
      <c r="A552" s="1" t="str">
        <f>+'Maestro infraestructura'!A551</f>
        <v>EDIFICIO PRINCIPAL</v>
      </c>
      <c r="B552" s="1" t="str">
        <f>+'Maestro infraestructura'!B551</f>
        <v>6° Piso</v>
      </c>
      <c r="C552" s="1">
        <f>+'Maestro infraestructura'!C551</f>
        <v>611</v>
      </c>
      <c r="D552" s="1" t="str">
        <f>+'Maestro infraestructura'!F551</f>
        <v>Radiadores</v>
      </c>
      <c r="E552" s="25" t="str">
        <f ca="1">+'Maestro infraestructura'!K551</f>
        <v>Cambiar o Inspección externa</v>
      </c>
      <c r="F552" s="1" t="str">
        <f ca="1">+'Maestro infraestructura'!V551</f>
        <v>AL DÍA</v>
      </c>
      <c r="G552" s="1" t="str">
        <f>+'Maestro infraestructura'!X551</f>
        <v>GENERAL</v>
      </c>
      <c r="H552" s="1">
        <f>+'Maestro infraestructura'!Y551</f>
        <v>1</v>
      </c>
      <c r="I552" s="1"/>
      <c r="J552" s="6">
        <f>+'Maestro infraestructura'!T551</f>
        <v>46563</v>
      </c>
      <c r="K552" s="6">
        <f t="shared" ca="1" si="28"/>
        <v>4.9333991119881603E-4</v>
      </c>
      <c r="L552" s="6"/>
    </row>
    <row r="553" spans="1:12" x14ac:dyDescent="0.2">
      <c r="A553" s="1" t="str">
        <f>+'Maestro infraestructura'!A552</f>
        <v>EDIFICIO PRINCIPAL</v>
      </c>
      <c r="B553" s="1" t="str">
        <f>+'Maestro infraestructura'!B552</f>
        <v>6° Piso</v>
      </c>
      <c r="C553" s="1">
        <f>+'Maestro infraestructura'!C552</f>
        <v>612</v>
      </c>
      <c r="D553" s="1" t="str">
        <f>+'Maestro infraestructura'!F552</f>
        <v>Radiadores</v>
      </c>
      <c r="E553" s="25" t="str">
        <f ca="1">+'Maestro infraestructura'!K552</f>
        <v>Cambiar o Inspección externa</v>
      </c>
      <c r="F553" s="1" t="str">
        <f ca="1">+'Maestro infraestructura'!V552</f>
        <v>AL DÍA</v>
      </c>
      <c r="G553" s="1" t="str">
        <f>+'Maestro infraestructura'!X552</f>
        <v>GENERAL</v>
      </c>
      <c r="H553" s="1">
        <f>+'Maestro infraestructura'!Y552</f>
        <v>1</v>
      </c>
      <c r="I553" s="1"/>
      <c r="J553" s="6">
        <f>+'Maestro infraestructura'!T552</f>
        <v>46563</v>
      </c>
      <c r="K553" s="6">
        <f t="shared" ca="1" si="28"/>
        <v>4.9333991119881603E-4</v>
      </c>
      <c r="L553" s="6"/>
    </row>
    <row r="554" spans="1:12" x14ac:dyDescent="0.2">
      <c r="A554" s="1" t="str">
        <f>+'Maestro infraestructura'!A553</f>
        <v>EDIFICIO PRINCIPAL</v>
      </c>
      <c r="B554" s="1" t="str">
        <f>+'Maestro infraestructura'!B553</f>
        <v>6° Piso</v>
      </c>
      <c r="C554" s="1">
        <f>+'Maestro infraestructura'!C553</f>
        <v>613</v>
      </c>
      <c r="D554" s="1" t="str">
        <f>+'Maestro infraestructura'!F553</f>
        <v>Radiadores</v>
      </c>
      <c r="E554" s="25" t="str">
        <f ca="1">+'Maestro infraestructura'!K553</f>
        <v>Cambiar o Inspección externa</v>
      </c>
      <c r="F554" s="1" t="str">
        <f ca="1">+'Maestro infraestructura'!V553</f>
        <v>AL DÍA</v>
      </c>
      <c r="G554" s="1" t="str">
        <f>+'Maestro infraestructura'!X553</f>
        <v>GENERAL</v>
      </c>
      <c r="H554" s="1">
        <f>+'Maestro infraestructura'!Y553</f>
        <v>1</v>
      </c>
      <c r="I554" s="1"/>
      <c r="J554" s="6">
        <f>+'Maestro infraestructura'!T553</f>
        <v>46563</v>
      </c>
      <c r="K554" s="6">
        <f t="shared" ca="1" si="28"/>
        <v>4.9333991119881603E-4</v>
      </c>
      <c r="L554" s="6"/>
    </row>
    <row r="555" spans="1:12" x14ac:dyDescent="0.2">
      <c r="A555" s="1" t="str">
        <f>+'Maestro infraestructura'!A554</f>
        <v>EDIFICIO PRINCIPAL</v>
      </c>
      <c r="B555" s="1" t="str">
        <f>+'Maestro infraestructura'!B554</f>
        <v>6° Piso</v>
      </c>
      <c r="C555" s="1">
        <f>+'Maestro infraestructura'!C554</f>
        <v>614</v>
      </c>
      <c r="D555" s="1" t="str">
        <f>+'Maestro infraestructura'!F554</f>
        <v>Radiadores</v>
      </c>
      <c r="E555" s="25" t="str">
        <f ca="1">+'Maestro infraestructura'!K554</f>
        <v>Cambiar o Inspección externa</v>
      </c>
      <c r="F555" s="1" t="str">
        <f ca="1">+'Maestro infraestructura'!V554</f>
        <v>AL DÍA</v>
      </c>
      <c r="G555" s="1" t="str">
        <f>+'Maestro infraestructura'!X554</f>
        <v>GENERAL</v>
      </c>
      <c r="H555" s="1">
        <f>+'Maestro infraestructura'!Y554</f>
        <v>1</v>
      </c>
      <c r="I555" s="1"/>
      <c r="J555" s="6">
        <f>+'Maestro infraestructura'!T554</f>
        <v>46563</v>
      </c>
      <c r="K555" s="6">
        <f t="shared" ca="1" si="28"/>
        <v>4.9333991119881603E-4</v>
      </c>
      <c r="L555" s="6"/>
    </row>
    <row r="556" spans="1:12" x14ac:dyDescent="0.2">
      <c r="A556" s="1" t="str">
        <f>+'Maestro infraestructura'!A555</f>
        <v>EDIFICIO PRINCIPAL</v>
      </c>
      <c r="B556" s="1" t="str">
        <f>+'Maestro infraestructura'!B555</f>
        <v>6° Piso</v>
      </c>
      <c r="C556" s="1">
        <f>+'Maestro infraestructura'!C555</f>
        <v>615</v>
      </c>
      <c r="D556" s="1" t="str">
        <f>+'Maestro infraestructura'!F555</f>
        <v>Radiadores</v>
      </c>
      <c r="E556" s="25" t="str">
        <f ca="1">+'Maestro infraestructura'!K555</f>
        <v>Cambiar o Inspección externa</v>
      </c>
      <c r="F556" s="1" t="str">
        <f ca="1">+'Maestro infraestructura'!V555</f>
        <v>AL DÍA</v>
      </c>
      <c r="G556" s="1" t="str">
        <f>+'Maestro infraestructura'!X555</f>
        <v>GENERAL</v>
      </c>
      <c r="H556" s="1">
        <f>+'Maestro infraestructura'!Y555</f>
        <v>1</v>
      </c>
      <c r="I556" s="1"/>
      <c r="J556" s="6">
        <f>+'Maestro infraestructura'!T555</f>
        <v>46563</v>
      </c>
      <c r="K556" s="6">
        <f t="shared" ca="1" si="28"/>
        <v>4.9333991119881603E-4</v>
      </c>
      <c r="L556" s="6"/>
    </row>
    <row r="557" spans="1:12" x14ac:dyDescent="0.2">
      <c r="A557" s="1" t="str">
        <f>+'Maestro infraestructura'!A556</f>
        <v>EDIFICIO PRINCIPAL</v>
      </c>
      <c r="B557" s="1" t="str">
        <f>+'Maestro infraestructura'!B556</f>
        <v>6° Piso</v>
      </c>
      <c r="C557" s="1">
        <f>+'Maestro infraestructura'!C556</f>
        <v>618</v>
      </c>
      <c r="D557" s="1" t="str">
        <f>+'Maestro infraestructura'!F556</f>
        <v>Radiadores</v>
      </c>
      <c r="E557" s="25" t="str">
        <f ca="1">+'Maestro infraestructura'!K556</f>
        <v>Cambiar o Inspección externa</v>
      </c>
      <c r="F557" s="1" t="str">
        <f ca="1">+'Maestro infraestructura'!V556</f>
        <v>AL DÍA</v>
      </c>
      <c r="G557" s="1" t="str">
        <f>+'Maestro infraestructura'!X556</f>
        <v>GENERAL</v>
      </c>
      <c r="H557" s="1">
        <f>+'Maestro infraestructura'!Y556</f>
        <v>1</v>
      </c>
      <c r="I557" s="1"/>
      <c r="J557" s="6">
        <f>+'Maestro infraestructura'!T556</f>
        <v>46563</v>
      </c>
      <c r="K557" s="6">
        <f t="shared" ca="1" si="28"/>
        <v>4.9333991119881603E-4</v>
      </c>
      <c r="L557" s="6"/>
    </row>
    <row r="558" spans="1:12" x14ac:dyDescent="0.2">
      <c r="A558" s="1" t="str">
        <f>+'Maestro infraestructura'!A557</f>
        <v>EDIFICIO PRINCIPAL</v>
      </c>
      <c r="B558" s="1" t="str">
        <f>+'Maestro infraestructura'!B557</f>
        <v>6° Piso</v>
      </c>
      <c r="C558" s="1">
        <f>+'Maestro infraestructura'!C557</f>
        <v>623</v>
      </c>
      <c r="D558" s="1" t="str">
        <f>+'Maestro infraestructura'!F557</f>
        <v>Radiadores</v>
      </c>
      <c r="E558" s="25" t="str">
        <f ca="1">+'Maestro infraestructura'!K557</f>
        <v>Cambiar o Inspección externa</v>
      </c>
      <c r="F558" s="1" t="str">
        <f ca="1">+'Maestro infraestructura'!V557</f>
        <v>AL DÍA</v>
      </c>
      <c r="G558" s="1" t="str">
        <f>+'Maestro infraestructura'!X557</f>
        <v>GENERAL</v>
      </c>
      <c r="H558" s="1">
        <f>+'Maestro infraestructura'!Y557</f>
        <v>1</v>
      </c>
      <c r="I558" s="1"/>
      <c r="J558" s="6">
        <f>+'Maestro infraestructura'!T557</f>
        <v>46563</v>
      </c>
      <c r="K558" s="6">
        <f t="shared" ca="1" si="28"/>
        <v>4.9333991119881603E-4</v>
      </c>
      <c r="L558" s="6"/>
    </row>
    <row r="559" spans="1:12" x14ac:dyDescent="0.2">
      <c r="A559" s="1" t="str">
        <f>+'Maestro infraestructura'!A558</f>
        <v>EDIFICIO PRINCIPAL</v>
      </c>
      <c r="B559" s="1" t="str">
        <f>+'Maestro infraestructura'!B558</f>
        <v>6° Piso</v>
      </c>
      <c r="C559" s="1">
        <f>+'Maestro infraestructura'!C558</f>
        <v>624</v>
      </c>
      <c r="D559" s="1" t="str">
        <f>+'Maestro infraestructura'!F558</f>
        <v>Radiadores</v>
      </c>
      <c r="E559" s="25" t="str">
        <f ca="1">+'Maestro infraestructura'!K558</f>
        <v>Cambiar o Inspección externa</v>
      </c>
      <c r="F559" s="1" t="str">
        <f ca="1">+'Maestro infraestructura'!V558</f>
        <v>AL DÍA</v>
      </c>
      <c r="G559" s="1" t="str">
        <f>+'Maestro infraestructura'!X558</f>
        <v>GENERAL</v>
      </c>
      <c r="H559" s="1">
        <f>+'Maestro infraestructura'!Y558</f>
        <v>1</v>
      </c>
      <c r="I559" s="1"/>
      <c r="J559" s="6">
        <f>+'Maestro infraestructura'!T558</f>
        <v>46563</v>
      </c>
      <c r="K559" s="6">
        <f t="shared" ca="1" si="28"/>
        <v>4.9333991119881603E-4</v>
      </c>
      <c r="L559" s="6"/>
    </row>
    <row r="560" spans="1:12" x14ac:dyDescent="0.2">
      <c r="A560" s="1" t="str">
        <f>+'Maestro infraestructura'!A559</f>
        <v>EDIFICIO PRINCIPAL</v>
      </c>
      <c r="B560" s="1" t="str">
        <f>+'Maestro infraestructura'!B559</f>
        <v>6° Piso</v>
      </c>
      <c r="C560" s="1">
        <f>+'Maestro infraestructura'!C559</f>
        <v>625</v>
      </c>
      <c r="D560" s="1" t="str">
        <f>+'Maestro infraestructura'!F559</f>
        <v>Radiadores</v>
      </c>
      <c r="E560" s="25" t="str">
        <f ca="1">+'Maestro infraestructura'!K559</f>
        <v>Cambiar o Inspección externa</v>
      </c>
      <c r="F560" s="1" t="str">
        <f ca="1">+'Maestro infraestructura'!V559</f>
        <v>AL DÍA</v>
      </c>
      <c r="G560" s="1" t="str">
        <f>+'Maestro infraestructura'!X559</f>
        <v>GENERAL</v>
      </c>
      <c r="H560" s="1">
        <f>+'Maestro infraestructura'!Y559</f>
        <v>1</v>
      </c>
      <c r="I560" s="1"/>
      <c r="J560" s="6">
        <f>+'Maestro infraestructura'!T559</f>
        <v>46563</v>
      </c>
      <c r="K560" s="6">
        <f t="shared" ca="1" si="28"/>
        <v>4.9333991119881603E-4</v>
      </c>
      <c r="L560" s="6"/>
    </row>
    <row r="561" spans="1:12" x14ac:dyDescent="0.2">
      <c r="A561" s="1" t="str">
        <f>+'Maestro infraestructura'!A560</f>
        <v>EDIFICIO PRINCIPAL</v>
      </c>
      <c r="B561" s="1" t="str">
        <f>+'Maestro infraestructura'!B560</f>
        <v>6° Piso</v>
      </c>
      <c r="C561" s="1">
        <f>+'Maestro infraestructura'!C560</f>
        <v>626</v>
      </c>
      <c r="D561" s="1" t="str">
        <f>+'Maestro infraestructura'!F560</f>
        <v>Radiadores</v>
      </c>
      <c r="E561" s="25" t="str">
        <f ca="1">+'Maestro infraestructura'!K560</f>
        <v>Cambiar o Inspección externa</v>
      </c>
      <c r="F561" s="1" t="str">
        <f ca="1">+'Maestro infraestructura'!V560</f>
        <v>AL DÍA</v>
      </c>
      <c r="G561" s="1" t="str">
        <f>+'Maestro infraestructura'!X560</f>
        <v>GENERAL</v>
      </c>
      <c r="H561" s="1">
        <f>+'Maestro infraestructura'!Y560</f>
        <v>1</v>
      </c>
      <c r="I561" s="1"/>
      <c r="J561" s="6">
        <f>+'Maestro infraestructura'!T560</f>
        <v>46563</v>
      </c>
      <c r="K561" s="6">
        <f t="shared" ca="1" si="28"/>
        <v>4.9333991119881603E-4</v>
      </c>
      <c r="L561" s="6"/>
    </row>
    <row r="562" spans="1:12" x14ac:dyDescent="0.2">
      <c r="A562" s="1" t="str">
        <f>+'Maestro infraestructura'!A561</f>
        <v>EDIFICIO PRINCIPAL</v>
      </c>
      <c r="B562" s="1" t="str">
        <f>+'Maestro infraestructura'!B561</f>
        <v>6° Piso</v>
      </c>
      <c r="C562" s="1" t="str">
        <f>+'Maestro infraestructura'!C561</f>
        <v>Estacionamiento</v>
      </c>
      <c r="D562" s="1" t="str">
        <f>+'Maestro infraestructura'!F561</f>
        <v>Camarín Hombres AAEE</v>
      </c>
      <c r="E562" s="25" t="str">
        <f ca="1">+'Maestro infraestructura'!K561</f>
        <v>Activo</v>
      </c>
      <c r="F562" s="1" t="str">
        <f ca="1">+'Maestro infraestructura'!V561</f>
        <v>VENCIDO</v>
      </c>
      <c r="G562" s="1" t="str">
        <f>+'Maestro infraestructura'!X561</f>
        <v>LEGAL</v>
      </c>
      <c r="H562" s="1">
        <f>+'Maestro infraestructura'!Y561</f>
        <v>2</v>
      </c>
      <c r="I562" s="1"/>
      <c r="J562" s="6">
        <f>+'Maestro infraestructura'!T561</f>
        <v>46258</v>
      </c>
      <c r="K562" s="6">
        <f t="shared" ca="1" si="28"/>
        <v>46258</v>
      </c>
      <c r="L562" s="6"/>
    </row>
    <row r="563" spans="1:12" x14ac:dyDescent="0.2">
      <c r="A563" s="1" t="str">
        <f>+'Maestro infraestructura'!A562</f>
        <v>EDIFICIO PRINCIPAL</v>
      </c>
      <c r="B563" s="1" t="str">
        <f>+'Maestro infraestructura'!B562</f>
        <v>6° Piso</v>
      </c>
      <c r="C563" s="1" t="str">
        <f>+'Maestro infraestructura'!C562</f>
        <v>Pasillo N600</v>
      </c>
      <c r="D563" s="1" t="str">
        <f>+'Maestro infraestructura'!F562</f>
        <v>Cámara de Vigilancia</v>
      </c>
      <c r="E563" s="25" t="str">
        <f ca="1">+'Maestro infraestructura'!K562</f>
        <v>Activo</v>
      </c>
      <c r="F563" s="1" t="str">
        <f ca="1">+'Maestro infraestructura'!V562</f>
        <v>AL DÍA</v>
      </c>
      <c r="G563" s="1" t="str">
        <f>+'Maestro infraestructura'!X562</f>
        <v>LEGAL</v>
      </c>
      <c r="H563" s="1">
        <f>+'Maestro infraestructura'!Y562</f>
        <v>2</v>
      </c>
      <c r="I563" s="1"/>
      <c r="J563" s="6">
        <f>+'Maestro infraestructura'!T562</f>
        <v>46563</v>
      </c>
      <c r="K563" s="6">
        <f t="shared" ca="1" si="28"/>
        <v>46563</v>
      </c>
      <c r="L563" s="6"/>
    </row>
    <row r="564" spans="1:12" x14ac:dyDescent="0.2">
      <c r="A564" s="1" t="str">
        <f>+'Maestro infraestructura'!A563</f>
        <v>EDIFICIO PRINCIPAL</v>
      </c>
      <c r="B564" s="1" t="str">
        <f>+'Maestro infraestructura'!B563</f>
        <v>5° Piso</v>
      </c>
      <c r="C564" s="1" t="str">
        <f>+'Maestro infraestructura'!C563</f>
        <v>Pasillo N500</v>
      </c>
      <c r="D564" s="1" t="str">
        <f>+'Maestro infraestructura'!F563</f>
        <v>Cámara de Vigilancia</v>
      </c>
      <c r="E564" s="25" t="str">
        <f ca="1">+'Maestro infraestructura'!K563</f>
        <v>Activo</v>
      </c>
      <c r="F564" s="1" t="str">
        <f ca="1">+'Maestro infraestructura'!V563</f>
        <v>AL DÍA</v>
      </c>
      <c r="G564" s="1" t="str">
        <f>+'Maestro infraestructura'!X563</f>
        <v>LEGAL</v>
      </c>
      <c r="H564" s="1">
        <f>+'Maestro infraestructura'!Y563</f>
        <v>2</v>
      </c>
      <c r="I564" s="1"/>
      <c r="J564" s="6">
        <f>+'Maestro infraestructura'!T563</f>
        <v>46563</v>
      </c>
      <c r="K564" s="6">
        <f t="shared" ca="1" si="28"/>
        <v>46563</v>
      </c>
      <c r="L564" s="6"/>
    </row>
    <row r="565" spans="1:12" x14ac:dyDescent="0.2">
      <c r="A565" s="1" t="str">
        <f>+'Maestro infraestructura'!A564</f>
        <v>EDIFICIO PRINCIPAL</v>
      </c>
      <c r="B565" s="1" t="str">
        <f>+'Maestro infraestructura'!B564</f>
        <v>4° Piso</v>
      </c>
      <c r="C565" s="1" t="str">
        <f>+'Maestro infraestructura'!C564</f>
        <v>Tunel</v>
      </c>
      <c r="D565" s="1" t="str">
        <f>+'Maestro infraestructura'!F564</f>
        <v>Cámara de Vigilancia</v>
      </c>
      <c r="E565" s="25" t="str">
        <f ca="1">+'Maestro infraestructura'!K564</f>
        <v>Activo</v>
      </c>
      <c r="F565" s="1" t="str">
        <f ca="1">+'Maestro infraestructura'!V564</f>
        <v>AL DÍA</v>
      </c>
      <c r="G565" s="1" t="str">
        <f>+'Maestro infraestructura'!X564</f>
        <v>LEGAL</v>
      </c>
      <c r="H565" s="1">
        <f>+'Maestro infraestructura'!Y564</f>
        <v>2</v>
      </c>
      <c r="I565" s="1"/>
      <c r="J565" s="6">
        <f>+'Maestro infraestructura'!T564</f>
        <v>46563</v>
      </c>
      <c r="K565" s="6">
        <f t="shared" ca="1" si="28"/>
        <v>46563</v>
      </c>
      <c r="L565" s="6"/>
    </row>
    <row r="566" spans="1:12" x14ac:dyDescent="0.2">
      <c r="A566" s="1" t="str">
        <f>+'Maestro infraestructura'!A565</f>
        <v>EDIFICIO PRINCIPAL</v>
      </c>
      <c r="B566" s="1" t="str">
        <f>+'Maestro infraestructura'!B565</f>
        <v>3° Piso</v>
      </c>
      <c r="C566" s="1" t="str">
        <f>+'Maestro infraestructura'!C565</f>
        <v>Pasillo N300</v>
      </c>
      <c r="D566" s="1" t="str">
        <f>+'Maestro infraestructura'!F565</f>
        <v>Cámara de Vigilancia</v>
      </c>
      <c r="E566" s="25" t="str">
        <f ca="1">+'Maestro infraestructura'!K565</f>
        <v>Activo</v>
      </c>
      <c r="F566" s="1" t="str">
        <f ca="1">+'Maestro infraestructura'!V565</f>
        <v>AL DÍA</v>
      </c>
      <c r="G566" s="1" t="str">
        <f>+'Maestro infraestructura'!X565</f>
        <v>LEGAL</v>
      </c>
      <c r="H566" s="1">
        <f>+'Maestro infraestructura'!Y565</f>
        <v>2</v>
      </c>
      <c r="I566" s="1"/>
      <c r="J566" s="6">
        <f>+'Maestro infraestructura'!T565</f>
        <v>46563</v>
      </c>
      <c r="K566" s="6">
        <f t="shared" ca="1" si="28"/>
        <v>46563</v>
      </c>
      <c r="L566" s="6"/>
    </row>
    <row r="567" spans="1:12" x14ac:dyDescent="0.2">
      <c r="A567" s="1" t="str">
        <f>+'Maestro infraestructura'!A566</f>
        <v>EDIFICIO PRINCIPAL</v>
      </c>
      <c r="B567" s="1" t="str">
        <f>+'Maestro infraestructura'!B566</f>
        <v>3° Piso</v>
      </c>
      <c r="C567" s="1" t="str">
        <f>+'Maestro infraestructura'!C566</f>
        <v>ZS1</v>
      </c>
      <c r="D567" s="1" t="str">
        <f>+'Maestro infraestructura'!F566</f>
        <v>Ventanas</v>
      </c>
      <c r="E567" s="25" t="str">
        <f ca="1">+'Maestro infraestructura'!K566</f>
        <v>Activo</v>
      </c>
      <c r="F567" s="1" t="str">
        <f ca="1">+'Maestro infraestructura'!V566</f>
        <v>AL DÍA</v>
      </c>
      <c r="G567" s="1" t="str">
        <f>+'Maestro infraestructura'!X566</f>
        <v>OPERACIÓN</v>
      </c>
      <c r="H567" s="1">
        <f>+'Maestro infraestructura'!Y566</f>
        <v>2</v>
      </c>
      <c r="I567" s="1"/>
      <c r="J567" s="6">
        <f>+'Maestro infraestructura'!T566</f>
        <v>46563</v>
      </c>
      <c r="K567" s="6">
        <f t="shared" ca="1" si="28"/>
        <v>46563</v>
      </c>
      <c r="L567" s="6"/>
    </row>
    <row r="568" spans="1:12" x14ac:dyDescent="0.2">
      <c r="A568" s="1" t="str">
        <f>+'Maestro infraestructura'!A567</f>
        <v>EDIFICIO PRINCIPAL</v>
      </c>
      <c r="B568" s="1" t="str">
        <f>+'Maestro infraestructura'!B567</f>
        <v>3° Piso</v>
      </c>
      <c r="C568" s="1" t="str">
        <f>+'Maestro infraestructura'!C567</f>
        <v>ZS1</v>
      </c>
      <c r="D568" s="1" t="str">
        <f>+'Maestro infraestructura'!F567</f>
        <v>Piso</v>
      </c>
      <c r="E568" s="25" t="str">
        <f ca="1">+'Maestro infraestructura'!K567</f>
        <v>Activo</v>
      </c>
      <c r="F568" s="1" t="str">
        <f ca="1">+'Maestro infraestructura'!V567</f>
        <v>AL DÍA</v>
      </c>
      <c r="G568" s="1" t="str">
        <f>+'Maestro infraestructura'!X567</f>
        <v>GENERAL</v>
      </c>
      <c r="H568" s="1">
        <f>+'Maestro infraestructura'!Y567</f>
        <v>2</v>
      </c>
      <c r="I568" s="1"/>
      <c r="J568" s="6">
        <f>+'Maestro infraestructura'!T567</f>
        <v>46563</v>
      </c>
      <c r="K568" s="6">
        <f t="shared" ca="1" si="28"/>
        <v>46563</v>
      </c>
      <c r="L568" s="6"/>
    </row>
    <row r="569" spans="1:12" x14ac:dyDescent="0.2">
      <c r="A569" s="1" t="str">
        <f>+'Maestro infraestructura'!A568</f>
        <v>EDIFICIO PRINCIPAL</v>
      </c>
      <c r="B569" s="1" t="str">
        <f>+'Maestro infraestructura'!B568</f>
        <v>3° Piso</v>
      </c>
      <c r="C569" s="1" t="str">
        <f>+'Maestro infraestructura'!C568</f>
        <v>ZS1</v>
      </c>
      <c r="D569" s="1" t="str">
        <f>+'Maestro infraestructura'!F568</f>
        <v>Enchufes</v>
      </c>
      <c r="E569" s="25" t="str">
        <f ca="1">+'Maestro infraestructura'!K568</f>
        <v>Activo</v>
      </c>
      <c r="F569" s="1" t="str">
        <f ca="1">+'Maestro infraestructura'!V568</f>
        <v>AL DÍA</v>
      </c>
      <c r="G569" s="1" t="str">
        <f>+'Maestro infraestructura'!X568</f>
        <v>GENERAL</v>
      </c>
      <c r="H569" s="1">
        <f>+'Maestro infraestructura'!Y568</f>
        <v>2</v>
      </c>
      <c r="I569" s="1"/>
      <c r="J569" s="6">
        <f>+'Maestro infraestructura'!T568</f>
        <v>46563</v>
      </c>
      <c r="K569" s="6">
        <f t="shared" ca="1" si="28"/>
        <v>46563</v>
      </c>
      <c r="L569" s="6"/>
    </row>
    <row r="570" spans="1:12" x14ac:dyDescent="0.2">
      <c r="A570" s="1" t="str">
        <f>+'Maestro infraestructura'!A569</f>
        <v>EDIFICIO PRINCIPAL</v>
      </c>
      <c r="B570" s="1" t="str">
        <f>+'Maestro infraestructura'!B569</f>
        <v>3° Piso</v>
      </c>
      <c r="C570" s="1" t="str">
        <f>+'Maestro infraestructura'!C569</f>
        <v>ZS1</v>
      </c>
      <c r="D570" s="1" t="str">
        <f>+'Maestro infraestructura'!F569</f>
        <v>Puertas</v>
      </c>
      <c r="E570" s="25" t="str">
        <f ca="1">+'Maestro infraestructura'!K569</f>
        <v>Activo</v>
      </c>
      <c r="F570" s="1" t="str">
        <f ca="1">+'Maestro infraestructura'!V569</f>
        <v>AL DÍA</v>
      </c>
      <c r="G570" s="1" t="str">
        <f>+'Maestro infraestructura'!X569</f>
        <v>GENERAL</v>
      </c>
      <c r="H570" s="1">
        <f>+'Maestro infraestructura'!Y569</f>
        <v>2</v>
      </c>
      <c r="I570" s="1"/>
      <c r="J570" s="6">
        <f>+'Maestro infraestructura'!T569</f>
        <v>46563</v>
      </c>
      <c r="K570" s="6">
        <f t="shared" ca="1" si="28"/>
        <v>46563</v>
      </c>
      <c r="L570" s="6"/>
    </row>
    <row r="571" spans="1:12" x14ac:dyDescent="0.2">
      <c r="A571" s="1" t="str">
        <f>+'Maestro infraestructura'!A570</f>
        <v>EDIFICIO PRINCIPAL</v>
      </c>
      <c r="B571" s="1" t="str">
        <f>+'Maestro infraestructura'!B570</f>
        <v>3° Piso</v>
      </c>
      <c r="C571" s="1" t="str">
        <f>+'Maestro infraestructura'!C570</f>
        <v>ZS2</v>
      </c>
      <c r="D571" s="1" t="str">
        <f>+'Maestro infraestructura'!F570</f>
        <v>Ventanas</v>
      </c>
      <c r="E571" s="25" t="str">
        <f ca="1">+'Maestro infraestructura'!K570</f>
        <v>Activo</v>
      </c>
      <c r="F571" s="1" t="str">
        <f ca="1">+'Maestro infraestructura'!V570</f>
        <v>AL DÍA</v>
      </c>
      <c r="G571" s="1" t="str">
        <f>+'Maestro infraestructura'!X570</f>
        <v>OPERACIÓN</v>
      </c>
      <c r="H571" s="1">
        <f>+'Maestro infraestructura'!Y570</f>
        <v>2</v>
      </c>
      <c r="I571" s="1"/>
      <c r="J571" s="6">
        <f>+'Maestro infraestructura'!T570</f>
        <v>46563</v>
      </c>
      <c r="K571" s="6">
        <f t="shared" ca="1" si="28"/>
        <v>46563</v>
      </c>
      <c r="L571" s="6"/>
    </row>
    <row r="572" spans="1:12" x14ac:dyDescent="0.2">
      <c r="A572" s="1" t="str">
        <f>+'Maestro infraestructura'!A571</f>
        <v>EDIFICIO PRINCIPAL</v>
      </c>
      <c r="B572" s="1" t="str">
        <f>+'Maestro infraestructura'!B571</f>
        <v>3° Piso</v>
      </c>
      <c r="C572" s="1" t="str">
        <f>+'Maestro infraestructura'!C571</f>
        <v>ZS2</v>
      </c>
      <c r="D572" s="1" t="str">
        <f>+'Maestro infraestructura'!F571</f>
        <v>Piso</v>
      </c>
      <c r="E572" s="25" t="str">
        <f ca="1">+'Maestro infraestructura'!K571</f>
        <v>Activo</v>
      </c>
      <c r="F572" s="1" t="str">
        <f ca="1">+'Maestro infraestructura'!V571</f>
        <v>AL DÍA</v>
      </c>
      <c r="G572" s="1" t="str">
        <f>+'Maestro infraestructura'!X571</f>
        <v>GENERAL</v>
      </c>
      <c r="H572" s="1">
        <f>+'Maestro infraestructura'!Y571</f>
        <v>2</v>
      </c>
      <c r="I572" s="1"/>
      <c r="J572" s="6">
        <f>+'Maestro infraestructura'!T571</f>
        <v>46563</v>
      </c>
      <c r="K572" s="6">
        <f t="shared" ca="1" si="28"/>
        <v>46563</v>
      </c>
      <c r="L572" s="6"/>
    </row>
    <row r="573" spans="1:12" x14ac:dyDescent="0.2">
      <c r="A573" s="1" t="str">
        <f>+'Maestro infraestructura'!A572</f>
        <v>EDIFICIO PRINCIPAL</v>
      </c>
      <c r="B573" s="1" t="str">
        <f>+'Maestro infraestructura'!B572</f>
        <v>3° Piso</v>
      </c>
      <c r="C573" s="1" t="str">
        <f>+'Maestro infraestructura'!C572</f>
        <v>ZS2</v>
      </c>
      <c r="D573" s="1" t="str">
        <f>+'Maestro infraestructura'!F572</f>
        <v>Enchufes</v>
      </c>
      <c r="E573" s="25" t="str">
        <f ca="1">+'Maestro infraestructura'!K572</f>
        <v>Activo</v>
      </c>
      <c r="F573" s="1" t="str">
        <f ca="1">+'Maestro infraestructura'!V572</f>
        <v>AL DÍA</v>
      </c>
      <c r="G573" s="1" t="str">
        <f>+'Maestro infraestructura'!X572</f>
        <v>GENERAL</v>
      </c>
      <c r="H573" s="1">
        <f>+'Maestro infraestructura'!Y572</f>
        <v>2</v>
      </c>
      <c r="I573" s="1"/>
      <c r="J573" s="6">
        <f>+'Maestro infraestructura'!T572</f>
        <v>46563</v>
      </c>
      <c r="K573" s="6">
        <f t="shared" ca="1" si="28"/>
        <v>46563</v>
      </c>
      <c r="L573" s="6"/>
    </row>
    <row r="574" spans="1:12" x14ac:dyDescent="0.2">
      <c r="A574" s="1" t="str">
        <f>+'Maestro infraestructura'!A573</f>
        <v>EDIFICIO PRINCIPAL</v>
      </c>
      <c r="B574" s="1" t="str">
        <f>+'Maestro infraestructura'!B573</f>
        <v>3° Piso</v>
      </c>
      <c r="C574" s="1" t="str">
        <f>+'Maestro infraestructura'!C573</f>
        <v>ZS2</v>
      </c>
      <c r="D574" s="1" t="str">
        <f>+'Maestro infraestructura'!F573</f>
        <v>Puertas</v>
      </c>
      <c r="E574" s="25" t="str">
        <f ca="1">+'Maestro infraestructura'!K573</f>
        <v>Activo</v>
      </c>
      <c r="F574" s="1" t="str">
        <f ca="1">+'Maestro infraestructura'!V573</f>
        <v>AL DÍA</v>
      </c>
      <c r="G574" s="1" t="str">
        <f>+'Maestro infraestructura'!X573</f>
        <v>GENERAL</v>
      </c>
      <c r="H574" s="1">
        <f>+'Maestro infraestructura'!Y573</f>
        <v>2</v>
      </c>
      <c r="I574" s="1"/>
      <c r="J574" s="6">
        <f>+'Maestro infraestructura'!T573</f>
        <v>46563</v>
      </c>
      <c r="K574" s="6">
        <f t="shared" ca="1" si="28"/>
        <v>46563</v>
      </c>
      <c r="L574" s="6"/>
    </row>
    <row r="575" spans="1:12" x14ac:dyDescent="0.2">
      <c r="A575" s="1" t="str">
        <f>+'Maestro infraestructura'!A574</f>
        <v>EDIFICIO PRINCIPAL</v>
      </c>
      <c r="B575" s="1" t="str">
        <f>+'Maestro infraestructura'!B574</f>
        <v>3° Piso</v>
      </c>
      <c r="C575" s="1" t="str">
        <f>+'Maestro infraestructura'!C574</f>
        <v>BIO1</v>
      </c>
      <c r="D575" s="1" t="str">
        <f>+'Maestro infraestructura'!F574</f>
        <v>Ventanas</v>
      </c>
      <c r="E575" s="25" t="str">
        <f ca="1">+'Maestro infraestructura'!K574</f>
        <v>Activo</v>
      </c>
      <c r="F575" s="1" t="str">
        <f ca="1">+'Maestro infraestructura'!V574</f>
        <v>AL DÍA</v>
      </c>
      <c r="G575" s="1" t="str">
        <f>+'Maestro infraestructura'!X574</f>
        <v>OPERACIÓN</v>
      </c>
      <c r="H575" s="1">
        <f>+'Maestro infraestructura'!Y574</f>
        <v>2</v>
      </c>
      <c r="I575" s="1"/>
      <c r="J575" s="6">
        <f>+'Maestro infraestructura'!T574</f>
        <v>46563</v>
      </c>
      <c r="K575" s="6">
        <f t="shared" ca="1" si="28"/>
        <v>46563</v>
      </c>
      <c r="L575" s="6"/>
    </row>
    <row r="576" spans="1:12" x14ac:dyDescent="0.2">
      <c r="A576" s="1" t="str">
        <f>+'Maestro infraestructura'!A575</f>
        <v>EDIFICIO PRINCIPAL</v>
      </c>
      <c r="B576" s="1" t="str">
        <f>+'Maestro infraestructura'!B575</f>
        <v>3° Piso</v>
      </c>
      <c r="C576" s="1" t="str">
        <f>+'Maestro infraestructura'!C575</f>
        <v>BIO1</v>
      </c>
      <c r="D576" s="1" t="str">
        <f>+'Maestro infraestructura'!F575</f>
        <v>Piso</v>
      </c>
      <c r="E576" s="25" t="str">
        <f ca="1">+'Maestro infraestructura'!K575</f>
        <v>Activo</v>
      </c>
      <c r="F576" s="1" t="str">
        <f ca="1">+'Maestro infraestructura'!V575</f>
        <v>AL DÍA</v>
      </c>
      <c r="G576" s="1" t="str">
        <f>+'Maestro infraestructura'!X575</f>
        <v>GENERAL</v>
      </c>
      <c r="H576" s="1">
        <f>+'Maestro infraestructura'!Y575</f>
        <v>2</v>
      </c>
      <c r="I576" s="1"/>
      <c r="J576" s="6">
        <f>+'Maestro infraestructura'!T575</f>
        <v>46563</v>
      </c>
      <c r="K576" s="6">
        <f t="shared" ca="1" si="28"/>
        <v>46563</v>
      </c>
      <c r="L576" s="6"/>
    </row>
    <row r="577" spans="1:12" x14ac:dyDescent="0.2">
      <c r="A577" s="1" t="str">
        <f>+'Maestro infraestructura'!A576</f>
        <v>EDIFICIO PRINCIPAL</v>
      </c>
      <c r="B577" s="1" t="str">
        <f>+'Maestro infraestructura'!B576</f>
        <v>3° Piso</v>
      </c>
      <c r="C577" s="1" t="str">
        <f>+'Maestro infraestructura'!C576</f>
        <v>BIO1</v>
      </c>
      <c r="D577" s="1" t="str">
        <f>+'Maestro infraestructura'!F576</f>
        <v>Enchufes</v>
      </c>
      <c r="E577" s="25" t="str">
        <f ca="1">+'Maestro infraestructura'!K576</f>
        <v>Activo</v>
      </c>
      <c r="F577" s="1" t="str">
        <f ca="1">+'Maestro infraestructura'!V576</f>
        <v>AL DÍA</v>
      </c>
      <c r="G577" s="1" t="str">
        <f>+'Maestro infraestructura'!X576</f>
        <v>GENERAL</v>
      </c>
      <c r="H577" s="1">
        <f>+'Maestro infraestructura'!Y576</f>
        <v>2</v>
      </c>
      <c r="I577" s="1"/>
      <c r="J577" s="6">
        <f>+'Maestro infraestructura'!T576</f>
        <v>46563</v>
      </c>
      <c r="K577" s="6">
        <f t="shared" ca="1" si="28"/>
        <v>46563</v>
      </c>
      <c r="L577" s="6"/>
    </row>
    <row r="578" spans="1:12" x14ac:dyDescent="0.2">
      <c r="A578" s="1" t="str">
        <f>+'Maestro infraestructura'!A577</f>
        <v>EDIFICIO PRINCIPAL</v>
      </c>
      <c r="B578" s="1" t="str">
        <f>+'Maestro infraestructura'!B577</f>
        <v>3° Piso</v>
      </c>
      <c r="C578" s="1" t="str">
        <f>+'Maestro infraestructura'!C577</f>
        <v>BIO1</v>
      </c>
      <c r="D578" s="1" t="str">
        <f>+'Maestro infraestructura'!F577</f>
        <v>Puertas</v>
      </c>
      <c r="E578" s="25" t="str">
        <f ca="1">+'Maestro infraestructura'!K577</f>
        <v>Activo</v>
      </c>
      <c r="F578" s="1" t="str">
        <f ca="1">+'Maestro infraestructura'!V577</f>
        <v>AL DÍA</v>
      </c>
      <c r="G578" s="1" t="str">
        <f>+'Maestro infraestructura'!X577</f>
        <v>GENERAL</v>
      </c>
      <c r="H578" s="1">
        <f>+'Maestro infraestructura'!Y577</f>
        <v>2</v>
      </c>
      <c r="I578" s="1"/>
      <c r="J578" s="6">
        <f>+'Maestro infraestructura'!T577</f>
        <v>46563</v>
      </c>
      <c r="K578" s="6">
        <f t="shared" ca="1" si="28"/>
        <v>46563</v>
      </c>
      <c r="L578" s="6"/>
    </row>
    <row r="579" spans="1:12" x14ac:dyDescent="0.2">
      <c r="A579" s="1" t="str">
        <f>+'Maestro infraestructura'!A578</f>
        <v>EDIFICIO PRINCIPAL</v>
      </c>
      <c r="B579" s="1" t="str">
        <f>+'Maestro infraestructura'!B578</f>
        <v>3° Piso</v>
      </c>
      <c r="C579" s="1" t="str">
        <f>+'Maestro infraestructura'!C578</f>
        <v>BIO2</v>
      </c>
      <c r="D579" s="1" t="str">
        <f>+'Maestro infraestructura'!F578</f>
        <v>Ventanas</v>
      </c>
      <c r="E579" s="25" t="str">
        <f ca="1">+'Maestro infraestructura'!K578</f>
        <v>Activo</v>
      </c>
      <c r="F579" s="1" t="str">
        <f ca="1">+'Maestro infraestructura'!V578</f>
        <v>AL DÍA</v>
      </c>
      <c r="G579" s="1" t="str">
        <f>+'Maestro infraestructura'!X578</f>
        <v>OPERACIÓN</v>
      </c>
      <c r="H579" s="1">
        <f>+'Maestro infraestructura'!Y578</f>
        <v>2</v>
      </c>
      <c r="I579" s="1"/>
      <c r="J579" s="6">
        <f>+'Maestro infraestructura'!T578</f>
        <v>46563</v>
      </c>
      <c r="K579" s="6">
        <f t="shared" ca="1" si="28"/>
        <v>46563</v>
      </c>
      <c r="L579" s="6"/>
    </row>
    <row r="580" spans="1:12" x14ac:dyDescent="0.2">
      <c r="A580" s="1" t="str">
        <f>+'Maestro infraestructura'!A579</f>
        <v>EDIFICIO PRINCIPAL</v>
      </c>
      <c r="B580" s="1" t="str">
        <f>+'Maestro infraestructura'!B579</f>
        <v>3° Piso</v>
      </c>
      <c r="C580" s="1" t="str">
        <f>+'Maestro infraestructura'!C579</f>
        <v>BIO2</v>
      </c>
      <c r="D580" s="1" t="str">
        <f>+'Maestro infraestructura'!F579</f>
        <v>Piso</v>
      </c>
      <c r="E580" s="25" t="str">
        <f ca="1">+'Maestro infraestructura'!K579</f>
        <v>Activo</v>
      </c>
      <c r="F580" s="1" t="str">
        <f ca="1">+'Maestro infraestructura'!V579</f>
        <v>AL DÍA</v>
      </c>
      <c r="G580" s="1" t="str">
        <f>+'Maestro infraestructura'!X579</f>
        <v>GENERAL</v>
      </c>
      <c r="H580" s="1">
        <f>+'Maestro infraestructura'!Y579</f>
        <v>2</v>
      </c>
      <c r="I580" s="1"/>
      <c r="J580" s="6">
        <f>+'Maestro infraestructura'!T579</f>
        <v>46563</v>
      </c>
      <c r="K580" s="6">
        <f t="shared" ref="K580:K643" ca="1" si="29">IF(E580="Cambiar o Inspección externa",1/1/2027,IF(E580="cambiar",1/1/2027,J580))</f>
        <v>46563</v>
      </c>
      <c r="L580" s="6"/>
    </row>
    <row r="581" spans="1:12" x14ac:dyDescent="0.2">
      <c r="A581" s="1" t="str">
        <f>+'Maestro infraestructura'!A580</f>
        <v>EDIFICIO PRINCIPAL</v>
      </c>
      <c r="B581" s="1" t="str">
        <f>+'Maestro infraestructura'!B580</f>
        <v>3° Piso</v>
      </c>
      <c r="C581" s="1" t="str">
        <f>+'Maestro infraestructura'!C580</f>
        <v>BIO2</v>
      </c>
      <c r="D581" s="1" t="str">
        <f>+'Maestro infraestructura'!F580</f>
        <v>Enchufes</v>
      </c>
      <c r="E581" s="25" t="str">
        <f ca="1">+'Maestro infraestructura'!K580</f>
        <v>Activo</v>
      </c>
      <c r="F581" s="1" t="str">
        <f ca="1">+'Maestro infraestructura'!V580</f>
        <v>AL DÍA</v>
      </c>
      <c r="G581" s="1" t="str">
        <f>+'Maestro infraestructura'!X580</f>
        <v>GENERAL</v>
      </c>
      <c r="H581" s="1">
        <f>+'Maestro infraestructura'!Y580</f>
        <v>2</v>
      </c>
      <c r="I581" s="1"/>
      <c r="J581" s="6">
        <f>+'Maestro infraestructura'!T580</f>
        <v>46563</v>
      </c>
      <c r="K581" s="6">
        <f t="shared" ca="1" si="29"/>
        <v>46563</v>
      </c>
      <c r="L581" s="6"/>
    </row>
    <row r="582" spans="1:12" x14ac:dyDescent="0.2">
      <c r="A582" s="1" t="str">
        <f>+'Maestro infraestructura'!A581</f>
        <v>EDIFICIO PRINCIPAL</v>
      </c>
      <c r="B582" s="1" t="str">
        <f>+'Maestro infraestructura'!B581</f>
        <v>3° Piso</v>
      </c>
      <c r="C582" s="1" t="str">
        <f>+'Maestro infraestructura'!C581</f>
        <v>BIO2</v>
      </c>
      <c r="D582" s="1" t="str">
        <f>+'Maestro infraestructura'!F581</f>
        <v>Puertas</v>
      </c>
      <c r="E582" s="25" t="str">
        <f ca="1">+'Maestro infraestructura'!K581</f>
        <v>Activo</v>
      </c>
      <c r="F582" s="1" t="str">
        <f ca="1">+'Maestro infraestructura'!V581</f>
        <v>AL DÍA</v>
      </c>
      <c r="G582" s="1" t="str">
        <f>+'Maestro infraestructura'!X581</f>
        <v>GENERAL</v>
      </c>
      <c r="H582" s="1">
        <f>+'Maestro infraestructura'!Y581</f>
        <v>2</v>
      </c>
      <c r="I582" s="1"/>
      <c r="J582" s="6">
        <f>+'Maestro infraestructura'!T581</f>
        <v>46563</v>
      </c>
      <c r="K582" s="6">
        <f t="shared" ca="1" si="29"/>
        <v>46563</v>
      </c>
      <c r="L582" s="6"/>
    </row>
    <row r="583" spans="1:12" x14ac:dyDescent="0.2">
      <c r="A583" s="1" t="str">
        <f>+'Maestro infraestructura'!A582</f>
        <v>EDIFICIO PRINCIPAL</v>
      </c>
      <c r="B583" s="1" t="str">
        <f>+'Maestro infraestructura'!B582</f>
        <v>3° Piso</v>
      </c>
      <c r="C583" s="1" t="str">
        <f>+'Maestro infraestructura'!C582</f>
        <v>QUIM1</v>
      </c>
      <c r="D583" s="1" t="str">
        <f>+'Maestro infraestructura'!F582</f>
        <v>Ventanas</v>
      </c>
      <c r="E583" s="25" t="str">
        <f ca="1">+'Maestro infraestructura'!K582</f>
        <v>Activo</v>
      </c>
      <c r="F583" s="1" t="str">
        <f ca="1">+'Maestro infraestructura'!V582</f>
        <v>AL DÍA</v>
      </c>
      <c r="G583" s="1" t="str">
        <f>+'Maestro infraestructura'!X582</f>
        <v>OPERACIÓN</v>
      </c>
      <c r="H583" s="1">
        <f>+'Maestro infraestructura'!Y582</f>
        <v>2</v>
      </c>
      <c r="I583" s="1"/>
      <c r="J583" s="6">
        <f>+'Maestro infraestructura'!T582</f>
        <v>46563</v>
      </c>
      <c r="K583" s="6">
        <f t="shared" ca="1" si="29"/>
        <v>46563</v>
      </c>
      <c r="L583" s="6"/>
    </row>
    <row r="584" spans="1:12" x14ac:dyDescent="0.2">
      <c r="A584" s="1" t="str">
        <f>+'Maestro infraestructura'!A583</f>
        <v>EDIFICIO PRINCIPAL</v>
      </c>
      <c r="B584" s="1" t="str">
        <f>+'Maestro infraestructura'!B583</f>
        <v>3° Piso</v>
      </c>
      <c r="C584" s="1" t="str">
        <f>+'Maestro infraestructura'!C583</f>
        <v>QUIM1</v>
      </c>
      <c r="D584" s="1" t="str">
        <f>+'Maestro infraestructura'!F583</f>
        <v>Piso</v>
      </c>
      <c r="E584" s="25" t="str">
        <f ca="1">+'Maestro infraestructura'!K583</f>
        <v>Activo</v>
      </c>
      <c r="F584" s="1" t="str">
        <f ca="1">+'Maestro infraestructura'!V583</f>
        <v>AL DÍA</v>
      </c>
      <c r="G584" s="1" t="str">
        <f>+'Maestro infraestructura'!X583</f>
        <v>GENERAL</v>
      </c>
      <c r="H584" s="1">
        <f>+'Maestro infraestructura'!Y583</f>
        <v>2</v>
      </c>
      <c r="I584" s="1"/>
      <c r="J584" s="6">
        <f>+'Maestro infraestructura'!T583</f>
        <v>46563</v>
      </c>
      <c r="K584" s="6">
        <f t="shared" ca="1" si="29"/>
        <v>46563</v>
      </c>
      <c r="L584" s="6"/>
    </row>
    <row r="585" spans="1:12" x14ac:dyDescent="0.2">
      <c r="A585" s="1" t="str">
        <f>+'Maestro infraestructura'!A584</f>
        <v>EDIFICIO PRINCIPAL</v>
      </c>
      <c r="B585" s="1" t="str">
        <f>+'Maestro infraestructura'!B584</f>
        <v>3° Piso</v>
      </c>
      <c r="C585" s="1" t="str">
        <f>+'Maestro infraestructura'!C584</f>
        <v>QUIM1</v>
      </c>
      <c r="D585" s="1" t="str">
        <f>+'Maestro infraestructura'!F584</f>
        <v>Enchufes</v>
      </c>
      <c r="E585" s="25" t="str">
        <f ca="1">+'Maestro infraestructura'!K584</f>
        <v>Activo</v>
      </c>
      <c r="F585" s="1" t="str">
        <f ca="1">+'Maestro infraestructura'!V584</f>
        <v>AL DÍA</v>
      </c>
      <c r="G585" s="1" t="str">
        <f>+'Maestro infraestructura'!X584</f>
        <v>GENERAL</v>
      </c>
      <c r="H585" s="1">
        <f>+'Maestro infraestructura'!Y584</f>
        <v>2</v>
      </c>
      <c r="I585" s="1"/>
      <c r="J585" s="6">
        <f>+'Maestro infraestructura'!T584</f>
        <v>46563</v>
      </c>
      <c r="K585" s="6">
        <f t="shared" ca="1" si="29"/>
        <v>46563</v>
      </c>
      <c r="L585" s="6"/>
    </row>
    <row r="586" spans="1:12" x14ac:dyDescent="0.2">
      <c r="A586" s="1" t="str">
        <f>+'Maestro infraestructura'!A585</f>
        <v>EDIFICIO PRINCIPAL</v>
      </c>
      <c r="B586" s="1" t="str">
        <f>+'Maestro infraestructura'!B585</f>
        <v>3° Piso</v>
      </c>
      <c r="C586" s="1" t="str">
        <f>+'Maestro infraestructura'!C585</f>
        <v>QUIM1</v>
      </c>
      <c r="D586" s="1" t="str">
        <f>+'Maestro infraestructura'!F585</f>
        <v>Puertas</v>
      </c>
      <c r="E586" s="25" t="str">
        <f ca="1">+'Maestro infraestructura'!K585</f>
        <v>Activo</v>
      </c>
      <c r="F586" s="1" t="str">
        <f ca="1">+'Maestro infraestructura'!V585</f>
        <v>AL DÍA</v>
      </c>
      <c r="G586" s="1" t="str">
        <f>+'Maestro infraestructura'!X585</f>
        <v>GENERAL</v>
      </c>
      <c r="H586" s="1">
        <f>+'Maestro infraestructura'!Y585</f>
        <v>2</v>
      </c>
      <c r="I586" s="1"/>
      <c r="J586" s="6">
        <f>+'Maestro infraestructura'!T585</f>
        <v>46563</v>
      </c>
      <c r="K586" s="6">
        <f t="shared" ca="1" si="29"/>
        <v>46563</v>
      </c>
      <c r="L586" s="6"/>
    </row>
    <row r="587" spans="1:12" x14ac:dyDescent="0.2">
      <c r="A587" s="1" t="str">
        <f>+'Maestro infraestructura'!A586</f>
        <v>EDIFICIO PRINCIPAL</v>
      </c>
      <c r="B587" s="1" t="str">
        <f>+'Maestro infraestructura'!B586</f>
        <v>3° Piso</v>
      </c>
      <c r="C587" s="1" t="str">
        <f>+'Maestro infraestructura'!C586</f>
        <v>QUIM2</v>
      </c>
      <c r="D587" s="1" t="str">
        <f>+'Maestro infraestructura'!F586</f>
        <v>Ventanas</v>
      </c>
      <c r="E587" s="25" t="str">
        <f ca="1">+'Maestro infraestructura'!K586</f>
        <v>Activo</v>
      </c>
      <c r="F587" s="1" t="str">
        <f ca="1">+'Maestro infraestructura'!V586</f>
        <v>AL DÍA</v>
      </c>
      <c r="G587" s="1" t="str">
        <f>+'Maestro infraestructura'!X586</f>
        <v>OPERACIÓN</v>
      </c>
      <c r="H587" s="1">
        <f>+'Maestro infraestructura'!Y586</f>
        <v>2</v>
      </c>
      <c r="I587" s="1"/>
      <c r="J587" s="6">
        <f>+'Maestro infraestructura'!T586</f>
        <v>46563</v>
      </c>
      <c r="K587" s="6">
        <f t="shared" ca="1" si="29"/>
        <v>46563</v>
      </c>
      <c r="L587" s="6"/>
    </row>
    <row r="588" spans="1:12" x14ac:dyDescent="0.2">
      <c r="A588" s="1" t="str">
        <f>+'Maestro infraestructura'!A587</f>
        <v>EDIFICIO PRINCIPAL</v>
      </c>
      <c r="B588" s="1" t="str">
        <f>+'Maestro infraestructura'!B587</f>
        <v>3° Piso</v>
      </c>
      <c r="C588" s="1" t="str">
        <f>+'Maestro infraestructura'!C587</f>
        <v>QUIM2</v>
      </c>
      <c r="D588" s="1" t="str">
        <f>+'Maestro infraestructura'!F587</f>
        <v>Piso</v>
      </c>
      <c r="E588" s="25" t="str">
        <f ca="1">+'Maestro infraestructura'!K587</f>
        <v>Activo</v>
      </c>
      <c r="F588" s="1" t="str">
        <f ca="1">+'Maestro infraestructura'!V587</f>
        <v>AL DÍA</v>
      </c>
      <c r="G588" s="1" t="str">
        <f>+'Maestro infraestructura'!X587</f>
        <v>GENERAL</v>
      </c>
      <c r="H588" s="1">
        <f>+'Maestro infraestructura'!Y587</f>
        <v>2</v>
      </c>
      <c r="I588" s="1"/>
      <c r="J588" s="6">
        <f>+'Maestro infraestructura'!T587</f>
        <v>46563</v>
      </c>
      <c r="K588" s="6">
        <f t="shared" ca="1" si="29"/>
        <v>46563</v>
      </c>
      <c r="L588" s="6"/>
    </row>
    <row r="589" spans="1:12" x14ac:dyDescent="0.2">
      <c r="A589" s="1" t="str">
        <f>+'Maestro infraestructura'!A588</f>
        <v>EDIFICIO PRINCIPAL</v>
      </c>
      <c r="B589" s="1" t="str">
        <f>+'Maestro infraestructura'!B588</f>
        <v>3° Piso</v>
      </c>
      <c r="C589" s="1" t="str">
        <f>+'Maestro infraestructura'!C588</f>
        <v>QUIM2</v>
      </c>
      <c r="D589" s="1" t="str">
        <f>+'Maestro infraestructura'!F588</f>
        <v>Enchufes</v>
      </c>
      <c r="E589" s="25" t="str">
        <f ca="1">+'Maestro infraestructura'!K588</f>
        <v>Activo</v>
      </c>
      <c r="F589" s="1" t="str">
        <f ca="1">+'Maestro infraestructura'!V588</f>
        <v>AL DÍA</v>
      </c>
      <c r="G589" s="1" t="str">
        <f>+'Maestro infraestructura'!X588</f>
        <v>GENERAL</v>
      </c>
      <c r="H589" s="1">
        <f>+'Maestro infraestructura'!Y588</f>
        <v>2</v>
      </c>
      <c r="I589" s="1"/>
      <c r="J589" s="6">
        <f>+'Maestro infraestructura'!T588</f>
        <v>46563</v>
      </c>
      <c r="K589" s="6">
        <f t="shared" ca="1" si="29"/>
        <v>46563</v>
      </c>
      <c r="L589" s="6"/>
    </row>
    <row r="590" spans="1:12" x14ac:dyDescent="0.2">
      <c r="A590" s="1" t="str">
        <f>+'Maestro infraestructura'!A589</f>
        <v>EDIFICIO PRINCIPAL</v>
      </c>
      <c r="B590" s="1" t="str">
        <f>+'Maestro infraestructura'!B589</f>
        <v>3° Piso</v>
      </c>
      <c r="C590" s="1" t="str">
        <f>+'Maestro infraestructura'!C589</f>
        <v>QUIM2</v>
      </c>
      <c r="D590" s="1" t="str">
        <f>+'Maestro infraestructura'!F589</f>
        <v>Puertas</v>
      </c>
      <c r="E590" s="25" t="str">
        <f ca="1">+'Maestro infraestructura'!K589</f>
        <v>Activo</v>
      </c>
      <c r="F590" s="1" t="str">
        <f ca="1">+'Maestro infraestructura'!V589</f>
        <v>AL DÍA</v>
      </c>
      <c r="G590" s="1" t="str">
        <f>+'Maestro infraestructura'!X589</f>
        <v>GENERAL</v>
      </c>
      <c r="H590" s="1">
        <f>+'Maestro infraestructura'!Y589</f>
        <v>2</v>
      </c>
      <c r="I590" s="1"/>
      <c r="J590" s="6">
        <f>+'Maestro infraestructura'!T589</f>
        <v>46563</v>
      </c>
      <c r="K590" s="6">
        <f t="shared" ca="1" si="29"/>
        <v>46563</v>
      </c>
      <c r="L590" s="6"/>
    </row>
    <row r="591" spans="1:12" x14ac:dyDescent="0.2">
      <c r="A591" s="1" t="str">
        <f>+'Maestro infraestructura'!A590</f>
        <v>EDIFICIO PRINCIPAL</v>
      </c>
      <c r="B591" s="1" t="str">
        <f>+'Maestro infraestructura'!B590</f>
        <v>3° Piso</v>
      </c>
      <c r="C591" s="1" t="str">
        <f>+'Maestro infraestructura'!C590</f>
        <v>FIS1</v>
      </c>
      <c r="D591" s="1" t="str">
        <f>+'Maestro infraestructura'!F590</f>
        <v>Ventanas</v>
      </c>
      <c r="E591" s="25" t="str">
        <f ca="1">+'Maestro infraestructura'!K590</f>
        <v>Activo</v>
      </c>
      <c r="F591" s="1" t="str">
        <f ca="1">+'Maestro infraestructura'!V590</f>
        <v>AL DÍA</v>
      </c>
      <c r="G591" s="1" t="str">
        <f>+'Maestro infraestructura'!X590</f>
        <v>OPERACIÓN</v>
      </c>
      <c r="H591" s="1">
        <f>+'Maestro infraestructura'!Y590</f>
        <v>2</v>
      </c>
      <c r="I591" s="1"/>
      <c r="J591" s="6">
        <f>+'Maestro infraestructura'!T590</f>
        <v>46563</v>
      </c>
      <c r="K591" s="6">
        <f t="shared" ca="1" si="29"/>
        <v>46563</v>
      </c>
      <c r="L591" s="6"/>
    </row>
    <row r="592" spans="1:12" x14ac:dyDescent="0.2">
      <c r="A592" s="1" t="str">
        <f>+'Maestro infraestructura'!A591</f>
        <v>EDIFICIO PRINCIPAL</v>
      </c>
      <c r="B592" s="1" t="str">
        <f>+'Maestro infraestructura'!B591</f>
        <v>3° Piso</v>
      </c>
      <c r="C592" s="1" t="str">
        <f>+'Maestro infraestructura'!C591</f>
        <v>FIS1</v>
      </c>
      <c r="D592" s="1" t="str">
        <f>+'Maestro infraestructura'!F591</f>
        <v>Piso</v>
      </c>
      <c r="E592" s="25" t="str">
        <f ca="1">+'Maestro infraestructura'!K591</f>
        <v>Activo</v>
      </c>
      <c r="F592" s="1" t="str">
        <f ca="1">+'Maestro infraestructura'!V591</f>
        <v>AL DÍA</v>
      </c>
      <c r="G592" s="1" t="str">
        <f>+'Maestro infraestructura'!X591</f>
        <v>GENERAL</v>
      </c>
      <c r="H592" s="1">
        <f>+'Maestro infraestructura'!Y591</f>
        <v>2</v>
      </c>
      <c r="I592" s="1"/>
      <c r="J592" s="6">
        <f>+'Maestro infraestructura'!T591</f>
        <v>46563</v>
      </c>
      <c r="K592" s="6">
        <f t="shared" ca="1" si="29"/>
        <v>46563</v>
      </c>
      <c r="L592" s="6"/>
    </row>
    <row r="593" spans="1:12" x14ac:dyDescent="0.2">
      <c r="A593" s="1" t="str">
        <f>+'Maestro infraestructura'!A592</f>
        <v>EDIFICIO PRINCIPAL</v>
      </c>
      <c r="B593" s="1" t="str">
        <f>+'Maestro infraestructura'!B592</f>
        <v>3° Piso</v>
      </c>
      <c r="C593" s="1" t="str">
        <f>+'Maestro infraestructura'!C592</f>
        <v>FIS1</v>
      </c>
      <c r="D593" s="1" t="str">
        <f>+'Maestro infraestructura'!F592</f>
        <v>Enchufes</v>
      </c>
      <c r="E593" s="25" t="str">
        <f ca="1">+'Maestro infraestructura'!K592</f>
        <v>Activo</v>
      </c>
      <c r="F593" s="1" t="str">
        <f ca="1">+'Maestro infraestructura'!V592</f>
        <v>AL DÍA</v>
      </c>
      <c r="G593" s="1" t="str">
        <f>+'Maestro infraestructura'!X592</f>
        <v>GENERAL</v>
      </c>
      <c r="H593" s="1">
        <f>+'Maestro infraestructura'!Y592</f>
        <v>2</v>
      </c>
      <c r="I593" s="1"/>
      <c r="J593" s="6">
        <f>+'Maestro infraestructura'!T592</f>
        <v>46563</v>
      </c>
      <c r="K593" s="6">
        <f t="shared" ca="1" si="29"/>
        <v>46563</v>
      </c>
      <c r="L593" s="6"/>
    </row>
    <row r="594" spans="1:12" x14ac:dyDescent="0.2">
      <c r="A594" s="1" t="str">
        <f>+'Maestro infraestructura'!A593</f>
        <v>EDIFICIO PRINCIPAL</v>
      </c>
      <c r="B594" s="1" t="str">
        <f>+'Maestro infraestructura'!B593</f>
        <v>3° Piso</v>
      </c>
      <c r="C594" s="1" t="str">
        <f>+'Maestro infraestructura'!C593</f>
        <v>FIS1</v>
      </c>
      <c r="D594" s="1" t="str">
        <f>+'Maestro infraestructura'!F593</f>
        <v>Puertas</v>
      </c>
      <c r="E594" s="25" t="str">
        <f ca="1">+'Maestro infraestructura'!K593</f>
        <v>Activo</v>
      </c>
      <c r="F594" s="1" t="str">
        <f ca="1">+'Maestro infraestructura'!V593</f>
        <v>AL DÍA</v>
      </c>
      <c r="G594" s="1" t="str">
        <f>+'Maestro infraestructura'!X593</f>
        <v>GENERAL</v>
      </c>
      <c r="H594" s="1">
        <f>+'Maestro infraestructura'!Y593</f>
        <v>2</v>
      </c>
      <c r="I594" s="1"/>
      <c r="J594" s="6">
        <f>+'Maestro infraestructura'!T593</f>
        <v>46563</v>
      </c>
      <c r="K594" s="6">
        <f t="shared" ca="1" si="29"/>
        <v>46563</v>
      </c>
      <c r="L594" s="6"/>
    </row>
    <row r="595" spans="1:12" x14ac:dyDescent="0.2">
      <c r="A595" s="1" t="str">
        <f>+'Maestro infraestructura'!A594</f>
        <v>EDIFICIO PRINCIPAL</v>
      </c>
      <c r="B595" s="1" t="str">
        <f>+'Maestro infraestructura'!B594</f>
        <v>3° Piso</v>
      </c>
      <c r="C595" s="1" t="str">
        <f>+'Maestro infraestructura'!C594</f>
        <v>FIS2</v>
      </c>
      <c r="D595" s="1" t="str">
        <f>+'Maestro infraestructura'!F594</f>
        <v>Ventanas</v>
      </c>
      <c r="E595" s="25" t="str">
        <f ca="1">+'Maestro infraestructura'!K594</f>
        <v>Activo</v>
      </c>
      <c r="F595" s="1" t="str">
        <f ca="1">+'Maestro infraestructura'!V594</f>
        <v>AL DÍA</v>
      </c>
      <c r="G595" s="1" t="str">
        <f>+'Maestro infraestructura'!X594</f>
        <v>OPERACIÓN</v>
      </c>
      <c r="H595" s="1">
        <f>+'Maestro infraestructura'!Y594</f>
        <v>2</v>
      </c>
      <c r="I595" s="1"/>
      <c r="J595" s="6">
        <f>+'Maestro infraestructura'!T594</f>
        <v>46563</v>
      </c>
      <c r="K595" s="6">
        <f t="shared" ca="1" si="29"/>
        <v>46563</v>
      </c>
      <c r="L595" s="6"/>
    </row>
    <row r="596" spans="1:12" x14ac:dyDescent="0.2">
      <c r="A596" s="1" t="str">
        <f>+'Maestro infraestructura'!A595</f>
        <v>EDIFICIO PRINCIPAL</v>
      </c>
      <c r="B596" s="1" t="str">
        <f>+'Maestro infraestructura'!B595</f>
        <v>5° Piso</v>
      </c>
      <c r="C596" s="1">
        <f>+'Maestro infraestructura'!C595</f>
        <v>501</v>
      </c>
      <c r="D596" s="1" t="str">
        <f>+'Maestro infraestructura'!F595</f>
        <v>Sillas alumnos</v>
      </c>
      <c r="E596" s="25" t="str">
        <f ca="1">+'Maestro infraestructura'!K595</f>
        <v>Activo</v>
      </c>
      <c r="F596" s="1" t="str">
        <f ca="1">+'Maestro infraestructura'!V595</f>
        <v>AL DÍA</v>
      </c>
      <c r="G596" s="1" t="str">
        <f>+'Maestro infraestructura'!X595</f>
        <v>OPERACIÓN</v>
      </c>
      <c r="H596" s="1">
        <f>+'Maestro infraestructura'!Y595</f>
        <v>2</v>
      </c>
      <c r="I596" s="1"/>
      <c r="J596" s="6">
        <f>+'Maestro infraestructura'!T595</f>
        <v>46378</v>
      </c>
      <c r="K596" s="6">
        <f t="shared" ca="1" si="29"/>
        <v>46378</v>
      </c>
      <c r="L596" s="6"/>
    </row>
    <row r="597" spans="1:12" x14ac:dyDescent="0.2">
      <c r="A597" s="1" t="str">
        <f>+'Maestro infraestructura'!A596</f>
        <v>EDIFICIO PRINCIPAL</v>
      </c>
      <c r="B597" s="1" t="str">
        <f>+'Maestro infraestructura'!B596</f>
        <v>5° Piso</v>
      </c>
      <c r="C597" s="1">
        <f>+'Maestro infraestructura'!C596</f>
        <v>502</v>
      </c>
      <c r="D597" s="1" t="str">
        <f>+'Maestro infraestructura'!F596</f>
        <v>Sillas alumnos</v>
      </c>
      <c r="E597" s="25" t="str">
        <f ca="1">+'Maestro infraestructura'!K596</f>
        <v>Activo</v>
      </c>
      <c r="F597" s="1" t="str">
        <f ca="1">+'Maestro infraestructura'!V596</f>
        <v>AL DÍA</v>
      </c>
      <c r="G597" s="1" t="str">
        <f>+'Maestro infraestructura'!X596</f>
        <v>OPERACIÓN</v>
      </c>
      <c r="H597" s="1">
        <f>+'Maestro infraestructura'!Y596</f>
        <v>2</v>
      </c>
      <c r="I597" s="1"/>
      <c r="J597" s="6">
        <f>+'Maestro infraestructura'!T596</f>
        <v>46378</v>
      </c>
      <c r="K597" s="6">
        <f t="shared" ca="1" si="29"/>
        <v>46378</v>
      </c>
      <c r="L597" s="6"/>
    </row>
    <row r="598" spans="1:12" x14ac:dyDescent="0.2">
      <c r="A598" s="1" t="str">
        <f>+'Maestro infraestructura'!A597</f>
        <v>EDIFICIO PRINCIPAL</v>
      </c>
      <c r="B598" s="1" t="str">
        <f>+'Maestro infraestructura'!B597</f>
        <v>5° Piso</v>
      </c>
      <c r="C598" s="1">
        <f>+'Maestro infraestructura'!C597</f>
        <v>503</v>
      </c>
      <c r="D598" s="1" t="str">
        <f>+'Maestro infraestructura'!F597</f>
        <v>Sillas alumnos</v>
      </c>
      <c r="E598" s="25" t="str">
        <f ca="1">+'Maestro infraestructura'!K597</f>
        <v>Activo</v>
      </c>
      <c r="F598" s="1" t="str">
        <f ca="1">+'Maestro infraestructura'!V597</f>
        <v>AL DÍA</v>
      </c>
      <c r="G598" s="1" t="str">
        <f>+'Maestro infraestructura'!X597</f>
        <v>OPERACIÓN</v>
      </c>
      <c r="H598" s="1">
        <f>+'Maestro infraestructura'!Y597</f>
        <v>2</v>
      </c>
      <c r="I598" s="1"/>
      <c r="J598" s="6">
        <f>+'Maestro infraestructura'!T597</f>
        <v>46378</v>
      </c>
      <c r="K598" s="6">
        <f t="shared" ca="1" si="29"/>
        <v>46378</v>
      </c>
      <c r="L598" s="6"/>
    </row>
    <row r="599" spans="1:12" x14ac:dyDescent="0.2">
      <c r="A599" s="1" t="str">
        <f>+'Maestro infraestructura'!A598</f>
        <v>EDIFICIO PRINCIPAL</v>
      </c>
      <c r="B599" s="1" t="str">
        <f>+'Maestro infraestructura'!B598</f>
        <v>5° Piso</v>
      </c>
      <c r="C599" s="1">
        <f>+'Maestro infraestructura'!C598</f>
        <v>504</v>
      </c>
      <c r="D599" s="1" t="str">
        <f>+'Maestro infraestructura'!F598</f>
        <v>Sillas alumnos</v>
      </c>
      <c r="E599" s="25" t="str">
        <f ca="1">+'Maestro infraestructura'!K598</f>
        <v>Activo</v>
      </c>
      <c r="F599" s="1" t="str">
        <f ca="1">+'Maestro infraestructura'!V598</f>
        <v>AL DÍA</v>
      </c>
      <c r="G599" s="1" t="str">
        <f>+'Maestro infraestructura'!X598</f>
        <v>OPERACIÓN</v>
      </c>
      <c r="H599" s="1">
        <f>+'Maestro infraestructura'!Y598</f>
        <v>2</v>
      </c>
      <c r="I599" s="1"/>
      <c r="J599" s="6">
        <f>+'Maestro infraestructura'!T598</f>
        <v>46378</v>
      </c>
      <c r="K599" s="6">
        <f t="shared" ca="1" si="29"/>
        <v>46378</v>
      </c>
      <c r="L599" s="6"/>
    </row>
    <row r="600" spans="1:12" x14ac:dyDescent="0.2">
      <c r="A600" s="1" t="str">
        <f>+'Maestro infraestructura'!A599</f>
        <v>EDIFICIO PRINCIPAL</v>
      </c>
      <c r="B600" s="1" t="str">
        <f>+'Maestro infraestructura'!B599</f>
        <v>5° Piso</v>
      </c>
      <c r="C600" s="1">
        <f>+'Maestro infraestructura'!C599</f>
        <v>506</v>
      </c>
      <c r="D600" s="1" t="str">
        <f>+'Maestro infraestructura'!F599</f>
        <v>Sillas alumnos</v>
      </c>
      <c r="E600" s="25" t="str">
        <f ca="1">+'Maestro infraestructura'!K599</f>
        <v>Activo</v>
      </c>
      <c r="F600" s="1" t="str">
        <f ca="1">+'Maestro infraestructura'!V599</f>
        <v>AL DÍA</v>
      </c>
      <c r="G600" s="1" t="str">
        <f>+'Maestro infraestructura'!X599</f>
        <v>OPERACIÓN</v>
      </c>
      <c r="H600" s="1">
        <f>+'Maestro infraestructura'!Y599</f>
        <v>2</v>
      </c>
      <c r="I600" s="1"/>
      <c r="J600" s="6">
        <f>+'Maestro infraestructura'!T599</f>
        <v>46378</v>
      </c>
      <c r="K600" s="6">
        <f t="shared" ca="1" si="29"/>
        <v>46378</v>
      </c>
      <c r="L600" s="6"/>
    </row>
    <row r="601" spans="1:12" x14ac:dyDescent="0.2">
      <c r="A601" s="1" t="str">
        <f>+'Maestro infraestructura'!A600</f>
        <v>EDIFICIO PRINCIPAL</v>
      </c>
      <c r="B601" s="1" t="str">
        <f>+'Maestro infraestructura'!B600</f>
        <v>5° Piso</v>
      </c>
      <c r="C601" s="1">
        <f>+'Maestro infraestructura'!C600</f>
        <v>507</v>
      </c>
      <c r="D601" s="1" t="str">
        <f>+'Maestro infraestructura'!F600</f>
        <v>Sillas alumnos</v>
      </c>
      <c r="E601" s="25" t="str">
        <f ca="1">+'Maestro infraestructura'!K600</f>
        <v>Activo</v>
      </c>
      <c r="F601" s="1" t="str">
        <f ca="1">+'Maestro infraestructura'!V600</f>
        <v>AL DÍA</v>
      </c>
      <c r="G601" s="1" t="str">
        <f>+'Maestro infraestructura'!X600</f>
        <v>OPERACIÓN</v>
      </c>
      <c r="H601" s="1">
        <f>+'Maestro infraestructura'!Y600</f>
        <v>2</v>
      </c>
      <c r="I601" s="1"/>
      <c r="J601" s="6">
        <f>+'Maestro infraestructura'!T600</f>
        <v>46378</v>
      </c>
      <c r="K601" s="6">
        <f t="shared" ca="1" si="29"/>
        <v>46378</v>
      </c>
      <c r="L601" s="6"/>
    </row>
    <row r="602" spans="1:12" x14ac:dyDescent="0.2">
      <c r="A602" s="1" t="str">
        <f>+'Maestro infraestructura'!A601</f>
        <v>EDIFICIO PRINCIPAL</v>
      </c>
      <c r="B602" s="1" t="str">
        <f>+'Maestro infraestructura'!B601</f>
        <v>5° Piso</v>
      </c>
      <c r="C602" s="1">
        <f>+'Maestro infraestructura'!C601</f>
        <v>508</v>
      </c>
      <c r="D602" s="1" t="str">
        <f>+'Maestro infraestructura'!F601</f>
        <v>Sillas alumnos</v>
      </c>
      <c r="E602" s="25" t="str">
        <f ca="1">+'Maestro infraestructura'!K601</f>
        <v>Activo</v>
      </c>
      <c r="F602" s="1" t="str">
        <f ca="1">+'Maestro infraestructura'!V601</f>
        <v>AL DÍA</v>
      </c>
      <c r="G602" s="1" t="str">
        <f>+'Maestro infraestructura'!X601</f>
        <v>OPERACIÓN</v>
      </c>
      <c r="H602" s="1">
        <f>+'Maestro infraestructura'!Y601</f>
        <v>2</v>
      </c>
      <c r="I602" s="1"/>
      <c r="J602" s="6">
        <f>+'Maestro infraestructura'!T601</f>
        <v>46378</v>
      </c>
      <c r="K602" s="6">
        <f t="shared" ca="1" si="29"/>
        <v>46378</v>
      </c>
      <c r="L602" s="6"/>
    </row>
    <row r="603" spans="1:12" x14ac:dyDescent="0.2">
      <c r="A603" s="1" t="str">
        <f>+'Maestro infraestructura'!A602</f>
        <v>EDIFICIO PRINCIPAL</v>
      </c>
      <c r="B603" s="1" t="str">
        <f>+'Maestro infraestructura'!B602</f>
        <v>5° Piso</v>
      </c>
      <c r="C603" s="1">
        <f>+'Maestro infraestructura'!C602</f>
        <v>509</v>
      </c>
      <c r="D603" s="1" t="str">
        <f>+'Maestro infraestructura'!F602</f>
        <v>Sillas alumnos</v>
      </c>
      <c r="E603" s="25" t="str">
        <f ca="1">+'Maestro infraestructura'!K602</f>
        <v>Activo</v>
      </c>
      <c r="F603" s="1" t="str">
        <f ca="1">+'Maestro infraestructura'!V602</f>
        <v>AL DÍA</v>
      </c>
      <c r="G603" s="1" t="str">
        <f>+'Maestro infraestructura'!X602</f>
        <v>OPERACIÓN</v>
      </c>
      <c r="H603" s="1">
        <f>+'Maestro infraestructura'!Y602</f>
        <v>2</v>
      </c>
      <c r="I603" s="1"/>
      <c r="J603" s="6">
        <f>+'Maestro infraestructura'!T602</f>
        <v>46378</v>
      </c>
      <c r="K603" s="6">
        <f t="shared" ca="1" si="29"/>
        <v>46378</v>
      </c>
      <c r="L603" s="6"/>
    </row>
    <row r="604" spans="1:12" x14ac:dyDescent="0.2">
      <c r="A604" s="1" t="str">
        <f>+'Maestro infraestructura'!A603</f>
        <v>EDIFICIO PRINCIPAL</v>
      </c>
      <c r="B604" s="1" t="str">
        <f>+'Maestro infraestructura'!B603</f>
        <v>5° Piso</v>
      </c>
      <c r="C604" s="1">
        <f>+'Maestro infraestructura'!C603</f>
        <v>510</v>
      </c>
      <c r="D604" s="1" t="str">
        <f>+'Maestro infraestructura'!F603</f>
        <v>Sillas alumnos</v>
      </c>
      <c r="E604" s="25" t="str">
        <f ca="1">+'Maestro infraestructura'!K603</f>
        <v>Activo</v>
      </c>
      <c r="F604" s="1" t="str">
        <f ca="1">+'Maestro infraestructura'!V603</f>
        <v>AL DÍA</v>
      </c>
      <c r="G604" s="1" t="str">
        <f>+'Maestro infraestructura'!X603</f>
        <v>OPERACIÓN</v>
      </c>
      <c r="H604" s="1">
        <f>+'Maestro infraestructura'!Y603</f>
        <v>2</v>
      </c>
      <c r="I604" s="1"/>
      <c r="J604" s="6">
        <f>+'Maestro infraestructura'!T603</f>
        <v>46378</v>
      </c>
      <c r="K604" s="6">
        <f t="shared" ca="1" si="29"/>
        <v>46378</v>
      </c>
      <c r="L604" s="6"/>
    </row>
    <row r="605" spans="1:12" x14ac:dyDescent="0.2">
      <c r="A605" s="1" t="str">
        <f>+'Maestro infraestructura'!A604</f>
        <v>EDIFICIO PRINCIPAL</v>
      </c>
      <c r="B605" s="1" t="str">
        <f>+'Maestro infraestructura'!B604</f>
        <v>5° Piso</v>
      </c>
      <c r="C605" s="1">
        <f>+'Maestro infraestructura'!C604</f>
        <v>511</v>
      </c>
      <c r="D605" s="1" t="str">
        <f>+'Maestro infraestructura'!F604</f>
        <v>Sillas alumnos</v>
      </c>
      <c r="E605" s="25" t="str">
        <f ca="1">+'Maestro infraestructura'!K604</f>
        <v>Activo</v>
      </c>
      <c r="F605" s="1" t="str">
        <f ca="1">+'Maestro infraestructura'!V604</f>
        <v>AL DÍA</v>
      </c>
      <c r="G605" s="1" t="str">
        <f>+'Maestro infraestructura'!X604</f>
        <v>OPERACIÓN</v>
      </c>
      <c r="H605" s="1">
        <f>+'Maestro infraestructura'!Y604</f>
        <v>2</v>
      </c>
      <c r="I605" s="1"/>
      <c r="J605" s="6">
        <f>+'Maestro infraestructura'!T604</f>
        <v>46378</v>
      </c>
      <c r="K605" s="6">
        <f t="shared" ca="1" si="29"/>
        <v>46378</v>
      </c>
      <c r="L605" s="6"/>
    </row>
    <row r="606" spans="1:12" x14ac:dyDescent="0.2">
      <c r="A606" s="1" t="str">
        <f>+'Maestro infraestructura'!A605</f>
        <v>EDIFICIO PRINCIPAL</v>
      </c>
      <c r="B606" s="1" t="str">
        <f>+'Maestro infraestructura'!B605</f>
        <v>5° Piso</v>
      </c>
      <c r="C606" s="1">
        <f>+'Maestro infraestructura'!C605</f>
        <v>512</v>
      </c>
      <c r="D606" s="1" t="str">
        <f>+'Maestro infraestructura'!F605</f>
        <v>Sillas alumnos</v>
      </c>
      <c r="E606" s="25" t="str">
        <f ca="1">+'Maestro infraestructura'!K605</f>
        <v>Activo</v>
      </c>
      <c r="F606" s="1" t="str">
        <f ca="1">+'Maestro infraestructura'!V605</f>
        <v>AL DÍA</v>
      </c>
      <c r="G606" s="1" t="str">
        <f>+'Maestro infraestructura'!X605</f>
        <v>OPERACIÓN</v>
      </c>
      <c r="H606" s="1">
        <f>+'Maestro infraestructura'!Y605</f>
        <v>2</v>
      </c>
      <c r="I606" s="1"/>
      <c r="J606" s="6">
        <f>+'Maestro infraestructura'!T605</f>
        <v>46378</v>
      </c>
      <c r="K606" s="6">
        <f t="shared" ca="1" si="29"/>
        <v>46378</v>
      </c>
      <c r="L606" s="6"/>
    </row>
    <row r="607" spans="1:12" x14ac:dyDescent="0.2">
      <c r="A607" s="1" t="str">
        <f>+'Maestro infraestructura'!A606</f>
        <v>EDIFICIO PRINCIPAL</v>
      </c>
      <c r="B607" s="1" t="str">
        <f>+'Maestro infraestructura'!B606</f>
        <v>5° Piso</v>
      </c>
      <c r="C607" s="1">
        <f>+'Maestro infraestructura'!C606</f>
        <v>513</v>
      </c>
      <c r="D607" s="1" t="str">
        <f>+'Maestro infraestructura'!F606</f>
        <v>Sillas alumnos</v>
      </c>
      <c r="E607" s="25" t="str">
        <f ca="1">+'Maestro infraestructura'!K606</f>
        <v>Activo</v>
      </c>
      <c r="F607" s="1" t="str">
        <f ca="1">+'Maestro infraestructura'!V606</f>
        <v>AL DÍA</v>
      </c>
      <c r="G607" s="1" t="str">
        <f>+'Maestro infraestructura'!X606</f>
        <v>OPERACIÓN</v>
      </c>
      <c r="H607" s="1">
        <f>+'Maestro infraestructura'!Y606</f>
        <v>2</v>
      </c>
      <c r="I607" s="1"/>
      <c r="J607" s="6">
        <f>+'Maestro infraestructura'!T606</f>
        <v>46378</v>
      </c>
      <c r="K607" s="6">
        <f t="shared" ca="1" si="29"/>
        <v>46378</v>
      </c>
      <c r="L607" s="6"/>
    </row>
    <row r="608" spans="1:12" x14ac:dyDescent="0.2">
      <c r="A608" s="1" t="str">
        <f>+'Maestro infraestructura'!A607</f>
        <v>EDIFICIO PRINCIPAL</v>
      </c>
      <c r="B608" s="1" t="str">
        <f>+'Maestro infraestructura'!B607</f>
        <v>5° Piso</v>
      </c>
      <c r="C608" s="1">
        <f>+'Maestro infraestructura'!C607</f>
        <v>515</v>
      </c>
      <c r="D608" s="1" t="str">
        <f>+'Maestro infraestructura'!F607</f>
        <v>Sillas alumnos</v>
      </c>
      <c r="E608" s="25" t="str">
        <f ca="1">+'Maestro infraestructura'!K607</f>
        <v>Activo</v>
      </c>
      <c r="F608" s="1" t="str">
        <f ca="1">+'Maestro infraestructura'!V607</f>
        <v>AL DÍA</v>
      </c>
      <c r="G608" s="1" t="str">
        <f>+'Maestro infraestructura'!X607</f>
        <v>OPERACIÓN</v>
      </c>
      <c r="H608" s="1">
        <f>+'Maestro infraestructura'!Y607</f>
        <v>2</v>
      </c>
      <c r="I608" s="1"/>
      <c r="J608" s="6">
        <f>+'Maestro infraestructura'!T607</f>
        <v>46378</v>
      </c>
      <c r="K608" s="6">
        <f t="shared" ca="1" si="29"/>
        <v>46378</v>
      </c>
      <c r="L608" s="6"/>
    </row>
    <row r="609" spans="1:12" x14ac:dyDescent="0.2">
      <c r="A609" s="1" t="str">
        <f>+'Maestro infraestructura'!A608</f>
        <v>EDIFICIO PRINCIPAL</v>
      </c>
      <c r="B609" s="1" t="str">
        <f>+'Maestro infraestructura'!B608</f>
        <v>5° Piso</v>
      </c>
      <c r="C609" s="1">
        <f>+'Maestro infraestructura'!C608</f>
        <v>516</v>
      </c>
      <c r="D609" s="1" t="str">
        <f>+'Maestro infraestructura'!F608</f>
        <v>Sillas alumnos</v>
      </c>
      <c r="E609" s="25" t="str">
        <f ca="1">+'Maestro infraestructura'!K608</f>
        <v>Activo</v>
      </c>
      <c r="F609" s="1" t="str">
        <f ca="1">+'Maestro infraestructura'!V608</f>
        <v>AL DÍA</v>
      </c>
      <c r="G609" s="1" t="str">
        <f>+'Maestro infraestructura'!X608</f>
        <v>OPERACIÓN</v>
      </c>
      <c r="H609" s="1">
        <f>+'Maestro infraestructura'!Y608</f>
        <v>2</v>
      </c>
      <c r="I609" s="1"/>
      <c r="J609" s="6">
        <f>+'Maestro infraestructura'!T608</f>
        <v>46378</v>
      </c>
      <c r="K609" s="6">
        <f t="shared" ca="1" si="29"/>
        <v>46378</v>
      </c>
      <c r="L609" s="6"/>
    </row>
    <row r="610" spans="1:12" x14ac:dyDescent="0.2">
      <c r="A610" s="1" t="str">
        <f>+'Maestro infraestructura'!A609</f>
        <v>EDIFICIO PRINCIPAL</v>
      </c>
      <c r="B610" s="1" t="str">
        <f>+'Maestro infraestructura'!B609</f>
        <v>5° Piso</v>
      </c>
      <c r="C610" s="1">
        <f>+'Maestro infraestructura'!C609</f>
        <v>522</v>
      </c>
      <c r="D610" s="1" t="str">
        <f>+'Maestro infraestructura'!F609</f>
        <v>Sillas alumnos</v>
      </c>
      <c r="E610" s="25" t="str">
        <f ca="1">+'Maestro infraestructura'!K609</f>
        <v>Activo</v>
      </c>
      <c r="F610" s="1" t="str">
        <f ca="1">+'Maestro infraestructura'!V609</f>
        <v>AL DÍA</v>
      </c>
      <c r="G610" s="1" t="str">
        <f>+'Maestro infraestructura'!X609</f>
        <v>OPERACIÓN</v>
      </c>
      <c r="H610" s="1">
        <f>+'Maestro infraestructura'!Y609</f>
        <v>2</v>
      </c>
      <c r="I610" s="1"/>
      <c r="J610" s="6">
        <f>+'Maestro infraestructura'!T609</f>
        <v>46378</v>
      </c>
      <c r="K610" s="6">
        <f t="shared" ca="1" si="29"/>
        <v>46378</v>
      </c>
      <c r="L610" s="6"/>
    </row>
    <row r="611" spans="1:12" x14ac:dyDescent="0.2">
      <c r="A611" s="1" t="str">
        <f>+'Maestro infraestructura'!A610</f>
        <v>EDIFICIO PRINCIPAL</v>
      </c>
      <c r="B611" s="1" t="str">
        <f>+'Maestro infraestructura'!B610</f>
        <v>5° Piso</v>
      </c>
      <c r="C611" s="1">
        <f>+'Maestro infraestructura'!C610</f>
        <v>523</v>
      </c>
      <c r="D611" s="1" t="str">
        <f>+'Maestro infraestructura'!F610</f>
        <v>Sillas alumnos</v>
      </c>
      <c r="E611" s="25" t="str">
        <f ca="1">+'Maestro infraestructura'!K610</f>
        <v>Activo</v>
      </c>
      <c r="F611" s="1" t="str">
        <f ca="1">+'Maestro infraestructura'!V610</f>
        <v>AL DÍA</v>
      </c>
      <c r="G611" s="1" t="str">
        <f>+'Maestro infraestructura'!X610</f>
        <v>OPERACIÓN</v>
      </c>
      <c r="H611" s="1">
        <f>+'Maestro infraestructura'!Y610</f>
        <v>2</v>
      </c>
      <c r="I611" s="1"/>
      <c r="J611" s="6">
        <f>+'Maestro infraestructura'!T610</f>
        <v>46378</v>
      </c>
      <c r="K611" s="6">
        <f t="shared" ca="1" si="29"/>
        <v>46378</v>
      </c>
      <c r="L611" s="6"/>
    </row>
    <row r="612" spans="1:12" x14ac:dyDescent="0.2">
      <c r="A612" s="1" t="str">
        <f>+'Maestro infraestructura'!A611</f>
        <v>EDIFICIO PRINCIPAL</v>
      </c>
      <c r="B612" s="1" t="str">
        <f>+'Maestro infraestructura'!B611</f>
        <v>5° Piso</v>
      </c>
      <c r="C612" s="1">
        <f>+'Maestro infraestructura'!C611</f>
        <v>524</v>
      </c>
      <c r="D612" s="1" t="str">
        <f>+'Maestro infraestructura'!F611</f>
        <v>Sillas alumnos</v>
      </c>
      <c r="E612" s="25" t="str">
        <f ca="1">+'Maestro infraestructura'!K611</f>
        <v>Activo</v>
      </c>
      <c r="F612" s="1" t="str">
        <f ca="1">+'Maestro infraestructura'!V611</f>
        <v>AL DÍA</v>
      </c>
      <c r="G612" s="1" t="str">
        <f>+'Maestro infraestructura'!X611</f>
        <v>OPERACIÓN</v>
      </c>
      <c r="H612" s="1">
        <f>+'Maestro infraestructura'!Y611</f>
        <v>2</v>
      </c>
      <c r="I612" s="1"/>
      <c r="J612" s="6">
        <f>+'Maestro infraestructura'!T611</f>
        <v>46378</v>
      </c>
      <c r="K612" s="6">
        <f t="shared" ca="1" si="29"/>
        <v>46378</v>
      </c>
      <c r="L612" s="6"/>
    </row>
    <row r="613" spans="1:12" x14ac:dyDescent="0.2">
      <c r="A613" s="1" t="str">
        <f>+'Maestro infraestructura'!A612</f>
        <v>EDIFICIO PRINCIPAL</v>
      </c>
      <c r="B613" s="1" t="str">
        <f>+'Maestro infraestructura'!B612</f>
        <v>5° Piso</v>
      </c>
      <c r="C613" s="1">
        <f>+'Maestro infraestructura'!C612</f>
        <v>525</v>
      </c>
      <c r="D613" s="1" t="str">
        <f>+'Maestro infraestructura'!F612</f>
        <v>Sillas alumnos</v>
      </c>
      <c r="E613" s="25" t="str">
        <f ca="1">+'Maestro infraestructura'!K612</f>
        <v>Activo</v>
      </c>
      <c r="F613" s="1" t="str">
        <f ca="1">+'Maestro infraestructura'!V612</f>
        <v>AL DÍA</v>
      </c>
      <c r="G613" s="1" t="str">
        <f>+'Maestro infraestructura'!X612</f>
        <v>OPERACIÓN</v>
      </c>
      <c r="H613" s="1">
        <f>+'Maestro infraestructura'!Y612</f>
        <v>2</v>
      </c>
      <c r="I613" s="1"/>
      <c r="J613" s="6">
        <f>+'Maestro infraestructura'!T612</f>
        <v>46378</v>
      </c>
      <c r="K613" s="6">
        <f t="shared" ca="1" si="29"/>
        <v>46378</v>
      </c>
      <c r="L613" s="6"/>
    </row>
    <row r="614" spans="1:12" x14ac:dyDescent="0.2">
      <c r="A614" s="1" t="str">
        <f>+'Maestro infraestructura'!A613</f>
        <v>EDIFICIO PRINCIPAL</v>
      </c>
      <c r="B614" s="1" t="str">
        <f>+'Maestro infraestructura'!B613</f>
        <v>6° Piso</v>
      </c>
      <c r="C614" s="1">
        <f>+'Maestro infraestructura'!C613</f>
        <v>601</v>
      </c>
      <c r="D614" s="1" t="str">
        <f>+'Maestro infraestructura'!F613</f>
        <v>Sillas alumnos</v>
      </c>
      <c r="E614" s="25" t="str">
        <f ca="1">+'Maestro infraestructura'!K613</f>
        <v>Activo</v>
      </c>
      <c r="F614" s="1" t="str">
        <f ca="1">+'Maestro infraestructura'!V613</f>
        <v>AL DÍA</v>
      </c>
      <c r="G614" s="1" t="str">
        <f>+'Maestro infraestructura'!X613</f>
        <v>OPERACIÓN</v>
      </c>
      <c r="H614" s="1">
        <f>+'Maestro infraestructura'!Y613</f>
        <v>2</v>
      </c>
      <c r="I614" s="1"/>
      <c r="J614" s="6">
        <f>+'Maestro infraestructura'!T613</f>
        <v>46378</v>
      </c>
      <c r="K614" s="6">
        <f t="shared" ca="1" si="29"/>
        <v>46378</v>
      </c>
      <c r="L614" s="6"/>
    </row>
    <row r="615" spans="1:12" x14ac:dyDescent="0.2">
      <c r="A615" s="1" t="str">
        <f>+'Maestro infraestructura'!A614</f>
        <v>EDIFICIO PRINCIPAL</v>
      </c>
      <c r="B615" s="1" t="str">
        <f>+'Maestro infraestructura'!B614</f>
        <v>6° Piso</v>
      </c>
      <c r="C615" s="1">
        <f>+'Maestro infraestructura'!C614</f>
        <v>602</v>
      </c>
      <c r="D615" s="1" t="str">
        <f>+'Maestro infraestructura'!F614</f>
        <v>Sillas alumnos</v>
      </c>
      <c r="E615" s="25" t="str">
        <f ca="1">+'Maestro infraestructura'!K614</f>
        <v>Activo</v>
      </c>
      <c r="F615" s="1" t="str">
        <f ca="1">+'Maestro infraestructura'!V614</f>
        <v>AL DÍA</v>
      </c>
      <c r="G615" s="1" t="str">
        <f>+'Maestro infraestructura'!X614</f>
        <v>OPERACIÓN</v>
      </c>
      <c r="H615" s="1">
        <f>+'Maestro infraestructura'!Y614</f>
        <v>2</v>
      </c>
      <c r="I615" s="1"/>
      <c r="J615" s="6">
        <f>+'Maestro infraestructura'!T614</f>
        <v>46378</v>
      </c>
      <c r="K615" s="6">
        <f t="shared" ca="1" si="29"/>
        <v>46378</v>
      </c>
      <c r="L615" s="6"/>
    </row>
    <row r="616" spans="1:12" x14ac:dyDescent="0.2">
      <c r="A616" s="1" t="str">
        <f>+'Maestro infraestructura'!A615</f>
        <v>EDIFICIO PRINCIPAL</v>
      </c>
      <c r="B616" s="1" t="str">
        <f>+'Maestro infraestructura'!B615</f>
        <v>6° Piso</v>
      </c>
      <c r="C616" s="1">
        <f>+'Maestro infraestructura'!C615</f>
        <v>603</v>
      </c>
      <c r="D616" s="1" t="str">
        <f>+'Maestro infraestructura'!F615</f>
        <v>Sillas alumnos</v>
      </c>
      <c r="E616" s="25" t="str">
        <f ca="1">+'Maestro infraestructura'!K615</f>
        <v>Activo</v>
      </c>
      <c r="F616" s="1" t="str">
        <f ca="1">+'Maestro infraestructura'!V615</f>
        <v>AL DÍA</v>
      </c>
      <c r="G616" s="1" t="str">
        <f>+'Maestro infraestructura'!X615</f>
        <v>OPERACIÓN</v>
      </c>
      <c r="H616" s="1">
        <f>+'Maestro infraestructura'!Y615</f>
        <v>2</v>
      </c>
      <c r="I616" s="1"/>
      <c r="J616" s="6">
        <f>+'Maestro infraestructura'!T615</f>
        <v>46378</v>
      </c>
      <c r="K616" s="6">
        <f t="shared" ca="1" si="29"/>
        <v>46378</v>
      </c>
      <c r="L616" s="6"/>
    </row>
    <row r="617" spans="1:12" x14ac:dyDescent="0.2">
      <c r="A617" s="1" t="str">
        <f>+'Maestro infraestructura'!A616</f>
        <v>EDIFICIO PRINCIPAL</v>
      </c>
      <c r="B617" s="1" t="str">
        <f>+'Maestro infraestructura'!B616</f>
        <v>6° Piso</v>
      </c>
      <c r="C617" s="1">
        <f>+'Maestro infraestructura'!C616</f>
        <v>604</v>
      </c>
      <c r="D617" s="1" t="str">
        <f>+'Maestro infraestructura'!F616</f>
        <v>Sillas alumnos</v>
      </c>
      <c r="E617" s="25" t="str">
        <f ca="1">+'Maestro infraestructura'!K616</f>
        <v>Activo</v>
      </c>
      <c r="F617" s="1" t="str">
        <f ca="1">+'Maestro infraestructura'!V616</f>
        <v>AL DÍA</v>
      </c>
      <c r="G617" s="1" t="str">
        <f>+'Maestro infraestructura'!X616</f>
        <v>OPERACIÓN</v>
      </c>
      <c r="H617" s="1">
        <f>+'Maestro infraestructura'!Y616</f>
        <v>2</v>
      </c>
      <c r="I617" s="1"/>
      <c r="J617" s="6">
        <f>+'Maestro infraestructura'!T616</f>
        <v>46378</v>
      </c>
      <c r="K617" s="6">
        <f t="shared" ca="1" si="29"/>
        <v>46378</v>
      </c>
      <c r="L617" s="6"/>
    </row>
    <row r="618" spans="1:12" x14ac:dyDescent="0.2">
      <c r="A618" s="1" t="str">
        <f>+'Maestro infraestructura'!A617</f>
        <v>EDIFICIO PRINCIPAL</v>
      </c>
      <c r="B618" s="1" t="str">
        <f>+'Maestro infraestructura'!B617</f>
        <v>6° Piso</v>
      </c>
      <c r="C618" s="1">
        <f>+'Maestro infraestructura'!C617</f>
        <v>606</v>
      </c>
      <c r="D618" s="1" t="str">
        <f>+'Maestro infraestructura'!F617</f>
        <v>Sillas alumnos</v>
      </c>
      <c r="E618" s="25" t="str">
        <f ca="1">+'Maestro infraestructura'!K617</f>
        <v>Activo</v>
      </c>
      <c r="F618" s="1" t="str">
        <f ca="1">+'Maestro infraestructura'!V617</f>
        <v>AL DÍA</v>
      </c>
      <c r="G618" s="1" t="str">
        <f>+'Maestro infraestructura'!X617</f>
        <v>OPERACIÓN</v>
      </c>
      <c r="H618" s="1">
        <f>+'Maestro infraestructura'!Y617</f>
        <v>2</v>
      </c>
      <c r="I618" s="1"/>
      <c r="J618" s="6">
        <f>+'Maestro infraestructura'!T617</f>
        <v>46378</v>
      </c>
      <c r="K618" s="6">
        <f t="shared" ca="1" si="29"/>
        <v>46378</v>
      </c>
      <c r="L618" s="6"/>
    </row>
    <row r="619" spans="1:12" x14ac:dyDescent="0.2">
      <c r="A619" s="1" t="str">
        <f>+'Maestro infraestructura'!A618</f>
        <v>EDIFICIO PRINCIPAL</v>
      </c>
      <c r="B619" s="1" t="str">
        <f>+'Maestro infraestructura'!B618</f>
        <v>6° Piso</v>
      </c>
      <c r="C619" s="1">
        <f>+'Maestro infraestructura'!C618</f>
        <v>607</v>
      </c>
      <c r="D619" s="1" t="str">
        <f>+'Maestro infraestructura'!F618</f>
        <v>Sillas alumnos</v>
      </c>
      <c r="E619" s="25" t="str">
        <f ca="1">+'Maestro infraestructura'!K618</f>
        <v>Activo</v>
      </c>
      <c r="F619" s="1" t="str">
        <f ca="1">+'Maestro infraestructura'!V618</f>
        <v>AL DÍA</v>
      </c>
      <c r="G619" s="1" t="str">
        <f>+'Maestro infraestructura'!X618</f>
        <v>OPERACIÓN</v>
      </c>
      <c r="H619" s="1">
        <f>+'Maestro infraestructura'!Y618</f>
        <v>2</v>
      </c>
      <c r="I619" s="1"/>
      <c r="J619" s="6">
        <f>+'Maestro infraestructura'!T618</f>
        <v>46378</v>
      </c>
      <c r="K619" s="6">
        <f t="shared" ca="1" si="29"/>
        <v>46378</v>
      </c>
      <c r="L619" s="6"/>
    </row>
    <row r="620" spans="1:12" x14ac:dyDescent="0.2">
      <c r="A620" s="1" t="str">
        <f>+'Maestro infraestructura'!A619</f>
        <v>EDIFICIO PRINCIPAL</v>
      </c>
      <c r="B620" s="1" t="str">
        <f>+'Maestro infraestructura'!B619</f>
        <v>6° Piso</v>
      </c>
      <c r="C620" s="1">
        <f>+'Maestro infraestructura'!C619</f>
        <v>608</v>
      </c>
      <c r="D620" s="1" t="str">
        <f>+'Maestro infraestructura'!F619</f>
        <v>Sillas alumnos</v>
      </c>
      <c r="E620" s="25" t="str">
        <f ca="1">+'Maestro infraestructura'!K619</f>
        <v>Activo</v>
      </c>
      <c r="F620" s="1" t="str">
        <f ca="1">+'Maestro infraestructura'!V619</f>
        <v>AL DÍA</v>
      </c>
      <c r="G620" s="1" t="str">
        <f>+'Maestro infraestructura'!X619</f>
        <v>OPERACIÓN</v>
      </c>
      <c r="H620" s="1">
        <f>+'Maestro infraestructura'!Y619</f>
        <v>2</v>
      </c>
      <c r="I620" s="1"/>
      <c r="J620" s="6">
        <f>+'Maestro infraestructura'!T619</f>
        <v>46378</v>
      </c>
      <c r="K620" s="6">
        <f t="shared" ca="1" si="29"/>
        <v>46378</v>
      </c>
      <c r="L620" s="6"/>
    </row>
    <row r="621" spans="1:12" x14ac:dyDescent="0.2">
      <c r="A621" s="1" t="str">
        <f>+'Maestro infraestructura'!A620</f>
        <v>EDIFICIO PRINCIPAL</v>
      </c>
      <c r="B621" s="1" t="str">
        <f>+'Maestro infraestructura'!B620</f>
        <v>6° Piso</v>
      </c>
      <c r="C621" s="1">
        <f>+'Maestro infraestructura'!C620</f>
        <v>609</v>
      </c>
      <c r="D621" s="1" t="str">
        <f>+'Maestro infraestructura'!F620</f>
        <v>Sillas alumnos</v>
      </c>
      <c r="E621" s="25" t="str">
        <f ca="1">+'Maestro infraestructura'!K620</f>
        <v>Activo</v>
      </c>
      <c r="F621" s="1" t="str">
        <f ca="1">+'Maestro infraestructura'!V620</f>
        <v>AL DÍA</v>
      </c>
      <c r="G621" s="1" t="str">
        <f>+'Maestro infraestructura'!X620</f>
        <v>OPERACIÓN</v>
      </c>
      <c r="H621" s="1">
        <f>+'Maestro infraestructura'!Y620</f>
        <v>2</v>
      </c>
      <c r="I621" s="1"/>
      <c r="J621" s="6">
        <f>+'Maestro infraestructura'!T620</f>
        <v>46378</v>
      </c>
      <c r="K621" s="6">
        <f t="shared" ca="1" si="29"/>
        <v>46378</v>
      </c>
      <c r="L621" s="6"/>
    </row>
    <row r="622" spans="1:12" x14ac:dyDescent="0.2">
      <c r="A622" s="1" t="str">
        <f>+'Maestro infraestructura'!A621</f>
        <v>EDIFICIO PRINCIPAL</v>
      </c>
      <c r="B622" s="1" t="str">
        <f>+'Maestro infraestructura'!B621</f>
        <v>6° Piso</v>
      </c>
      <c r="C622" s="1">
        <f>+'Maestro infraestructura'!C621</f>
        <v>610</v>
      </c>
      <c r="D622" s="1" t="str">
        <f>+'Maestro infraestructura'!F621</f>
        <v>Sillas alumnos</v>
      </c>
      <c r="E622" s="25" t="str">
        <f ca="1">+'Maestro infraestructura'!K621</f>
        <v>Activo</v>
      </c>
      <c r="F622" s="1" t="str">
        <f ca="1">+'Maestro infraestructura'!V621</f>
        <v>AL DÍA</v>
      </c>
      <c r="G622" s="1" t="str">
        <f>+'Maestro infraestructura'!X621</f>
        <v>OPERACIÓN</v>
      </c>
      <c r="H622" s="1">
        <f>+'Maestro infraestructura'!Y621</f>
        <v>2</v>
      </c>
      <c r="I622" s="1"/>
      <c r="J622" s="6">
        <f>+'Maestro infraestructura'!T621</f>
        <v>46378</v>
      </c>
      <c r="K622" s="6">
        <f t="shared" ca="1" si="29"/>
        <v>46378</v>
      </c>
      <c r="L622" s="6"/>
    </row>
    <row r="623" spans="1:12" x14ac:dyDescent="0.2">
      <c r="A623" s="1" t="str">
        <f>+'Maestro infraestructura'!A622</f>
        <v>EDIFICIO PRINCIPAL</v>
      </c>
      <c r="B623" s="1" t="str">
        <f>+'Maestro infraestructura'!B622</f>
        <v>6° Piso</v>
      </c>
      <c r="C623" s="1">
        <f>+'Maestro infraestructura'!C622</f>
        <v>611</v>
      </c>
      <c r="D623" s="1" t="str">
        <f>+'Maestro infraestructura'!F622</f>
        <v>Sillas alumnos</v>
      </c>
      <c r="E623" s="25" t="str">
        <f ca="1">+'Maestro infraestructura'!K622</f>
        <v>Activo</v>
      </c>
      <c r="F623" s="1" t="str">
        <f ca="1">+'Maestro infraestructura'!V622</f>
        <v>AL DÍA</v>
      </c>
      <c r="G623" s="1" t="str">
        <f>+'Maestro infraestructura'!X622</f>
        <v>OPERACIÓN</v>
      </c>
      <c r="H623" s="1">
        <f>+'Maestro infraestructura'!Y622</f>
        <v>2</v>
      </c>
      <c r="I623" s="1"/>
      <c r="J623" s="6">
        <f>+'Maestro infraestructura'!T622</f>
        <v>46378</v>
      </c>
      <c r="K623" s="6">
        <f t="shared" ca="1" si="29"/>
        <v>46378</v>
      </c>
      <c r="L623" s="6"/>
    </row>
    <row r="624" spans="1:12" x14ac:dyDescent="0.2">
      <c r="A624" s="1" t="str">
        <f>+'Maestro infraestructura'!A623</f>
        <v>EDIFICIO PRINCIPAL</v>
      </c>
      <c r="B624" s="1" t="str">
        <f>+'Maestro infraestructura'!B623</f>
        <v>6° Piso</v>
      </c>
      <c r="C624" s="1">
        <f>+'Maestro infraestructura'!C623</f>
        <v>612</v>
      </c>
      <c r="D624" s="1" t="str">
        <f>+'Maestro infraestructura'!F623</f>
        <v>Sillas alumnos</v>
      </c>
      <c r="E624" s="25" t="str">
        <f ca="1">+'Maestro infraestructura'!K623</f>
        <v>Activo</v>
      </c>
      <c r="F624" s="1" t="str">
        <f ca="1">+'Maestro infraestructura'!V623</f>
        <v>AL DÍA</v>
      </c>
      <c r="G624" s="1" t="str">
        <f>+'Maestro infraestructura'!X623</f>
        <v>OPERACIÓN</v>
      </c>
      <c r="H624" s="1">
        <f>+'Maestro infraestructura'!Y623</f>
        <v>2</v>
      </c>
      <c r="I624" s="1"/>
      <c r="J624" s="6">
        <f>+'Maestro infraestructura'!T623</f>
        <v>46378</v>
      </c>
      <c r="K624" s="6">
        <f t="shared" ca="1" si="29"/>
        <v>46378</v>
      </c>
      <c r="L624" s="6"/>
    </row>
    <row r="625" spans="1:12" x14ac:dyDescent="0.2">
      <c r="A625" s="1" t="str">
        <f>+'Maestro infraestructura'!A624</f>
        <v>EDIFICIO PRINCIPAL</v>
      </c>
      <c r="B625" s="1" t="str">
        <f>+'Maestro infraestructura'!B624</f>
        <v>6° Piso</v>
      </c>
      <c r="C625" s="1">
        <f>+'Maestro infraestructura'!C624</f>
        <v>613</v>
      </c>
      <c r="D625" s="1" t="str">
        <f>+'Maestro infraestructura'!F624</f>
        <v>Sillas alumnos</v>
      </c>
      <c r="E625" s="25" t="str">
        <f ca="1">+'Maestro infraestructura'!K624</f>
        <v>Activo</v>
      </c>
      <c r="F625" s="1" t="str">
        <f ca="1">+'Maestro infraestructura'!V624</f>
        <v>AL DÍA</v>
      </c>
      <c r="G625" s="1" t="str">
        <f>+'Maestro infraestructura'!X624</f>
        <v>OPERACIÓN</v>
      </c>
      <c r="H625" s="1">
        <f>+'Maestro infraestructura'!Y624</f>
        <v>2</v>
      </c>
      <c r="I625" s="1"/>
      <c r="J625" s="6">
        <f>+'Maestro infraestructura'!T624</f>
        <v>46378</v>
      </c>
      <c r="K625" s="6">
        <f t="shared" ca="1" si="29"/>
        <v>46378</v>
      </c>
      <c r="L625" s="6"/>
    </row>
    <row r="626" spans="1:12" x14ac:dyDescent="0.2">
      <c r="A626" s="1" t="str">
        <f>+'Maestro infraestructura'!A625</f>
        <v>EDIFICIO PRINCIPAL</v>
      </c>
      <c r="B626" s="1" t="str">
        <f>+'Maestro infraestructura'!B625</f>
        <v>6° Piso</v>
      </c>
      <c r="C626" s="1">
        <f>+'Maestro infraestructura'!C625</f>
        <v>614</v>
      </c>
      <c r="D626" s="1" t="str">
        <f>+'Maestro infraestructura'!F625</f>
        <v>Sillas alumnos</v>
      </c>
      <c r="E626" s="25" t="str">
        <f ca="1">+'Maestro infraestructura'!K625</f>
        <v>Activo</v>
      </c>
      <c r="F626" s="1" t="str">
        <f ca="1">+'Maestro infraestructura'!V625</f>
        <v>AL DÍA</v>
      </c>
      <c r="G626" s="1" t="str">
        <f>+'Maestro infraestructura'!X625</f>
        <v>OPERACIÓN</v>
      </c>
      <c r="H626" s="1">
        <f>+'Maestro infraestructura'!Y625</f>
        <v>2</v>
      </c>
      <c r="I626" s="1"/>
      <c r="J626" s="6">
        <f>+'Maestro infraestructura'!T625</f>
        <v>46378</v>
      </c>
      <c r="K626" s="6">
        <f t="shared" ca="1" si="29"/>
        <v>46378</v>
      </c>
      <c r="L626" s="6"/>
    </row>
    <row r="627" spans="1:12" x14ac:dyDescent="0.2">
      <c r="A627" s="1" t="str">
        <f>+'Maestro infraestructura'!A626</f>
        <v>EDIFICIO PRINCIPAL</v>
      </c>
      <c r="B627" s="1" t="str">
        <f>+'Maestro infraestructura'!B626</f>
        <v>6° Piso</v>
      </c>
      <c r="C627" s="1">
        <f>+'Maestro infraestructura'!C626</f>
        <v>615</v>
      </c>
      <c r="D627" s="1" t="str">
        <f>+'Maestro infraestructura'!F626</f>
        <v>Sillas alumnos</v>
      </c>
      <c r="E627" s="25" t="str">
        <f ca="1">+'Maestro infraestructura'!K626</f>
        <v>Activo</v>
      </c>
      <c r="F627" s="1" t="str">
        <f ca="1">+'Maestro infraestructura'!V626</f>
        <v>AL DÍA</v>
      </c>
      <c r="G627" s="1" t="str">
        <f>+'Maestro infraestructura'!X626</f>
        <v>OPERACIÓN</v>
      </c>
      <c r="H627" s="1">
        <f>+'Maestro infraestructura'!Y626</f>
        <v>2</v>
      </c>
      <c r="I627" s="1"/>
      <c r="J627" s="6">
        <f>+'Maestro infraestructura'!T626</f>
        <v>46378</v>
      </c>
      <c r="K627" s="6">
        <f t="shared" ca="1" si="29"/>
        <v>46378</v>
      </c>
      <c r="L627" s="6"/>
    </row>
    <row r="628" spans="1:12" x14ac:dyDescent="0.2">
      <c r="A628" s="1" t="str">
        <f>+'Maestro infraestructura'!A627</f>
        <v>EDIFICIO PRINCIPAL</v>
      </c>
      <c r="B628" s="1" t="str">
        <f>+'Maestro infraestructura'!B627</f>
        <v>6° Piso</v>
      </c>
      <c r="C628" s="1">
        <f>+'Maestro infraestructura'!C627</f>
        <v>618</v>
      </c>
      <c r="D628" s="1" t="str">
        <f>+'Maestro infraestructura'!F627</f>
        <v>Sillas alumnos</v>
      </c>
      <c r="E628" s="25" t="str">
        <f ca="1">+'Maestro infraestructura'!K627</f>
        <v>Activo</v>
      </c>
      <c r="F628" s="1" t="str">
        <f ca="1">+'Maestro infraestructura'!V627</f>
        <v>AL DÍA</v>
      </c>
      <c r="G628" s="1" t="str">
        <f>+'Maestro infraestructura'!X627</f>
        <v>OPERACIÓN</v>
      </c>
      <c r="H628" s="1">
        <f>+'Maestro infraestructura'!Y627</f>
        <v>2</v>
      </c>
      <c r="I628" s="1"/>
      <c r="J628" s="6">
        <f>+'Maestro infraestructura'!T627</f>
        <v>46378</v>
      </c>
      <c r="K628" s="6">
        <f t="shared" ca="1" si="29"/>
        <v>46378</v>
      </c>
      <c r="L628" s="6"/>
    </row>
    <row r="629" spans="1:12" x14ac:dyDescent="0.2">
      <c r="A629" s="1" t="str">
        <f>+'Maestro infraestructura'!A628</f>
        <v>EDIFICIO PRINCIPAL</v>
      </c>
      <c r="B629" s="1" t="str">
        <f>+'Maestro infraestructura'!B628</f>
        <v>6° Piso</v>
      </c>
      <c r="C629" s="1">
        <f>+'Maestro infraestructura'!C628</f>
        <v>623</v>
      </c>
      <c r="D629" s="1" t="str">
        <f>+'Maestro infraestructura'!F628</f>
        <v>Sillas alumnos</v>
      </c>
      <c r="E629" s="25" t="str">
        <f ca="1">+'Maestro infraestructura'!K628</f>
        <v>Activo</v>
      </c>
      <c r="F629" s="1" t="str">
        <f ca="1">+'Maestro infraestructura'!V628</f>
        <v>AL DÍA</v>
      </c>
      <c r="G629" s="1" t="str">
        <f>+'Maestro infraestructura'!X628</f>
        <v>OPERACIÓN</v>
      </c>
      <c r="H629" s="1">
        <f>+'Maestro infraestructura'!Y628</f>
        <v>2</v>
      </c>
      <c r="I629" s="1"/>
      <c r="J629" s="6">
        <f>+'Maestro infraestructura'!T628</f>
        <v>46378</v>
      </c>
      <c r="K629" s="6">
        <f t="shared" ca="1" si="29"/>
        <v>46378</v>
      </c>
      <c r="L629" s="6"/>
    </row>
    <row r="630" spans="1:12" x14ac:dyDescent="0.2">
      <c r="A630" s="1" t="str">
        <f>+'Maestro infraestructura'!A629</f>
        <v>EDIFICIO PRINCIPAL</v>
      </c>
      <c r="B630" s="1" t="str">
        <f>+'Maestro infraestructura'!B629</f>
        <v>6° Piso</v>
      </c>
      <c r="C630" s="1">
        <f>+'Maestro infraestructura'!C629</f>
        <v>624</v>
      </c>
      <c r="D630" s="1" t="str">
        <f>+'Maestro infraestructura'!F629</f>
        <v>Sillas alumnos</v>
      </c>
      <c r="E630" s="25" t="str">
        <f ca="1">+'Maestro infraestructura'!K629</f>
        <v>Activo</v>
      </c>
      <c r="F630" s="1" t="str">
        <f ca="1">+'Maestro infraestructura'!V629</f>
        <v>AL DÍA</v>
      </c>
      <c r="G630" s="1" t="str">
        <f>+'Maestro infraestructura'!X629</f>
        <v>OPERACIÓN</v>
      </c>
      <c r="H630" s="1">
        <f>+'Maestro infraestructura'!Y629</f>
        <v>2</v>
      </c>
      <c r="I630" s="1"/>
      <c r="J630" s="6">
        <f>+'Maestro infraestructura'!T629</f>
        <v>46378</v>
      </c>
      <c r="K630" s="6">
        <f t="shared" ca="1" si="29"/>
        <v>46378</v>
      </c>
      <c r="L630" s="6"/>
    </row>
    <row r="631" spans="1:12" x14ac:dyDescent="0.2">
      <c r="A631" s="1" t="str">
        <f>+'Maestro infraestructura'!A630</f>
        <v>EDIFICIO PRINCIPAL</v>
      </c>
      <c r="B631" s="1" t="str">
        <f>+'Maestro infraestructura'!B630</f>
        <v>6° Piso</v>
      </c>
      <c r="C631" s="1">
        <f>+'Maestro infraestructura'!C630</f>
        <v>625</v>
      </c>
      <c r="D631" s="1" t="str">
        <f>+'Maestro infraestructura'!F630</f>
        <v>Sillas alumnos</v>
      </c>
      <c r="E631" s="25" t="str">
        <f ca="1">+'Maestro infraestructura'!K630</f>
        <v>Activo</v>
      </c>
      <c r="F631" s="1" t="str">
        <f ca="1">+'Maestro infraestructura'!V630</f>
        <v>AL DÍA</v>
      </c>
      <c r="G631" s="1" t="str">
        <f>+'Maestro infraestructura'!X630</f>
        <v>OPERACIÓN</v>
      </c>
      <c r="H631" s="1">
        <f>+'Maestro infraestructura'!Y630</f>
        <v>2</v>
      </c>
      <c r="I631" s="1"/>
      <c r="J631" s="6">
        <f>+'Maestro infraestructura'!T630</f>
        <v>46378</v>
      </c>
      <c r="K631" s="6">
        <f t="shared" ca="1" si="29"/>
        <v>46378</v>
      </c>
      <c r="L631" s="6"/>
    </row>
    <row r="632" spans="1:12" x14ac:dyDescent="0.2">
      <c r="A632" s="1" t="str">
        <f>+'Maestro infraestructura'!A631</f>
        <v>EDIFICIO PRINCIPAL</v>
      </c>
      <c r="B632" s="1" t="str">
        <f>+'Maestro infraestructura'!B631</f>
        <v>5° Piso</v>
      </c>
      <c r="C632" s="1">
        <f>+'Maestro infraestructura'!C631</f>
        <v>501</v>
      </c>
      <c r="D632" s="1" t="str">
        <f>+'Maestro infraestructura'!F631</f>
        <v>Pupitre</v>
      </c>
      <c r="E632" s="25" t="str">
        <f ca="1">+'Maestro infraestructura'!K631</f>
        <v>Activo</v>
      </c>
      <c r="F632" s="1" t="str">
        <f ca="1">+'Maestro infraestructura'!V631</f>
        <v>AL DÍA</v>
      </c>
      <c r="G632" s="1" t="str">
        <f>+'Maestro infraestructura'!X631</f>
        <v>OPERACIÓN</v>
      </c>
      <c r="H632" s="1">
        <f>+'Maestro infraestructura'!Y631</f>
        <v>2</v>
      </c>
      <c r="I632" s="1"/>
      <c r="J632" s="6">
        <f>+'Maestro infraestructura'!T631</f>
        <v>46378</v>
      </c>
      <c r="K632" s="6">
        <f t="shared" ca="1" si="29"/>
        <v>46378</v>
      </c>
      <c r="L632" s="6"/>
    </row>
    <row r="633" spans="1:12" x14ac:dyDescent="0.2">
      <c r="A633" s="1" t="str">
        <f>+'Maestro infraestructura'!A632</f>
        <v>EDIFICIO PRINCIPAL</v>
      </c>
      <c r="B633" s="1" t="str">
        <f>+'Maestro infraestructura'!B632</f>
        <v>5° Piso</v>
      </c>
      <c r="C633" s="1">
        <f>+'Maestro infraestructura'!C632</f>
        <v>502</v>
      </c>
      <c r="D633" s="1" t="str">
        <f>+'Maestro infraestructura'!F632</f>
        <v>Pupitre</v>
      </c>
      <c r="E633" s="25" t="str">
        <f ca="1">+'Maestro infraestructura'!K632</f>
        <v>Activo</v>
      </c>
      <c r="F633" s="1" t="str">
        <f ca="1">+'Maestro infraestructura'!V632</f>
        <v>AL DÍA</v>
      </c>
      <c r="G633" s="1" t="str">
        <f>+'Maestro infraestructura'!X632</f>
        <v>OPERACIÓN</v>
      </c>
      <c r="H633" s="1">
        <f>+'Maestro infraestructura'!Y632</f>
        <v>2</v>
      </c>
      <c r="I633" s="1"/>
      <c r="J633" s="6">
        <f>+'Maestro infraestructura'!T632</f>
        <v>46378</v>
      </c>
      <c r="K633" s="6">
        <f t="shared" ca="1" si="29"/>
        <v>46378</v>
      </c>
      <c r="L633" s="6"/>
    </row>
    <row r="634" spans="1:12" x14ac:dyDescent="0.2">
      <c r="A634" s="1" t="str">
        <f>+'Maestro infraestructura'!A633</f>
        <v>EDIFICIO PRINCIPAL</v>
      </c>
      <c r="B634" s="1" t="str">
        <f>+'Maestro infraestructura'!B633</f>
        <v>5° Piso</v>
      </c>
      <c r="C634" s="1">
        <f>+'Maestro infraestructura'!C633</f>
        <v>503</v>
      </c>
      <c r="D634" s="1" t="str">
        <f>+'Maestro infraestructura'!F633</f>
        <v>Pupitre</v>
      </c>
      <c r="E634" s="25" t="str">
        <f ca="1">+'Maestro infraestructura'!K633</f>
        <v>Activo</v>
      </c>
      <c r="F634" s="1" t="str">
        <f ca="1">+'Maestro infraestructura'!V633</f>
        <v>AL DÍA</v>
      </c>
      <c r="G634" s="1" t="str">
        <f>+'Maestro infraestructura'!X633</f>
        <v>OPERACIÓN</v>
      </c>
      <c r="H634" s="1">
        <f>+'Maestro infraestructura'!Y633</f>
        <v>2</v>
      </c>
      <c r="I634" s="1"/>
      <c r="J634" s="6">
        <f>+'Maestro infraestructura'!T633</f>
        <v>46378</v>
      </c>
      <c r="K634" s="6">
        <f t="shared" ca="1" si="29"/>
        <v>46378</v>
      </c>
      <c r="L634" s="6"/>
    </row>
    <row r="635" spans="1:12" x14ac:dyDescent="0.2">
      <c r="A635" s="1" t="str">
        <f>+'Maestro infraestructura'!A634</f>
        <v>EDIFICIO PRINCIPAL</v>
      </c>
      <c r="B635" s="1" t="str">
        <f>+'Maestro infraestructura'!B634</f>
        <v>5° Piso</v>
      </c>
      <c r="C635" s="1">
        <f>+'Maestro infraestructura'!C634</f>
        <v>504</v>
      </c>
      <c r="D635" s="1" t="str">
        <f>+'Maestro infraestructura'!F634</f>
        <v>Pupitre</v>
      </c>
      <c r="E635" s="25" t="str">
        <f ca="1">+'Maestro infraestructura'!K634</f>
        <v>Activo</v>
      </c>
      <c r="F635" s="1" t="str">
        <f ca="1">+'Maestro infraestructura'!V634</f>
        <v>AL DÍA</v>
      </c>
      <c r="G635" s="1" t="str">
        <f>+'Maestro infraestructura'!X634</f>
        <v>OPERACIÓN</v>
      </c>
      <c r="H635" s="1">
        <f>+'Maestro infraestructura'!Y634</f>
        <v>2</v>
      </c>
      <c r="I635" s="1"/>
      <c r="J635" s="6">
        <f>+'Maestro infraestructura'!T634</f>
        <v>46378</v>
      </c>
      <c r="K635" s="6">
        <f t="shared" ca="1" si="29"/>
        <v>46378</v>
      </c>
      <c r="L635" s="6"/>
    </row>
    <row r="636" spans="1:12" x14ac:dyDescent="0.2">
      <c r="A636" s="1" t="str">
        <f>+'Maestro infraestructura'!A635</f>
        <v>EDIFICIO PRINCIPAL</v>
      </c>
      <c r="B636" s="1" t="str">
        <f>+'Maestro infraestructura'!B635</f>
        <v>5° Piso</v>
      </c>
      <c r="C636" s="1">
        <f>+'Maestro infraestructura'!C635</f>
        <v>506</v>
      </c>
      <c r="D636" s="1" t="str">
        <f>+'Maestro infraestructura'!F635</f>
        <v>Pupitre</v>
      </c>
      <c r="E636" s="25" t="str">
        <f ca="1">+'Maestro infraestructura'!K635</f>
        <v>Activo</v>
      </c>
      <c r="F636" s="1" t="str">
        <f ca="1">+'Maestro infraestructura'!V635</f>
        <v>AL DÍA</v>
      </c>
      <c r="G636" s="1" t="str">
        <f>+'Maestro infraestructura'!X635</f>
        <v>OPERACIÓN</v>
      </c>
      <c r="H636" s="1">
        <f>+'Maestro infraestructura'!Y635</f>
        <v>2</v>
      </c>
      <c r="I636" s="1"/>
      <c r="J636" s="6">
        <f>+'Maestro infraestructura'!T635</f>
        <v>46378</v>
      </c>
      <c r="K636" s="6">
        <f t="shared" ca="1" si="29"/>
        <v>46378</v>
      </c>
      <c r="L636" s="6"/>
    </row>
    <row r="637" spans="1:12" x14ac:dyDescent="0.2">
      <c r="A637" s="1" t="str">
        <f>+'Maestro infraestructura'!A636</f>
        <v>EDIFICIO PRINCIPAL</v>
      </c>
      <c r="B637" s="1" t="str">
        <f>+'Maestro infraestructura'!B636</f>
        <v>5° Piso</v>
      </c>
      <c r="C637" s="1">
        <f>+'Maestro infraestructura'!C636</f>
        <v>507</v>
      </c>
      <c r="D637" s="1" t="str">
        <f>+'Maestro infraestructura'!F636</f>
        <v>Pupitre</v>
      </c>
      <c r="E637" s="25" t="str">
        <f ca="1">+'Maestro infraestructura'!K636</f>
        <v>Activo</v>
      </c>
      <c r="F637" s="1" t="str">
        <f ca="1">+'Maestro infraestructura'!V636</f>
        <v>AL DÍA</v>
      </c>
      <c r="G637" s="1" t="str">
        <f>+'Maestro infraestructura'!X636</f>
        <v>OPERACIÓN</v>
      </c>
      <c r="H637" s="1">
        <f>+'Maestro infraestructura'!Y636</f>
        <v>2</v>
      </c>
      <c r="I637" s="1"/>
      <c r="J637" s="6">
        <f>+'Maestro infraestructura'!T636</f>
        <v>46378</v>
      </c>
      <c r="K637" s="6">
        <f t="shared" ca="1" si="29"/>
        <v>46378</v>
      </c>
      <c r="L637" s="6"/>
    </row>
    <row r="638" spans="1:12" x14ac:dyDescent="0.2">
      <c r="A638" s="1" t="str">
        <f>+'Maestro infraestructura'!A637</f>
        <v>EDIFICIO PRINCIPAL</v>
      </c>
      <c r="B638" s="1" t="str">
        <f>+'Maestro infraestructura'!B637</f>
        <v>5° Piso</v>
      </c>
      <c r="C638" s="1">
        <f>+'Maestro infraestructura'!C637</f>
        <v>508</v>
      </c>
      <c r="D638" s="1" t="str">
        <f>+'Maestro infraestructura'!F637</f>
        <v>Pupitre</v>
      </c>
      <c r="E638" s="25" t="str">
        <f ca="1">+'Maestro infraestructura'!K637</f>
        <v>Activo</v>
      </c>
      <c r="F638" s="1" t="str">
        <f ca="1">+'Maestro infraestructura'!V637</f>
        <v>AL DÍA</v>
      </c>
      <c r="G638" s="1" t="str">
        <f>+'Maestro infraestructura'!X637</f>
        <v>OPERACIÓN</v>
      </c>
      <c r="H638" s="1">
        <f>+'Maestro infraestructura'!Y637</f>
        <v>2</v>
      </c>
      <c r="I638" s="1"/>
      <c r="J638" s="6">
        <f>+'Maestro infraestructura'!T637</f>
        <v>46378</v>
      </c>
      <c r="K638" s="6">
        <f t="shared" ca="1" si="29"/>
        <v>46378</v>
      </c>
      <c r="L638" s="6"/>
    </row>
    <row r="639" spans="1:12" x14ac:dyDescent="0.2">
      <c r="A639" s="1" t="str">
        <f>+'Maestro infraestructura'!A638</f>
        <v>EDIFICIO PRINCIPAL</v>
      </c>
      <c r="B639" s="1" t="str">
        <f>+'Maestro infraestructura'!B638</f>
        <v>5° Piso</v>
      </c>
      <c r="C639" s="1">
        <f>+'Maestro infraestructura'!C638</f>
        <v>509</v>
      </c>
      <c r="D639" s="1" t="str">
        <f>+'Maestro infraestructura'!F638</f>
        <v>Pupitre</v>
      </c>
      <c r="E639" s="25" t="str">
        <f ca="1">+'Maestro infraestructura'!K638</f>
        <v>Activo</v>
      </c>
      <c r="F639" s="1" t="str">
        <f ca="1">+'Maestro infraestructura'!V638</f>
        <v>AL DÍA</v>
      </c>
      <c r="G639" s="1" t="str">
        <f>+'Maestro infraestructura'!X638</f>
        <v>OPERACIÓN</v>
      </c>
      <c r="H639" s="1">
        <f>+'Maestro infraestructura'!Y638</f>
        <v>2</v>
      </c>
      <c r="I639" s="1"/>
      <c r="J639" s="6">
        <f>+'Maestro infraestructura'!T638</f>
        <v>46378</v>
      </c>
      <c r="K639" s="6">
        <f t="shared" ca="1" si="29"/>
        <v>46378</v>
      </c>
      <c r="L639" s="6"/>
    </row>
    <row r="640" spans="1:12" x14ac:dyDescent="0.2">
      <c r="A640" s="1" t="str">
        <f>+'Maestro infraestructura'!A639</f>
        <v>EDIFICIO PRINCIPAL</v>
      </c>
      <c r="B640" s="1" t="str">
        <f>+'Maestro infraestructura'!B639</f>
        <v>5° Piso</v>
      </c>
      <c r="C640" s="1">
        <f>+'Maestro infraestructura'!C639</f>
        <v>510</v>
      </c>
      <c r="D640" s="1" t="str">
        <f>+'Maestro infraestructura'!F639</f>
        <v>Pupitre</v>
      </c>
      <c r="E640" s="25" t="str">
        <f ca="1">+'Maestro infraestructura'!K639</f>
        <v>Activo</v>
      </c>
      <c r="F640" s="1" t="str">
        <f ca="1">+'Maestro infraestructura'!V639</f>
        <v>AL DÍA</v>
      </c>
      <c r="G640" s="1" t="str">
        <f>+'Maestro infraestructura'!X639</f>
        <v>OPERACIÓN</v>
      </c>
      <c r="H640" s="1">
        <f>+'Maestro infraestructura'!Y639</f>
        <v>2</v>
      </c>
      <c r="I640" s="1"/>
      <c r="J640" s="6">
        <f>+'Maestro infraestructura'!T639</f>
        <v>46378</v>
      </c>
      <c r="K640" s="6">
        <f t="shared" ca="1" si="29"/>
        <v>46378</v>
      </c>
      <c r="L640" s="6"/>
    </row>
    <row r="641" spans="1:12" x14ac:dyDescent="0.2">
      <c r="A641" s="1" t="str">
        <f>+'Maestro infraestructura'!A640</f>
        <v>EDIFICIO PRINCIPAL</v>
      </c>
      <c r="B641" s="1" t="str">
        <f>+'Maestro infraestructura'!B640</f>
        <v>5° Piso</v>
      </c>
      <c r="C641" s="1">
        <f>+'Maestro infraestructura'!C640</f>
        <v>511</v>
      </c>
      <c r="D641" s="1" t="str">
        <f>+'Maestro infraestructura'!F640</f>
        <v>Pupitre</v>
      </c>
      <c r="E641" s="25" t="str">
        <f ca="1">+'Maestro infraestructura'!K640</f>
        <v>Activo</v>
      </c>
      <c r="F641" s="1" t="str">
        <f ca="1">+'Maestro infraestructura'!V640</f>
        <v>AL DÍA</v>
      </c>
      <c r="G641" s="1" t="str">
        <f>+'Maestro infraestructura'!X640</f>
        <v>OPERACIÓN</v>
      </c>
      <c r="H641" s="1">
        <f>+'Maestro infraestructura'!Y640</f>
        <v>2</v>
      </c>
      <c r="I641" s="1"/>
      <c r="J641" s="6">
        <f>+'Maestro infraestructura'!T640</f>
        <v>46378</v>
      </c>
      <c r="K641" s="6">
        <f t="shared" ca="1" si="29"/>
        <v>46378</v>
      </c>
      <c r="L641" s="6"/>
    </row>
    <row r="642" spans="1:12" x14ac:dyDescent="0.2">
      <c r="A642" s="1" t="str">
        <f>+'Maestro infraestructura'!A641</f>
        <v>EDIFICIO PRINCIPAL</v>
      </c>
      <c r="B642" s="1" t="str">
        <f>+'Maestro infraestructura'!B641</f>
        <v>5° Piso</v>
      </c>
      <c r="C642" s="1">
        <f>+'Maestro infraestructura'!C641</f>
        <v>512</v>
      </c>
      <c r="D642" s="1" t="str">
        <f>+'Maestro infraestructura'!F641</f>
        <v>Pupitre</v>
      </c>
      <c r="E642" s="25" t="str">
        <f ca="1">+'Maestro infraestructura'!K641</f>
        <v>Activo</v>
      </c>
      <c r="F642" s="1" t="str">
        <f ca="1">+'Maestro infraestructura'!V641</f>
        <v>AL DÍA</v>
      </c>
      <c r="G642" s="1" t="str">
        <f>+'Maestro infraestructura'!X641</f>
        <v>OPERACIÓN</v>
      </c>
      <c r="H642" s="1">
        <f>+'Maestro infraestructura'!Y641</f>
        <v>2</v>
      </c>
      <c r="I642" s="1"/>
      <c r="J642" s="6">
        <f>+'Maestro infraestructura'!T641</f>
        <v>46378</v>
      </c>
      <c r="K642" s="6">
        <f t="shared" ca="1" si="29"/>
        <v>46378</v>
      </c>
      <c r="L642" s="6"/>
    </row>
    <row r="643" spans="1:12" x14ac:dyDescent="0.2">
      <c r="A643" s="1" t="str">
        <f>+'Maestro infraestructura'!A642</f>
        <v>EDIFICIO PRINCIPAL</v>
      </c>
      <c r="B643" s="1" t="str">
        <f>+'Maestro infraestructura'!B642</f>
        <v>5° Piso</v>
      </c>
      <c r="C643" s="1">
        <f>+'Maestro infraestructura'!C642</f>
        <v>513</v>
      </c>
      <c r="D643" s="1" t="str">
        <f>+'Maestro infraestructura'!F642</f>
        <v>Pupitre</v>
      </c>
      <c r="E643" s="25" t="str">
        <f ca="1">+'Maestro infraestructura'!K642</f>
        <v>Activo</v>
      </c>
      <c r="F643" s="1" t="str">
        <f ca="1">+'Maestro infraestructura'!V642</f>
        <v>AL DÍA</v>
      </c>
      <c r="G643" s="1" t="str">
        <f>+'Maestro infraestructura'!X642</f>
        <v>OPERACIÓN</v>
      </c>
      <c r="H643" s="1">
        <f>+'Maestro infraestructura'!Y642</f>
        <v>2</v>
      </c>
      <c r="I643" s="1"/>
      <c r="J643" s="6">
        <f>+'Maestro infraestructura'!T642</f>
        <v>46378</v>
      </c>
      <c r="K643" s="6">
        <f t="shared" ca="1" si="29"/>
        <v>46378</v>
      </c>
      <c r="L643" s="6"/>
    </row>
    <row r="644" spans="1:12" x14ac:dyDescent="0.2">
      <c r="A644" s="1" t="str">
        <f>+'Maestro infraestructura'!A643</f>
        <v>EDIFICIO PRINCIPAL</v>
      </c>
      <c r="B644" s="1" t="str">
        <f>+'Maestro infraestructura'!B643</f>
        <v>5° Piso</v>
      </c>
      <c r="C644" s="1">
        <f>+'Maestro infraestructura'!C643</f>
        <v>515</v>
      </c>
      <c r="D644" s="1" t="str">
        <f>+'Maestro infraestructura'!F643</f>
        <v>Pupitre</v>
      </c>
      <c r="E644" s="25" t="str">
        <f ca="1">+'Maestro infraestructura'!K643</f>
        <v>Activo</v>
      </c>
      <c r="F644" s="1" t="str">
        <f ca="1">+'Maestro infraestructura'!V643</f>
        <v>AL DÍA</v>
      </c>
      <c r="G644" s="1" t="str">
        <f>+'Maestro infraestructura'!X643</f>
        <v>OPERACIÓN</v>
      </c>
      <c r="H644" s="1">
        <f>+'Maestro infraestructura'!Y643</f>
        <v>2</v>
      </c>
      <c r="I644" s="1"/>
      <c r="J644" s="6">
        <f>+'Maestro infraestructura'!T643</f>
        <v>46378</v>
      </c>
      <c r="K644" s="6">
        <f t="shared" ref="K644:K707" ca="1" si="30">IF(E644="Cambiar o Inspección externa",1/1/2027,IF(E644="cambiar",1/1/2027,J644))</f>
        <v>46378</v>
      </c>
      <c r="L644" s="6"/>
    </row>
    <row r="645" spans="1:12" x14ac:dyDescent="0.2">
      <c r="A645" s="1" t="str">
        <f>+'Maestro infraestructura'!A644</f>
        <v>EDIFICIO PRINCIPAL</v>
      </c>
      <c r="B645" s="1" t="str">
        <f>+'Maestro infraestructura'!B644</f>
        <v>5° Piso</v>
      </c>
      <c r="C645" s="1">
        <f>+'Maestro infraestructura'!C644</f>
        <v>516</v>
      </c>
      <c r="D645" s="1" t="str">
        <f>+'Maestro infraestructura'!F644</f>
        <v>Pupitre</v>
      </c>
      <c r="E645" s="25" t="str">
        <f ca="1">+'Maestro infraestructura'!K644</f>
        <v>Activo</v>
      </c>
      <c r="F645" s="1" t="str">
        <f ca="1">+'Maestro infraestructura'!V644</f>
        <v>AL DÍA</v>
      </c>
      <c r="G645" s="1" t="str">
        <f>+'Maestro infraestructura'!X644</f>
        <v>OPERACIÓN</v>
      </c>
      <c r="H645" s="1">
        <f>+'Maestro infraestructura'!Y644</f>
        <v>2</v>
      </c>
      <c r="I645" s="1"/>
      <c r="J645" s="6">
        <f>+'Maestro infraestructura'!T644</f>
        <v>46378</v>
      </c>
      <c r="K645" s="6">
        <f t="shared" ca="1" si="30"/>
        <v>46378</v>
      </c>
      <c r="L645" s="6"/>
    </row>
    <row r="646" spans="1:12" x14ac:dyDescent="0.2">
      <c r="A646" s="1" t="str">
        <f>+'Maestro infraestructura'!A645</f>
        <v>EDIFICIO PRINCIPAL</v>
      </c>
      <c r="B646" s="1" t="str">
        <f>+'Maestro infraestructura'!B645</f>
        <v>5° Piso</v>
      </c>
      <c r="C646" s="1">
        <f>+'Maestro infraestructura'!C645</f>
        <v>522</v>
      </c>
      <c r="D646" s="1" t="str">
        <f>+'Maestro infraestructura'!F645</f>
        <v>Pupitre</v>
      </c>
      <c r="E646" s="25" t="str">
        <f ca="1">+'Maestro infraestructura'!K645</f>
        <v>Activo</v>
      </c>
      <c r="F646" s="1" t="str">
        <f ca="1">+'Maestro infraestructura'!V645</f>
        <v>AL DÍA</v>
      </c>
      <c r="G646" s="1" t="str">
        <f>+'Maestro infraestructura'!X645</f>
        <v>OPERACIÓN</v>
      </c>
      <c r="H646" s="1">
        <f>+'Maestro infraestructura'!Y645</f>
        <v>2</v>
      </c>
      <c r="I646" s="1"/>
      <c r="J646" s="6">
        <f>+'Maestro infraestructura'!T645</f>
        <v>46378</v>
      </c>
      <c r="K646" s="6">
        <f t="shared" ca="1" si="30"/>
        <v>46378</v>
      </c>
      <c r="L646" s="6"/>
    </row>
    <row r="647" spans="1:12" x14ac:dyDescent="0.2">
      <c r="A647" s="1" t="str">
        <f>+'Maestro infraestructura'!A646</f>
        <v>EDIFICIO PRINCIPAL</v>
      </c>
      <c r="B647" s="1" t="str">
        <f>+'Maestro infraestructura'!B646</f>
        <v>5° Piso</v>
      </c>
      <c r="C647" s="1">
        <f>+'Maestro infraestructura'!C646</f>
        <v>523</v>
      </c>
      <c r="D647" s="1" t="str">
        <f>+'Maestro infraestructura'!F646</f>
        <v>Pupitre</v>
      </c>
      <c r="E647" s="25" t="str">
        <f ca="1">+'Maestro infraestructura'!K646</f>
        <v>Activo</v>
      </c>
      <c r="F647" s="1" t="str">
        <f ca="1">+'Maestro infraestructura'!V646</f>
        <v>AL DÍA</v>
      </c>
      <c r="G647" s="1" t="str">
        <f>+'Maestro infraestructura'!X646</f>
        <v>OPERACIÓN</v>
      </c>
      <c r="H647" s="1">
        <f>+'Maestro infraestructura'!Y646</f>
        <v>2</v>
      </c>
      <c r="I647" s="1"/>
      <c r="J647" s="6">
        <f>+'Maestro infraestructura'!T646</f>
        <v>46378</v>
      </c>
      <c r="K647" s="6">
        <f t="shared" ca="1" si="30"/>
        <v>46378</v>
      </c>
      <c r="L647" s="6"/>
    </row>
    <row r="648" spans="1:12" x14ac:dyDescent="0.2">
      <c r="A648" s="1" t="str">
        <f>+'Maestro infraestructura'!A647</f>
        <v>EDIFICIO PRINCIPAL</v>
      </c>
      <c r="B648" s="1" t="str">
        <f>+'Maestro infraestructura'!B647</f>
        <v>5° Piso</v>
      </c>
      <c r="C648" s="1">
        <f>+'Maestro infraestructura'!C647</f>
        <v>524</v>
      </c>
      <c r="D648" s="1" t="str">
        <f>+'Maestro infraestructura'!F647</f>
        <v>Pupitre</v>
      </c>
      <c r="E648" s="25" t="str">
        <f ca="1">+'Maestro infraestructura'!K647</f>
        <v>Activo</v>
      </c>
      <c r="F648" s="1" t="str">
        <f ca="1">+'Maestro infraestructura'!V647</f>
        <v>AL DÍA</v>
      </c>
      <c r="G648" s="1" t="str">
        <f>+'Maestro infraestructura'!X647</f>
        <v>OPERACIÓN</v>
      </c>
      <c r="H648" s="1">
        <f>+'Maestro infraestructura'!Y647</f>
        <v>2</v>
      </c>
      <c r="I648" s="1"/>
      <c r="J648" s="6">
        <f>+'Maestro infraestructura'!T647</f>
        <v>46378</v>
      </c>
      <c r="K648" s="6">
        <f t="shared" ca="1" si="30"/>
        <v>46378</v>
      </c>
      <c r="L648" s="6"/>
    </row>
    <row r="649" spans="1:12" x14ac:dyDescent="0.2">
      <c r="A649" s="1" t="str">
        <f>+'Maestro infraestructura'!A648</f>
        <v>EDIFICIO PRINCIPAL</v>
      </c>
      <c r="B649" s="1" t="str">
        <f>+'Maestro infraestructura'!B648</f>
        <v>5° Piso</v>
      </c>
      <c r="C649" s="1">
        <f>+'Maestro infraestructura'!C648</f>
        <v>525</v>
      </c>
      <c r="D649" s="1" t="str">
        <f>+'Maestro infraestructura'!F648</f>
        <v>Pupitre</v>
      </c>
      <c r="E649" s="25" t="str">
        <f ca="1">+'Maestro infraestructura'!K648</f>
        <v>Activo</v>
      </c>
      <c r="F649" s="1" t="str">
        <f ca="1">+'Maestro infraestructura'!V648</f>
        <v>AL DÍA</v>
      </c>
      <c r="G649" s="1" t="str">
        <f>+'Maestro infraestructura'!X648</f>
        <v>OPERACIÓN</v>
      </c>
      <c r="H649" s="1">
        <f>+'Maestro infraestructura'!Y648</f>
        <v>2</v>
      </c>
      <c r="I649" s="1"/>
      <c r="J649" s="6">
        <f>+'Maestro infraestructura'!T648</f>
        <v>46378</v>
      </c>
      <c r="K649" s="6">
        <f t="shared" ca="1" si="30"/>
        <v>46378</v>
      </c>
      <c r="L649" s="6"/>
    </row>
    <row r="650" spans="1:12" x14ac:dyDescent="0.2">
      <c r="A650" s="1" t="str">
        <f>+'Maestro infraestructura'!A649</f>
        <v>EDIFICIO PRINCIPAL</v>
      </c>
      <c r="B650" s="1" t="str">
        <f>+'Maestro infraestructura'!B649</f>
        <v>6° Piso</v>
      </c>
      <c r="C650" s="1">
        <f>+'Maestro infraestructura'!C649</f>
        <v>601</v>
      </c>
      <c r="D650" s="1" t="str">
        <f>+'Maestro infraestructura'!F649</f>
        <v>Pupitre</v>
      </c>
      <c r="E650" s="25" t="str">
        <f ca="1">+'Maestro infraestructura'!K649</f>
        <v>Activo</v>
      </c>
      <c r="F650" s="1" t="str">
        <f ca="1">+'Maestro infraestructura'!V649</f>
        <v>AL DÍA</v>
      </c>
      <c r="G650" s="1" t="str">
        <f>+'Maestro infraestructura'!X649</f>
        <v>OPERACIÓN</v>
      </c>
      <c r="H650" s="1">
        <f>+'Maestro infraestructura'!Y649</f>
        <v>2</v>
      </c>
      <c r="I650" s="1"/>
      <c r="J650" s="6">
        <f>+'Maestro infraestructura'!T649</f>
        <v>46378</v>
      </c>
      <c r="K650" s="6">
        <f t="shared" ca="1" si="30"/>
        <v>46378</v>
      </c>
      <c r="L650" s="6"/>
    </row>
    <row r="651" spans="1:12" x14ac:dyDescent="0.2">
      <c r="A651" s="1" t="str">
        <f>+'Maestro infraestructura'!A650</f>
        <v>EDIFICIO PRINCIPAL</v>
      </c>
      <c r="B651" s="1" t="str">
        <f>+'Maestro infraestructura'!B650</f>
        <v>6° Piso</v>
      </c>
      <c r="C651" s="1">
        <f>+'Maestro infraestructura'!C650</f>
        <v>602</v>
      </c>
      <c r="D651" s="1" t="str">
        <f>+'Maestro infraestructura'!F650</f>
        <v>Pupitre</v>
      </c>
      <c r="E651" s="25" t="str">
        <f ca="1">+'Maestro infraestructura'!K650</f>
        <v>Activo</v>
      </c>
      <c r="F651" s="1" t="str">
        <f ca="1">+'Maestro infraestructura'!V650</f>
        <v>AL DÍA</v>
      </c>
      <c r="G651" s="1" t="str">
        <f>+'Maestro infraestructura'!X650</f>
        <v>OPERACIÓN</v>
      </c>
      <c r="H651" s="1">
        <f>+'Maestro infraestructura'!Y650</f>
        <v>2</v>
      </c>
      <c r="I651" s="1"/>
      <c r="J651" s="6">
        <f>+'Maestro infraestructura'!T650</f>
        <v>46378</v>
      </c>
      <c r="K651" s="6">
        <f t="shared" ca="1" si="30"/>
        <v>46378</v>
      </c>
      <c r="L651" s="6"/>
    </row>
    <row r="652" spans="1:12" x14ac:dyDescent="0.2">
      <c r="A652" s="1" t="str">
        <f>+'Maestro infraestructura'!A651</f>
        <v>EDIFICIO PRINCIPAL</v>
      </c>
      <c r="B652" s="1" t="str">
        <f>+'Maestro infraestructura'!B651</f>
        <v>6° Piso</v>
      </c>
      <c r="C652" s="1">
        <f>+'Maestro infraestructura'!C651</f>
        <v>603</v>
      </c>
      <c r="D652" s="1" t="str">
        <f>+'Maestro infraestructura'!F651</f>
        <v>Pupitre</v>
      </c>
      <c r="E652" s="25" t="str">
        <f ca="1">+'Maestro infraestructura'!K651</f>
        <v>Activo</v>
      </c>
      <c r="F652" s="1" t="str">
        <f ca="1">+'Maestro infraestructura'!V651</f>
        <v>AL DÍA</v>
      </c>
      <c r="G652" s="1" t="str">
        <f>+'Maestro infraestructura'!X651</f>
        <v>OPERACIÓN</v>
      </c>
      <c r="H652" s="1">
        <f>+'Maestro infraestructura'!Y651</f>
        <v>2</v>
      </c>
      <c r="I652" s="1"/>
      <c r="J652" s="6">
        <f>+'Maestro infraestructura'!T651</f>
        <v>46378</v>
      </c>
      <c r="K652" s="6">
        <f t="shared" ca="1" si="30"/>
        <v>46378</v>
      </c>
      <c r="L652" s="6"/>
    </row>
    <row r="653" spans="1:12" x14ac:dyDescent="0.2">
      <c r="A653" s="1" t="str">
        <f>+'Maestro infraestructura'!A652</f>
        <v>EDIFICIO PRINCIPAL</v>
      </c>
      <c r="B653" s="1" t="str">
        <f>+'Maestro infraestructura'!B652</f>
        <v>6° Piso</v>
      </c>
      <c r="C653" s="1">
        <f>+'Maestro infraestructura'!C652</f>
        <v>604</v>
      </c>
      <c r="D653" s="1" t="str">
        <f>+'Maestro infraestructura'!F652</f>
        <v>Pupitre</v>
      </c>
      <c r="E653" s="25" t="str">
        <f ca="1">+'Maestro infraestructura'!K652</f>
        <v>Activo</v>
      </c>
      <c r="F653" s="1" t="str">
        <f ca="1">+'Maestro infraestructura'!V652</f>
        <v>AL DÍA</v>
      </c>
      <c r="G653" s="1" t="str">
        <f>+'Maestro infraestructura'!X652</f>
        <v>OPERACIÓN</v>
      </c>
      <c r="H653" s="1">
        <f>+'Maestro infraestructura'!Y652</f>
        <v>2</v>
      </c>
      <c r="I653" s="1"/>
      <c r="J653" s="6">
        <f>+'Maestro infraestructura'!T652</f>
        <v>46378</v>
      </c>
      <c r="K653" s="6">
        <f t="shared" ca="1" si="30"/>
        <v>46378</v>
      </c>
      <c r="L653" s="6"/>
    </row>
    <row r="654" spans="1:12" x14ac:dyDescent="0.2">
      <c r="A654" s="1" t="str">
        <f>+'Maestro infraestructura'!A653</f>
        <v>EDIFICIO PRINCIPAL</v>
      </c>
      <c r="B654" s="1" t="str">
        <f>+'Maestro infraestructura'!B653</f>
        <v>6° Piso</v>
      </c>
      <c r="C654" s="1">
        <f>+'Maestro infraestructura'!C653</f>
        <v>606</v>
      </c>
      <c r="D654" s="1" t="str">
        <f>+'Maestro infraestructura'!F653</f>
        <v>Pupitre</v>
      </c>
      <c r="E654" s="25" t="str">
        <f ca="1">+'Maestro infraestructura'!K653</f>
        <v>Activo</v>
      </c>
      <c r="F654" s="1" t="str">
        <f ca="1">+'Maestro infraestructura'!V653</f>
        <v>AL DÍA</v>
      </c>
      <c r="G654" s="1" t="str">
        <f>+'Maestro infraestructura'!X653</f>
        <v>OPERACIÓN</v>
      </c>
      <c r="H654" s="1">
        <f>+'Maestro infraestructura'!Y653</f>
        <v>2</v>
      </c>
      <c r="I654" s="1"/>
      <c r="J654" s="6">
        <f>+'Maestro infraestructura'!T653</f>
        <v>46378</v>
      </c>
      <c r="K654" s="6">
        <f t="shared" ca="1" si="30"/>
        <v>46378</v>
      </c>
      <c r="L654" s="6"/>
    </row>
    <row r="655" spans="1:12" x14ac:dyDescent="0.2">
      <c r="A655" s="1" t="str">
        <f>+'Maestro infraestructura'!A654</f>
        <v>EDIFICIO PRINCIPAL</v>
      </c>
      <c r="B655" s="1" t="str">
        <f>+'Maestro infraestructura'!B654</f>
        <v>6° Piso</v>
      </c>
      <c r="C655" s="1">
        <f>+'Maestro infraestructura'!C654</f>
        <v>607</v>
      </c>
      <c r="D655" s="1" t="str">
        <f>+'Maestro infraestructura'!F654</f>
        <v>Pupitre</v>
      </c>
      <c r="E655" s="25" t="str">
        <f ca="1">+'Maestro infraestructura'!K654</f>
        <v>Activo</v>
      </c>
      <c r="F655" s="1" t="str">
        <f ca="1">+'Maestro infraestructura'!V654</f>
        <v>AL DÍA</v>
      </c>
      <c r="G655" s="1" t="str">
        <f>+'Maestro infraestructura'!X654</f>
        <v>OPERACIÓN</v>
      </c>
      <c r="H655" s="1">
        <f>+'Maestro infraestructura'!Y654</f>
        <v>2</v>
      </c>
      <c r="I655" s="1"/>
      <c r="J655" s="6">
        <f>+'Maestro infraestructura'!T654</f>
        <v>46378</v>
      </c>
      <c r="K655" s="6">
        <f t="shared" ca="1" si="30"/>
        <v>46378</v>
      </c>
      <c r="L655" s="6"/>
    </row>
    <row r="656" spans="1:12" x14ac:dyDescent="0.2">
      <c r="A656" s="1" t="str">
        <f>+'Maestro infraestructura'!A655</f>
        <v>EDIFICIO PRINCIPAL</v>
      </c>
      <c r="B656" s="1" t="str">
        <f>+'Maestro infraestructura'!B655</f>
        <v>6° Piso</v>
      </c>
      <c r="C656" s="1">
        <f>+'Maestro infraestructura'!C655</f>
        <v>608</v>
      </c>
      <c r="D656" s="1" t="str">
        <f>+'Maestro infraestructura'!F655</f>
        <v>Pupitre</v>
      </c>
      <c r="E656" s="25" t="str">
        <f ca="1">+'Maestro infraestructura'!K655</f>
        <v>Activo</v>
      </c>
      <c r="F656" s="1" t="str">
        <f ca="1">+'Maestro infraestructura'!V655</f>
        <v>AL DÍA</v>
      </c>
      <c r="G656" s="1" t="str">
        <f>+'Maestro infraestructura'!X655</f>
        <v>OPERACIÓN</v>
      </c>
      <c r="H656" s="1">
        <f>+'Maestro infraestructura'!Y655</f>
        <v>2</v>
      </c>
      <c r="I656" s="1"/>
      <c r="J656" s="6">
        <f>+'Maestro infraestructura'!T655</f>
        <v>46378</v>
      </c>
      <c r="K656" s="6">
        <f t="shared" ca="1" si="30"/>
        <v>46378</v>
      </c>
      <c r="L656" s="6"/>
    </row>
    <row r="657" spans="1:12" x14ac:dyDescent="0.2">
      <c r="A657" s="1" t="str">
        <f>+'Maestro infraestructura'!A656</f>
        <v>EDIFICIO PRINCIPAL</v>
      </c>
      <c r="B657" s="1" t="str">
        <f>+'Maestro infraestructura'!B656</f>
        <v>6° Piso</v>
      </c>
      <c r="C657" s="1">
        <f>+'Maestro infraestructura'!C656</f>
        <v>609</v>
      </c>
      <c r="D657" s="1" t="str">
        <f>+'Maestro infraestructura'!F656</f>
        <v>Pupitre</v>
      </c>
      <c r="E657" s="25" t="str">
        <f ca="1">+'Maestro infraestructura'!K656</f>
        <v>Activo</v>
      </c>
      <c r="F657" s="1" t="str">
        <f ca="1">+'Maestro infraestructura'!V656</f>
        <v>AL DÍA</v>
      </c>
      <c r="G657" s="1" t="str">
        <f>+'Maestro infraestructura'!X656</f>
        <v>OPERACIÓN</v>
      </c>
      <c r="H657" s="1">
        <f>+'Maestro infraestructura'!Y656</f>
        <v>2</v>
      </c>
      <c r="I657" s="1"/>
      <c r="J657" s="6">
        <f>+'Maestro infraestructura'!T656</f>
        <v>46378</v>
      </c>
      <c r="K657" s="6">
        <f t="shared" ca="1" si="30"/>
        <v>46378</v>
      </c>
      <c r="L657" s="6"/>
    </row>
    <row r="658" spans="1:12" x14ac:dyDescent="0.2">
      <c r="A658" s="1" t="str">
        <f>+'Maestro infraestructura'!A657</f>
        <v>EDIFICIO PRINCIPAL</v>
      </c>
      <c r="B658" s="1" t="str">
        <f>+'Maestro infraestructura'!B657</f>
        <v>6° Piso</v>
      </c>
      <c r="C658" s="1">
        <f>+'Maestro infraestructura'!C657</f>
        <v>610</v>
      </c>
      <c r="D658" s="1" t="str">
        <f>+'Maestro infraestructura'!F657</f>
        <v>Pupitre</v>
      </c>
      <c r="E658" s="25" t="str">
        <f ca="1">+'Maestro infraestructura'!K657</f>
        <v>Activo</v>
      </c>
      <c r="F658" s="1" t="str">
        <f ca="1">+'Maestro infraestructura'!V657</f>
        <v>AL DÍA</v>
      </c>
      <c r="G658" s="1" t="str">
        <f>+'Maestro infraestructura'!X657</f>
        <v>OPERACIÓN</v>
      </c>
      <c r="H658" s="1">
        <f>+'Maestro infraestructura'!Y657</f>
        <v>2</v>
      </c>
      <c r="I658" s="1"/>
      <c r="J658" s="6">
        <f>+'Maestro infraestructura'!T657</f>
        <v>46378</v>
      </c>
      <c r="K658" s="6">
        <f t="shared" ca="1" si="30"/>
        <v>46378</v>
      </c>
      <c r="L658" s="6"/>
    </row>
    <row r="659" spans="1:12" x14ac:dyDescent="0.2">
      <c r="A659" s="1" t="str">
        <f>+'Maestro infraestructura'!A658</f>
        <v>EDIFICIO PRINCIPAL</v>
      </c>
      <c r="B659" s="1" t="str">
        <f>+'Maestro infraestructura'!B658</f>
        <v>6° Piso</v>
      </c>
      <c r="C659" s="1">
        <f>+'Maestro infraestructura'!C658</f>
        <v>611</v>
      </c>
      <c r="D659" s="1" t="str">
        <f>+'Maestro infraestructura'!F658</f>
        <v>Pupitre</v>
      </c>
      <c r="E659" s="25" t="str">
        <f ca="1">+'Maestro infraestructura'!K658</f>
        <v>Activo</v>
      </c>
      <c r="F659" s="1" t="str">
        <f ca="1">+'Maestro infraestructura'!V658</f>
        <v>AL DÍA</v>
      </c>
      <c r="G659" s="1" t="str">
        <f>+'Maestro infraestructura'!X658</f>
        <v>OPERACIÓN</v>
      </c>
      <c r="H659" s="1">
        <f>+'Maestro infraestructura'!Y658</f>
        <v>2</v>
      </c>
      <c r="I659" s="1"/>
      <c r="J659" s="6">
        <f>+'Maestro infraestructura'!T658</f>
        <v>46378</v>
      </c>
      <c r="K659" s="6">
        <f t="shared" ca="1" si="30"/>
        <v>46378</v>
      </c>
      <c r="L659" s="6"/>
    </row>
    <row r="660" spans="1:12" x14ac:dyDescent="0.2">
      <c r="A660" s="1" t="str">
        <f>+'Maestro infraestructura'!A659</f>
        <v>EDIFICIO PRINCIPAL</v>
      </c>
      <c r="B660" s="1" t="str">
        <f>+'Maestro infraestructura'!B659</f>
        <v>6° Piso</v>
      </c>
      <c r="C660" s="1">
        <f>+'Maestro infraestructura'!C659</f>
        <v>612</v>
      </c>
      <c r="D660" s="1" t="str">
        <f>+'Maestro infraestructura'!F659</f>
        <v>Pupitre</v>
      </c>
      <c r="E660" s="25" t="str">
        <f ca="1">+'Maestro infraestructura'!K659</f>
        <v>Activo</v>
      </c>
      <c r="F660" s="1" t="str">
        <f ca="1">+'Maestro infraestructura'!V659</f>
        <v>AL DÍA</v>
      </c>
      <c r="G660" s="1" t="str">
        <f>+'Maestro infraestructura'!X659</f>
        <v>OPERACIÓN</v>
      </c>
      <c r="H660" s="1">
        <f>+'Maestro infraestructura'!Y659</f>
        <v>2</v>
      </c>
      <c r="I660" s="1"/>
      <c r="J660" s="6">
        <f>+'Maestro infraestructura'!T659</f>
        <v>46378</v>
      </c>
      <c r="K660" s="6">
        <f t="shared" ca="1" si="30"/>
        <v>46378</v>
      </c>
      <c r="L660" s="6"/>
    </row>
    <row r="661" spans="1:12" x14ac:dyDescent="0.2">
      <c r="A661" s="1" t="str">
        <f>+'Maestro infraestructura'!A660</f>
        <v>EDIFICIO PRINCIPAL</v>
      </c>
      <c r="B661" s="1" t="str">
        <f>+'Maestro infraestructura'!B660</f>
        <v>6° Piso</v>
      </c>
      <c r="C661" s="1">
        <f>+'Maestro infraestructura'!C660</f>
        <v>613</v>
      </c>
      <c r="D661" s="1" t="str">
        <f>+'Maestro infraestructura'!F660</f>
        <v>Pupitre</v>
      </c>
      <c r="E661" s="25" t="str">
        <f ca="1">+'Maestro infraestructura'!K660</f>
        <v>Activo</v>
      </c>
      <c r="F661" s="1" t="str">
        <f ca="1">+'Maestro infraestructura'!V660</f>
        <v>AL DÍA</v>
      </c>
      <c r="G661" s="1" t="str">
        <f>+'Maestro infraestructura'!X660</f>
        <v>OPERACIÓN</v>
      </c>
      <c r="H661" s="1">
        <f>+'Maestro infraestructura'!Y660</f>
        <v>2</v>
      </c>
      <c r="I661" s="1"/>
      <c r="J661" s="6">
        <f>+'Maestro infraestructura'!T660</f>
        <v>46378</v>
      </c>
      <c r="K661" s="6">
        <f t="shared" ca="1" si="30"/>
        <v>46378</v>
      </c>
      <c r="L661" s="6"/>
    </row>
    <row r="662" spans="1:12" x14ac:dyDescent="0.2">
      <c r="A662" s="1" t="str">
        <f>+'Maestro infraestructura'!A661</f>
        <v>EDIFICIO PRINCIPAL</v>
      </c>
      <c r="B662" s="1" t="str">
        <f>+'Maestro infraestructura'!B661</f>
        <v>6° Piso</v>
      </c>
      <c r="C662" s="1">
        <f>+'Maestro infraestructura'!C661</f>
        <v>614</v>
      </c>
      <c r="D662" s="1" t="str">
        <f>+'Maestro infraestructura'!F661</f>
        <v>Pupitre</v>
      </c>
      <c r="E662" s="25" t="str">
        <f ca="1">+'Maestro infraestructura'!K661</f>
        <v>Activo</v>
      </c>
      <c r="F662" s="1" t="str">
        <f ca="1">+'Maestro infraestructura'!V661</f>
        <v>AL DÍA</v>
      </c>
      <c r="G662" s="1" t="str">
        <f>+'Maestro infraestructura'!X661</f>
        <v>OPERACIÓN</v>
      </c>
      <c r="H662" s="1">
        <f>+'Maestro infraestructura'!Y661</f>
        <v>2</v>
      </c>
      <c r="I662" s="1"/>
      <c r="J662" s="6">
        <f>+'Maestro infraestructura'!T661</f>
        <v>46378</v>
      </c>
      <c r="K662" s="6">
        <f t="shared" ca="1" si="30"/>
        <v>46378</v>
      </c>
      <c r="L662" s="6"/>
    </row>
    <row r="663" spans="1:12" x14ac:dyDescent="0.2">
      <c r="A663" s="1" t="str">
        <f>+'Maestro infraestructura'!A662</f>
        <v>EDIFICIO PRINCIPAL</v>
      </c>
      <c r="B663" s="1" t="str">
        <f>+'Maestro infraestructura'!B662</f>
        <v>6° Piso</v>
      </c>
      <c r="C663" s="1">
        <f>+'Maestro infraestructura'!C662</f>
        <v>615</v>
      </c>
      <c r="D663" s="1" t="str">
        <f>+'Maestro infraestructura'!F662</f>
        <v>Pupitre</v>
      </c>
      <c r="E663" s="25" t="str">
        <f ca="1">+'Maestro infraestructura'!K662</f>
        <v>Activo</v>
      </c>
      <c r="F663" s="1" t="str">
        <f ca="1">+'Maestro infraestructura'!V662</f>
        <v>AL DÍA</v>
      </c>
      <c r="G663" s="1" t="str">
        <f>+'Maestro infraestructura'!X662</f>
        <v>OPERACIÓN</v>
      </c>
      <c r="H663" s="1">
        <f>+'Maestro infraestructura'!Y662</f>
        <v>2</v>
      </c>
      <c r="I663" s="1"/>
      <c r="J663" s="6">
        <f>+'Maestro infraestructura'!T662</f>
        <v>46378</v>
      </c>
      <c r="K663" s="6">
        <f t="shared" ca="1" si="30"/>
        <v>46378</v>
      </c>
      <c r="L663" s="6"/>
    </row>
    <row r="664" spans="1:12" x14ac:dyDescent="0.2">
      <c r="A664" s="1" t="str">
        <f>+'Maestro infraestructura'!A663</f>
        <v>EDIFICIO PRINCIPAL</v>
      </c>
      <c r="B664" s="1" t="str">
        <f>+'Maestro infraestructura'!B663</f>
        <v>6° Piso</v>
      </c>
      <c r="C664" s="1">
        <f>+'Maestro infraestructura'!C663</f>
        <v>618</v>
      </c>
      <c r="D664" s="1" t="str">
        <f>+'Maestro infraestructura'!F663</f>
        <v>Pupitre</v>
      </c>
      <c r="E664" s="25" t="str">
        <f ca="1">+'Maestro infraestructura'!K663</f>
        <v>Activo</v>
      </c>
      <c r="F664" s="1" t="str">
        <f ca="1">+'Maestro infraestructura'!V663</f>
        <v>AL DÍA</v>
      </c>
      <c r="G664" s="1" t="str">
        <f>+'Maestro infraestructura'!X663</f>
        <v>OPERACIÓN</v>
      </c>
      <c r="H664" s="1">
        <f>+'Maestro infraestructura'!Y663</f>
        <v>2</v>
      </c>
      <c r="I664" s="1"/>
      <c r="J664" s="6">
        <f>+'Maestro infraestructura'!T663</f>
        <v>46378</v>
      </c>
      <c r="K664" s="6">
        <f t="shared" ca="1" si="30"/>
        <v>46378</v>
      </c>
      <c r="L664" s="6"/>
    </row>
    <row r="665" spans="1:12" x14ac:dyDescent="0.2">
      <c r="A665" s="1" t="str">
        <f>+'Maestro infraestructura'!A664</f>
        <v>EDIFICIO PRINCIPAL</v>
      </c>
      <c r="B665" s="1" t="str">
        <f>+'Maestro infraestructura'!B664</f>
        <v>6° Piso</v>
      </c>
      <c r="C665" s="1">
        <f>+'Maestro infraestructura'!C664</f>
        <v>623</v>
      </c>
      <c r="D665" s="1" t="str">
        <f>+'Maestro infraestructura'!F664</f>
        <v>Pupitre</v>
      </c>
      <c r="E665" s="25" t="str">
        <f ca="1">+'Maestro infraestructura'!K664</f>
        <v>Activo</v>
      </c>
      <c r="F665" s="1" t="str">
        <f ca="1">+'Maestro infraestructura'!V664</f>
        <v>AL DÍA</v>
      </c>
      <c r="G665" s="1" t="str">
        <f>+'Maestro infraestructura'!X664</f>
        <v>OPERACIÓN</v>
      </c>
      <c r="H665" s="1">
        <f>+'Maestro infraestructura'!Y664</f>
        <v>2</v>
      </c>
      <c r="I665" s="1"/>
      <c r="J665" s="6">
        <f>+'Maestro infraestructura'!T664</f>
        <v>46378</v>
      </c>
      <c r="K665" s="6">
        <f t="shared" ca="1" si="30"/>
        <v>46378</v>
      </c>
      <c r="L665" s="6"/>
    </row>
    <row r="666" spans="1:12" x14ac:dyDescent="0.2">
      <c r="A666" s="1" t="str">
        <f>+'Maestro infraestructura'!A665</f>
        <v>EDIFICIO PRINCIPAL</v>
      </c>
      <c r="B666" s="1" t="str">
        <f>+'Maestro infraestructura'!B665</f>
        <v>6° Piso</v>
      </c>
      <c r="C666" s="1">
        <f>+'Maestro infraestructura'!C665</f>
        <v>624</v>
      </c>
      <c r="D666" s="1" t="str">
        <f>+'Maestro infraestructura'!F665</f>
        <v>Pupitre</v>
      </c>
      <c r="E666" s="25" t="str">
        <f ca="1">+'Maestro infraestructura'!K665</f>
        <v>Activo</v>
      </c>
      <c r="F666" s="1" t="str">
        <f ca="1">+'Maestro infraestructura'!V665</f>
        <v>AL DÍA</v>
      </c>
      <c r="G666" s="1" t="str">
        <f>+'Maestro infraestructura'!X665</f>
        <v>OPERACIÓN</v>
      </c>
      <c r="H666" s="1">
        <f>+'Maestro infraestructura'!Y665</f>
        <v>2</v>
      </c>
      <c r="I666" s="1"/>
      <c r="J666" s="6">
        <f>+'Maestro infraestructura'!T665</f>
        <v>46378</v>
      </c>
      <c r="K666" s="6">
        <f t="shared" ca="1" si="30"/>
        <v>46378</v>
      </c>
      <c r="L666" s="6"/>
    </row>
    <row r="667" spans="1:12" x14ac:dyDescent="0.2">
      <c r="A667" s="1" t="str">
        <f>+'Maestro infraestructura'!A666</f>
        <v>EDIFICIO PRINCIPAL</v>
      </c>
      <c r="B667" s="1" t="str">
        <f>+'Maestro infraestructura'!B666</f>
        <v>6° Piso</v>
      </c>
      <c r="C667" s="1">
        <f>+'Maestro infraestructura'!C666</f>
        <v>625</v>
      </c>
      <c r="D667" s="1" t="str">
        <f>+'Maestro infraestructura'!F666</f>
        <v>Pupitre</v>
      </c>
      <c r="E667" s="25" t="str">
        <f ca="1">+'Maestro infraestructura'!K666</f>
        <v>Activo</v>
      </c>
      <c r="F667" s="1" t="str">
        <f ca="1">+'Maestro infraestructura'!V666</f>
        <v>AL DÍA</v>
      </c>
      <c r="G667" s="1" t="str">
        <f>+'Maestro infraestructura'!X666</f>
        <v>OPERACIÓN</v>
      </c>
      <c r="H667" s="1">
        <f>+'Maestro infraestructura'!Y666</f>
        <v>2</v>
      </c>
      <c r="I667" s="1"/>
      <c r="J667" s="6">
        <f>+'Maestro infraestructura'!T666</f>
        <v>46378</v>
      </c>
      <c r="K667" s="6">
        <f t="shared" ca="1" si="30"/>
        <v>46378</v>
      </c>
      <c r="L667" s="6"/>
    </row>
    <row r="668" spans="1:12" x14ac:dyDescent="0.2">
      <c r="A668" s="1" t="str">
        <f>+'Maestro infraestructura'!A667</f>
        <v>EDIFICIO PRINCIPAL</v>
      </c>
      <c r="B668" s="1" t="str">
        <f>+'Maestro infraestructura'!B667</f>
        <v>5° Piso</v>
      </c>
      <c r="C668" s="1">
        <f>+'Maestro infraestructura'!C667</f>
        <v>501</v>
      </c>
      <c r="D668" s="1" t="str">
        <f>+'Maestro infraestructura'!F667</f>
        <v>Mesa Profesor</v>
      </c>
      <c r="E668" s="25" t="str">
        <f ca="1">+'Maestro infraestructura'!K667</f>
        <v>Activo</v>
      </c>
      <c r="F668" s="1" t="str">
        <f ca="1">+'Maestro infraestructura'!V667</f>
        <v>AL DÍA</v>
      </c>
      <c r="G668" s="1" t="str">
        <f>+'Maestro infraestructura'!X667</f>
        <v>OPERACIÓN</v>
      </c>
      <c r="H668" s="1">
        <f>+'Maestro infraestructura'!Y667</f>
        <v>2</v>
      </c>
      <c r="I668" s="1"/>
      <c r="J668" s="6">
        <f>+'Maestro infraestructura'!T667</f>
        <v>46378</v>
      </c>
      <c r="K668" s="6">
        <f t="shared" ca="1" si="30"/>
        <v>46378</v>
      </c>
      <c r="L668" s="6"/>
    </row>
    <row r="669" spans="1:12" x14ac:dyDescent="0.2">
      <c r="A669" s="1" t="str">
        <f>+'Maestro infraestructura'!A668</f>
        <v>EDIFICIO PRINCIPAL</v>
      </c>
      <c r="B669" s="1" t="str">
        <f>+'Maestro infraestructura'!B668</f>
        <v>5° Piso</v>
      </c>
      <c r="C669" s="1">
        <f>+'Maestro infraestructura'!C668</f>
        <v>502</v>
      </c>
      <c r="D669" s="1" t="str">
        <f>+'Maestro infraestructura'!F668</f>
        <v>Mesa Profesor</v>
      </c>
      <c r="E669" s="25" t="str">
        <f ca="1">+'Maestro infraestructura'!K668</f>
        <v>Activo</v>
      </c>
      <c r="F669" s="1" t="str">
        <f ca="1">+'Maestro infraestructura'!V668</f>
        <v>AL DÍA</v>
      </c>
      <c r="G669" s="1" t="str">
        <f>+'Maestro infraestructura'!X668</f>
        <v>OPERACIÓN</v>
      </c>
      <c r="H669" s="1">
        <f>+'Maestro infraestructura'!Y668</f>
        <v>2</v>
      </c>
      <c r="I669" s="1"/>
      <c r="J669" s="6">
        <f>+'Maestro infraestructura'!T668</f>
        <v>46378</v>
      </c>
      <c r="K669" s="6">
        <f t="shared" ca="1" si="30"/>
        <v>46378</v>
      </c>
      <c r="L669" s="6"/>
    </row>
    <row r="670" spans="1:12" x14ac:dyDescent="0.2">
      <c r="A670" s="1" t="str">
        <f>+'Maestro infraestructura'!A669</f>
        <v>EDIFICIO PRINCIPAL</v>
      </c>
      <c r="B670" s="1" t="str">
        <f>+'Maestro infraestructura'!B669</f>
        <v>5° Piso</v>
      </c>
      <c r="C670" s="1">
        <f>+'Maestro infraestructura'!C669</f>
        <v>503</v>
      </c>
      <c r="D670" s="1" t="str">
        <f>+'Maestro infraestructura'!F669</f>
        <v>Mesa Profesor</v>
      </c>
      <c r="E670" s="25" t="str">
        <f ca="1">+'Maestro infraestructura'!K669</f>
        <v>Activo</v>
      </c>
      <c r="F670" s="1" t="str">
        <f ca="1">+'Maestro infraestructura'!V669</f>
        <v>AL DÍA</v>
      </c>
      <c r="G670" s="1" t="str">
        <f>+'Maestro infraestructura'!X669</f>
        <v>OPERACIÓN</v>
      </c>
      <c r="H670" s="1">
        <f>+'Maestro infraestructura'!Y669</f>
        <v>2</v>
      </c>
      <c r="I670" s="1"/>
      <c r="J670" s="6">
        <f>+'Maestro infraestructura'!T669</f>
        <v>46378</v>
      </c>
      <c r="K670" s="6">
        <f t="shared" ca="1" si="30"/>
        <v>46378</v>
      </c>
      <c r="L670" s="6"/>
    </row>
    <row r="671" spans="1:12" x14ac:dyDescent="0.2">
      <c r="A671" s="1" t="str">
        <f>+'Maestro infraestructura'!A670</f>
        <v>EDIFICIO PRINCIPAL</v>
      </c>
      <c r="B671" s="1" t="str">
        <f>+'Maestro infraestructura'!B670</f>
        <v>5° Piso</v>
      </c>
      <c r="C671" s="1">
        <f>+'Maestro infraestructura'!C670</f>
        <v>504</v>
      </c>
      <c r="D671" s="1" t="str">
        <f>+'Maestro infraestructura'!F670</f>
        <v>Mesa Profesor</v>
      </c>
      <c r="E671" s="25" t="str">
        <f ca="1">+'Maestro infraestructura'!K670</f>
        <v>Activo</v>
      </c>
      <c r="F671" s="1" t="str">
        <f ca="1">+'Maestro infraestructura'!V670</f>
        <v>AL DÍA</v>
      </c>
      <c r="G671" s="1" t="str">
        <f>+'Maestro infraestructura'!X670</f>
        <v>OPERACIÓN</v>
      </c>
      <c r="H671" s="1">
        <f>+'Maestro infraestructura'!Y670</f>
        <v>2</v>
      </c>
      <c r="I671" s="1"/>
      <c r="J671" s="6">
        <f>+'Maestro infraestructura'!T670</f>
        <v>46378</v>
      </c>
      <c r="K671" s="6">
        <f t="shared" ca="1" si="30"/>
        <v>46378</v>
      </c>
      <c r="L671" s="6"/>
    </row>
    <row r="672" spans="1:12" x14ac:dyDescent="0.2">
      <c r="A672" s="1" t="str">
        <f>+'Maestro infraestructura'!A671</f>
        <v>EDIFICIO PRINCIPAL</v>
      </c>
      <c r="B672" s="1" t="str">
        <f>+'Maestro infraestructura'!B671</f>
        <v>5° Piso</v>
      </c>
      <c r="C672" s="1">
        <f>+'Maestro infraestructura'!C671</f>
        <v>506</v>
      </c>
      <c r="D672" s="1" t="str">
        <f>+'Maestro infraestructura'!F671</f>
        <v>Mesa Profesor</v>
      </c>
      <c r="E672" s="25" t="str">
        <f ca="1">+'Maestro infraestructura'!K671</f>
        <v>Activo</v>
      </c>
      <c r="F672" s="1" t="str">
        <f ca="1">+'Maestro infraestructura'!V671</f>
        <v>AL DÍA</v>
      </c>
      <c r="G672" s="1" t="str">
        <f>+'Maestro infraestructura'!X671</f>
        <v>OPERACIÓN</v>
      </c>
      <c r="H672" s="1">
        <f>+'Maestro infraestructura'!Y671</f>
        <v>2</v>
      </c>
      <c r="I672" s="1"/>
      <c r="J672" s="6">
        <f>+'Maestro infraestructura'!T671</f>
        <v>46378</v>
      </c>
      <c r="K672" s="6">
        <f t="shared" ca="1" si="30"/>
        <v>46378</v>
      </c>
      <c r="L672" s="6"/>
    </row>
    <row r="673" spans="1:12" x14ac:dyDescent="0.2">
      <c r="A673" s="1" t="str">
        <f>+'Maestro infraestructura'!A672</f>
        <v>EDIFICIO PRINCIPAL</v>
      </c>
      <c r="B673" s="1" t="str">
        <f>+'Maestro infraestructura'!B672</f>
        <v>5° Piso</v>
      </c>
      <c r="C673" s="1">
        <f>+'Maestro infraestructura'!C672</f>
        <v>507</v>
      </c>
      <c r="D673" s="1" t="str">
        <f>+'Maestro infraestructura'!F672</f>
        <v>Mesa Profesor</v>
      </c>
      <c r="E673" s="25" t="str">
        <f ca="1">+'Maestro infraestructura'!K672</f>
        <v>Activo</v>
      </c>
      <c r="F673" s="1" t="str">
        <f ca="1">+'Maestro infraestructura'!V672</f>
        <v>AL DÍA</v>
      </c>
      <c r="G673" s="1" t="str">
        <f>+'Maestro infraestructura'!X672</f>
        <v>OPERACIÓN</v>
      </c>
      <c r="H673" s="1">
        <f>+'Maestro infraestructura'!Y672</f>
        <v>2</v>
      </c>
      <c r="I673" s="1"/>
      <c r="J673" s="6">
        <f>+'Maestro infraestructura'!T672</f>
        <v>46378</v>
      </c>
      <c r="K673" s="6">
        <f t="shared" ca="1" si="30"/>
        <v>46378</v>
      </c>
      <c r="L673" s="6"/>
    </row>
    <row r="674" spans="1:12" x14ac:dyDescent="0.2">
      <c r="A674" s="1" t="str">
        <f>+'Maestro infraestructura'!A673</f>
        <v>EDIFICIO PRINCIPAL</v>
      </c>
      <c r="B674" s="1" t="str">
        <f>+'Maestro infraestructura'!B673</f>
        <v>5° Piso</v>
      </c>
      <c r="C674" s="1">
        <f>+'Maestro infraestructura'!C673</f>
        <v>508</v>
      </c>
      <c r="D674" s="1" t="str">
        <f>+'Maestro infraestructura'!F673</f>
        <v>Mesa Profesor</v>
      </c>
      <c r="E674" s="25" t="str">
        <f ca="1">+'Maestro infraestructura'!K673</f>
        <v>Activo</v>
      </c>
      <c r="F674" s="1" t="str">
        <f ca="1">+'Maestro infraestructura'!V673</f>
        <v>AL DÍA</v>
      </c>
      <c r="G674" s="1" t="str">
        <f>+'Maestro infraestructura'!X673</f>
        <v>OPERACIÓN</v>
      </c>
      <c r="H674" s="1">
        <f>+'Maestro infraestructura'!Y673</f>
        <v>2</v>
      </c>
      <c r="I674" s="1"/>
      <c r="J674" s="6">
        <f>+'Maestro infraestructura'!T673</f>
        <v>46378</v>
      </c>
      <c r="K674" s="6">
        <f t="shared" ca="1" si="30"/>
        <v>46378</v>
      </c>
      <c r="L674" s="6"/>
    </row>
    <row r="675" spans="1:12" x14ac:dyDescent="0.2">
      <c r="A675" s="1" t="str">
        <f>+'Maestro infraestructura'!A674</f>
        <v>EDIFICIO PRINCIPAL</v>
      </c>
      <c r="B675" s="1" t="str">
        <f>+'Maestro infraestructura'!B674</f>
        <v>5° Piso</v>
      </c>
      <c r="C675" s="1">
        <f>+'Maestro infraestructura'!C674</f>
        <v>509</v>
      </c>
      <c r="D675" s="1" t="str">
        <f>+'Maestro infraestructura'!F674</f>
        <v>Mesa Profesor</v>
      </c>
      <c r="E675" s="25" t="str">
        <f ca="1">+'Maestro infraestructura'!K674</f>
        <v>Activo</v>
      </c>
      <c r="F675" s="1" t="str">
        <f ca="1">+'Maestro infraestructura'!V674</f>
        <v>AL DÍA</v>
      </c>
      <c r="G675" s="1" t="str">
        <f>+'Maestro infraestructura'!X674</f>
        <v>OPERACIÓN</v>
      </c>
      <c r="H675" s="1">
        <f>+'Maestro infraestructura'!Y674</f>
        <v>2</v>
      </c>
      <c r="I675" s="1"/>
      <c r="J675" s="6">
        <f>+'Maestro infraestructura'!T674</f>
        <v>46378</v>
      </c>
      <c r="K675" s="6">
        <f t="shared" ca="1" si="30"/>
        <v>46378</v>
      </c>
      <c r="L675" s="6"/>
    </row>
    <row r="676" spans="1:12" x14ac:dyDescent="0.2">
      <c r="A676" s="1" t="str">
        <f>+'Maestro infraestructura'!A675</f>
        <v>EDIFICIO PRINCIPAL</v>
      </c>
      <c r="B676" s="1" t="str">
        <f>+'Maestro infraestructura'!B675</f>
        <v>5° Piso</v>
      </c>
      <c r="C676" s="1">
        <f>+'Maestro infraestructura'!C675</f>
        <v>510</v>
      </c>
      <c r="D676" s="1" t="str">
        <f>+'Maestro infraestructura'!F675</f>
        <v>Mesa Profesor</v>
      </c>
      <c r="E676" s="25" t="str">
        <f ca="1">+'Maestro infraestructura'!K675</f>
        <v>Activo</v>
      </c>
      <c r="F676" s="1" t="str">
        <f ca="1">+'Maestro infraestructura'!V675</f>
        <v>AL DÍA</v>
      </c>
      <c r="G676" s="1" t="str">
        <f>+'Maestro infraestructura'!X675</f>
        <v>OPERACIÓN</v>
      </c>
      <c r="H676" s="1">
        <f>+'Maestro infraestructura'!Y675</f>
        <v>2</v>
      </c>
      <c r="I676" s="1"/>
      <c r="J676" s="6">
        <f>+'Maestro infraestructura'!T675</f>
        <v>46378</v>
      </c>
      <c r="K676" s="6">
        <f t="shared" ca="1" si="30"/>
        <v>46378</v>
      </c>
      <c r="L676" s="6"/>
    </row>
    <row r="677" spans="1:12" x14ac:dyDescent="0.2">
      <c r="A677" s="1" t="str">
        <f>+'Maestro infraestructura'!A676</f>
        <v>EDIFICIO PRINCIPAL</v>
      </c>
      <c r="B677" s="1" t="str">
        <f>+'Maestro infraestructura'!B676</f>
        <v>5° Piso</v>
      </c>
      <c r="C677" s="1">
        <f>+'Maestro infraestructura'!C676</f>
        <v>511</v>
      </c>
      <c r="D677" s="1" t="str">
        <f>+'Maestro infraestructura'!F676</f>
        <v>Mesa Profesor</v>
      </c>
      <c r="E677" s="25" t="str">
        <f ca="1">+'Maestro infraestructura'!K676</f>
        <v>Activo</v>
      </c>
      <c r="F677" s="1" t="str">
        <f ca="1">+'Maestro infraestructura'!V676</f>
        <v>AL DÍA</v>
      </c>
      <c r="G677" s="1" t="str">
        <f>+'Maestro infraestructura'!X676</f>
        <v>OPERACIÓN</v>
      </c>
      <c r="H677" s="1">
        <f>+'Maestro infraestructura'!Y676</f>
        <v>2</v>
      </c>
      <c r="I677" s="1"/>
      <c r="J677" s="6">
        <f>+'Maestro infraestructura'!T676</f>
        <v>46378</v>
      </c>
      <c r="K677" s="6">
        <f t="shared" ca="1" si="30"/>
        <v>46378</v>
      </c>
      <c r="L677" s="6"/>
    </row>
    <row r="678" spans="1:12" x14ac:dyDescent="0.2">
      <c r="A678" s="1" t="str">
        <f>+'Maestro infraestructura'!A677</f>
        <v>EDIFICIO PRINCIPAL</v>
      </c>
      <c r="B678" s="1" t="str">
        <f>+'Maestro infraestructura'!B677</f>
        <v>5° Piso</v>
      </c>
      <c r="C678" s="1">
        <f>+'Maestro infraestructura'!C677</f>
        <v>512</v>
      </c>
      <c r="D678" s="1" t="str">
        <f>+'Maestro infraestructura'!F677</f>
        <v>Mesa Profesor</v>
      </c>
      <c r="E678" s="25" t="str">
        <f ca="1">+'Maestro infraestructura'!K677</f>
        <v>Activo</v>
      </c>
      <c r="F678" s="1" t="str">
        <f ca="1">+'Maestro infraestructura'!V677</f>
        <v>AL DÍA</v>
      </c>
      <c r="G678" s="1" t="str">
        <f>+'Maestro infraestructura'!X677</f>
        <v>OPERACIÓN</v>
      </c>
      <c r="H678" s="1">
        <f>+'Maestro infraestructura'!Y677</f>
        <v>2</v>
      </c>
      <c r="I678" s="1"/>
      <c r="J678" s="6">
        <f>+'Maestro infraestructura'!T677</f>
        <v>46378</v>
      </c>
      <c r="K678" s="6">
        <f t="shared" ca="1" si="30"/>
        <v>46378</v>
      </c>
      <c r="L678" s="6"/>
    </row>
    <row r="679" spans="1:12" x14ac:dyDescent="0.2">
      <c r="A679" s="1" t="str">
        <f>+'Maestro infraestructura'!A678</f>
        <v>EDIFICIO PRINCIPAL</v>
      </c>
      <c r="B679" s="1" t="str">
        <f>+'Maestro infraestructura'!B678</f>
        <v>5° Piso</v>
      </c>
      <c r="C679" s="1">
        <f>+'Maestro infraestructura'!C678</f>
        <v>513</v>
      </c>
      <c r="D679" s="1" t="str">
        <f>+'Maestro infraestructura'!F678</f>
        <v>Mesa Profesor</v>
      </c>
      <c r="E679" s="25" t="str">
        <f ca="1">+'Maestro infraestructura'!K678</f>
        <v>Activo</v>
      </c>
      <c r="F679" s="1" t="str">
        <f ca="1">+'Maestro infraestructura'!V678</f>
        <v>AL DÍA</v>
      </c>
      <c r="G679" s="1" t="str">
        <f>+'Maestro infraestructura'!X678</f>
        <v>OPERACIÓN</v>
      </c>
      <c r="H679" s="1">
        <f>+'Maestro infraestructura'!Y678</f>
        <v>2</v>
      </c>
      <c r="I679" s="1"/>
      <c r="J679" s="6">
        <f>+'Maestro infraestructura'!T678</f>
        <v>46378</v>
      </c>
      <c r="K679" s="6">
        <f t="shared" ca="1" si="30"/>
        <v>46378</v>
      </c>
      <c r="L679" s="6"/>
    </row>
    <row r="680" spans="1:12" x14ac:dyDescent="0.2">
      <c r="A680" s="1" t="str">
        <f>+'Maestro infraestructura'!A679</f>
        <v>EDIFICIO PRINCIPAL</v>
      </c>
      <c r="B680" s="1" t="str">
        <f>+'Maestro infraestructura'!B679</f>
        <v>5° Piso</v>
      </c>
      <c r="C680" s="1">
        <f>+'Maestro infraestructura'!C679</f>
        <v>515</v>
      </c>
      <c r="D680" s="1" t="str">
        <f>+'Maestro infraestructura'!F679</f>
        <v>Mesa Profesor</v>
      </c>
      <c r="E680" s="25" t="str">
        <f ca="1">+'Maestro infraestructura'!K679</f>
        <v>Activo</v>
      </c>
      <c r="F680" s="1" t="str">
        <f ca="1">+'Maestro infraestructura'!V679</f>
        <v>AL DÍA</v>
      </c>
      <c r="G680" s="1" t="str">
        <f>+'Maestro infraestructura'!X679</f>
        <v>OPERACIÓN</v>
      </c>
      <c r="H680" s="1">
        <f>+'Maestro infraestructura'!Y679</f>
        <v>2</v>
      </c>
      <c r="I680" s="1"/>
      <c r="J680" s="6">
        <f>+'Maestro infraestructura'!T679</f>
        <v>46378</v>
      </c>
      <c r="K680" s="6">
        <f t="shared" ca="1" si="30"/>
        <v>46378</v>
      </c>
      <c r="L680" s="6"/>
    </row>
    <row r="681" spans="1:12" x14ac:dyDescent="0.2">
      <c r="A681" s="1" t="str">
        <f>+'Maestro infraestructura'!A680</f>
        <v>EDIFICIO PRINCIPAL</v>
      </c>
      <c r="B681" s="1" t="str">
        <f>+'Maestro infraestructura'!B680</f>
        <v>5° Piso</v>
      </c>
      <c r="C681" s="1">
        <f>+'Maestro infraestructura'!C680</f>
        <v>516</v>
      </c>
      <c r="D681" s="1" t="str">
        <f>+'Maestro infraestructura'!F680</f>
        <v>Mesa Profesor</v>
      </c>
      <c r="E681" s="25" t="str">
        <f ca="1">+'Maestro infraestructura'!K680</f>
        <v>Activo</v>
      </c>
      <c r="F681" s="1" t="str">
        <f ca="1">+'Maestro infraestructura'!V680</f>
        <v>AL DÍA</v>
      </c>
      <c r="G681" s="1" t="str">
        <f>+'Maestro infraestructura'!X680</f>
        <v>OPERACIÓN</v>
      </c>
      <c r="H681" s="1">
        <f>+'Maestro infraestructura'!Y680</f>
        <v>2</v>
      </c>
      <c r="I681" s="1"/>
      <c r="J681" s="6">
        <f>+'Maestro infraestructura'!T680</f>
        <v>46378</v>
      </c>
      <c r="K681" s="6">
        <f t="shared" ca="1" si="30"/>
        <v>46378</v>
      </c>
      <c r="L681" s="6"/>
    </row>
    <row r="682" spans="1:12" x14ac:dyDescent="0.2">
      <c r="A682" s="1" t="str">
        <f>+'Maestro infraestructura'!A681</f>
        <v>EDIFICIO PRINCIPAL</v>
      </c>
      <c r="B682" s="1" t="str">
        <f>+'Maestro infraestructura'!B681</f>
        <v>5° Piso</v>
      </c>
      <c r="C682" s="1">
        <f>+'Maestro infraestructura'!C681</f>
        <v>522</v>
      </c>
      <c r="D682" s="1" t="str">
        <f>+'Maestro infraestructura'!F681</f>
        <v>Mesa Profesor</v>
      </c>
      <c r="E682" s="25" t="str">
        <f ca="1">+'Maestro infraestructura'!K681</f>
        <v>Activo</v>
      </c>
      <c r="F682" s="1" t="str">
        <f ca="1">+'Maestro infraestructura'!V681</f>
        <v>AL DÍA</v>
      </c>
      <c r="G682" s="1" t="str">
        <f>+'Maestro infraestructura'!X681</f>
        <v>OPERACIÓN</v>
      </c>
      <c r="H682" s="1">
        <f>+'Maestro infraestructura'!Y681</f>
        <v>2</v>
      </c>
      <c r="I682" s="1"/>
      <c r="J682" s="6">
        <f>+'Maestro infraestructura'!T681</f>
        <v>46378</v>
      </c>
      <c r="K682" s="6">
        <f t="shared" ca="1" si="30"/>
        <v>46378</v>
      </c>
      <c r="L682" s="6"/>
    </row>
    <row r="683" spans="1:12" x14ac:dyDescent="0.2">
      <c r="A683" s="1" t="str">
        <f>+'Maestro infraestructura'!A682</f>
        <v>EDIFICIO PRINCIPAL</v>
      </c>
      <c r="B683" s="1" t="str">
        <f>+'Maestro infraestructura'!B682</f>
        <v>5° Piso</v>
      </c>
      <c r="C683" s="1">
        <f>+'Maestro infraestructura'!C682</f>
        <v>523</v>
      </c>
      <c r="D683" s="1" t="str">
        <f>+'Maestro infraestructura'!F682</f>
        <v>Mesa Profesor</v>
      </c>
      <c r="E683" s="25" t="str">
        <f ca="1">+'Maestro infraestructura'!K682</f>
        <v>Activo</v>
      </c>
      <c r="F683" s="1" t="str">
        <f ca="1">+'Maestro infraestructura'!V682</f>
        <v>AL DÍA</v>
      </c>
      <c r="G683" s="1" t="str">
        <f>+'Maestro infraestructura'!X682</f>
        <v>OPERACIÓN</v>
      </c>
      <c r="H683" s="1">
        <f>+'Maestro infraestructura'!Y682</f>
        <v>2</v>
      </c>
      <c r="I683" s="1"/>
      <c r="J683" s="6">
        <f>+'Maestro infraestructura'!T682</f>
        <v>46378</v>
      </c>
      <c r="K683" s="6">
        <f t="shared" ca="1" si="30"/>
        <v>46378</v>
      </c>
      <c r="L683" s="6"/>
    </row>
    <row r="684" spans="1:12" x14ac:dyDescent="0.2">
      <c r="A684" s="1" t="str">
        <f>+'Maestro infraestructura'!A683</f>
        <v>EDIFICIO PRINCIPAL</v>
      </c>
      <c r="B684" s="1" t="str">
        <f>+'Maestro infraestructura'!B683</f>
        <v>5° Piso</v>
      </c>
      <c r="C684" s="1">
        <f>+'Maestro infraestructura'!C683</f>
        <v>524</v>
      </c>
      <c r="D684" s="1" t="str">
        <f>+'Maestro infraestructura'!F683</f>
        <v>Mesa Profesor</v>
      </c>
      <c r="E684" s="25" t="str">
        <f ca="1">+'Maestro infraestructura'!K683</f>
        <v>Activo</v>
      </c>
      <c r="F684" s="1" t="str">
        <f ca="1">+'Maestro infraestructura'!V683</f>
        <v>AL DÍA</v>
      </c>
      <c r="G684" s="1" t="str">
        <f>+'Maestro infraestructura'!X683</f>
        <v>OPERACIÓN</v>
      </c>
      <c r="H684" s="1">
        <f>+'Maestro infraestructura'!Y683</f>
        <v>2</v>
      </c>
      <c r="I684" s="1"/>
      <c r="J684" s="6">
        <f>+'Maestro infraestructura'!T683</f>
        <v>46378</v>
      </c>
      <c r="K684" s="6">
        <f t="shared" ca="1" si="30"/>
        <v>46378</v>
      </c>
      <c r="L684" s="6"/>
    </row>
    <row r="685" spans="1:12" x14ac:dyDescent="0.2">
      <c r="A685" s="1" t="str">
        <f>+'Maestro infraestructura'!A684</f>
        <v>EDIFICIO PRINCIPAL</v>
      </c>
      <c r="B685" s="1" t="str">
        <f>+'Maestro infraestructura'!B684</f>
        <v>5° Piso</v>
      </c>
      <c r="C685" s="1">
        <f>+'Maestro infraestructura'!C684</f>
        <v>525</v>
      </c>
      <c r="D685" s="1" t="str">
        <f>+'Maestro infraestructura'!F684</f>
        <v>Mesa Profesor</v>
      </c>
      <c r="E685" s="25" t="str">
        <f ca="1">+'Maestro infraestructura'!K684</f>
        <v>Activo</v>
      </c>
      <c r="F685" s="1" t="str">
        <f ca="1">+'Maestro infraestructura'!V684</f>
        <v>AL DÍA</v>
      </c>
      <c r="G685" s="1" t="str">
        <f>+'Maestro infraestructura'!X684</f>
        <v>OPERACIÓN</v>
      </c>
      <c r="H685" s="1">
        <f>+'Maestro infraestructura'!Y684</f>
        <v>2</v>
      </c>
      <c r="I685" s="1"/>
      <c r="J685" s="6">
        <f>+'Maestro infraestructura'!T684</f>
        <v>46378</v>
      </c>
      <c r="K685" s="6">
        <f t="shared" ca="1" si="30"/>
        <v>46378</v>
      </c>
      <c r="L685" s="6"/>
    </row>
    <row r="686" spans="1:12" x14ac:dyDescent="0.2">
      <c r="A686" s="1" t="str">
        <f>+'Maestro infraestructura'!A685</f>
        <v>EDIFICIO PRINCIPAL</v>
      </c>
      <c r="B686" s="1" t="str">
        <f>+'Maestro infraestructura'!B685</f>
        <v>6° Piso</v>
      </c>
      <c r="C686" s="1">
        <f>+'Maestro infraestructura'!C685</f>
        <v>601</v>
      </c>
      <c r="D686" s="1" t="str">
        <f>+'Maestro infraestructura'!F685</f>
        <v>Mesa Profesor</v>
      </c>
      <c r="E686" s="25" t="str">
        <f ca="1">+'Maestro infraestructura'!K685</f>
        <v>Activo</v>
      </c>
      <c r="F686" s="1" t="str">
        <f ca="1">+'Maestro infraestructura'!V685</f>
        <v>AL DÍA</v>
      </c>
      <c r="G686" s="1" t="str">
        <f>+'Maestro infraestructura'!X685</f>
        <v>OPERACIÓN</v>
      </c>
      <c r="H686" s="1">
        <f>+'Maestro infraestructura'!Y685</f>
        <v>2</v>
      </c>
      <c r="I686" s="1"/>
      <c r="J686" s="6">
        <f>+'Maestro infraestructura'!T685</f>
        <v>46378</v>
      </c>
      <c r="K686" s="6">
        <f t="shared" ca="1" si="30"/>
        <v>46378</v>
      </c>
      <c r="L686" s="6"/>
    </row>
    <row r="687" spans="1:12" x14ac:dyDescent="0.2">
      <c r="A687" s="1" t="str">
        <f>+'Maestro infraestructura'!A686</f>
        <v>EDIFICIO PRINCIPAL</v>
      </c>
      <c r="B687" s="1" t="str">
        <f>+'Maestro infraestructura'!B686</f>
        <v>6° Piso</v>
      </c>
      <c r="C687" s="1">
        <f>+'Maestro infraestructura'!C686</f>
        <v>602</v>
      </c>
      <c r="D687" s="1" t="str">
        <f>+'Maestro infraestructura'!F686</f>
        <v>Mesa Profesor</v>
      </c>
      <c r="E687" s="25" t="str">
        <f ca="1">+'Maestro infraestructura'!K686</f>
        <v>Activo</v>
      </c>
      <c r="F687" s="1" t="str">
        <f ca="1">+'Maestro infraestructura'!V686</f>
        <v>AL DÍA</v>
      </c>
      <c r="G687" s="1" t="str">
        <f>+'Maestro infraestructura'!X686</f>
        <v>OPERACIÓN</v>
      </c>
      <c r="H687" s="1">
        <f>+'Maestro infraestructura'!Y686</f>
        <v>2</v>
      </c>
      <c r="I687" s="1"/>
      <c r="J687" s="6">
        <f>+'Maestro infraestructura'!T686</f>
        <v>46378</v>
      </c>
      <c r="K687" s="6">
        <f t="shared" ca="1" si="30"/>
        <v>46378</v>
      </c>
      <c r="L687" s="6"/>
    </row>
    <row r="688" spans="1:12" x14ac:dyDescent="0.2">
      <c r="A688" s="1" t="str">
        <f>+'Maestro infraestructura'!A687</f>
        <v>EDIFICIO PRINCIPAL</v>
      </c>
      <c r="B688" s="1" t="str">
        <f>+'Maestro infraestructura'!B687</f>
        <v>6° Piso</v>
      </c>
      <c r="C688" s="1">
        <f>+'Maestro infraestructura'!C687</f>
        <v>603</v>
      </c>
      <c r="D688" s="1" t="str">
        <f>+'Maestro infraestructura'!F687</f>
        <v>Mesa Profesor</v>
      </c>
      <c r="E688" s="25" t="str">
        <f ca="1">+'Maestro infraestructura'!K687</f>
        <v>Activo</v>
      </c>
      <c r="F688" s="1" t="str">
        <f ca="1">+'Maestro infraestructura'!V687</f>
        <v>AL DÍA</v>
      </c>
      <c r="G688" s="1" t="str">
        <f>+'Maestro infraestructura'!X687</f>
        <v>OPERACIÓN</v>
      </c>
      <c r="H688" s="1">
        <f>+'Maestro infraestructura'!Y687</f>
        <v>2</v>
      </c>
      <c r="I688" s="1"/>
      <c r="J688" s="6">
        <f>+'Maestro infraestructura'!T687</f>
        <v>46378</v>
      </c>
      <c r="K688" s="6">
        <f t="shared" ca="1" si="30"/>
        <v>46378</v>
      </c>
      <c r="L688" s="6"/>
    </row>
    <row r="689" spans="1:12" x14ac:dyDescent="0.2">
      <c r="A689" s="1" t="str">
        <f>+'Maestro infraestructura'!A688</f>
        <v>EDIFICIO PRINCIPAL</v>
      </c>
      <c r="B689" s="1" t="str">
        <f>+'Maestro infraestructura'!B688</f>
        <v>6° Piso</v>
      </c>
      <c r="C689" s="1">
        <f>+'Maestro infraestructura'!C688</f>
        <v>604</v>
      </c>
      <c r="D689" s="1" t="str">
        <f>+'Maestro infraestructura'!F688</f>
        <v>Mesa Profesor</v>
      </c>
      <c r="E689" s="25" t="str">
        <f ca="1">+'Maestro infraestructura'!K688</f>
        <v>Activo</v>
      </c>
      <c r="F689" s="1" t="str">
        <f ca="1">+'Maestro infraestructura'!V688</f>
        <v>AL DÍA</v>
      </c>
      <c r="G689" s="1" t="str">
        <f>+'Maestro infraestructura'!X688</f>
        <v>OPERACIÓN</v>
      </c>
      <c r="H689" s="1">
        <f>+'Maestro infraestructura'!Y688</f>
        <v>2</v>
      </c>
      <c r="I689" s="1"/>
      <c r="J689" s="6">
        <f>+'Maestro infraestructura'!T688</f>
        <v>46378</v>
      </c>
      <c r="K689" s="6">
        <f t="shared" ca="1" si="30"/>
        <v>46378</v>
      </c>
      <c r="L689" s="6"/>
    </row>
    <row r="690" spans="1:12" x14ac:dyDescent="0.2">
      <c r="A690" s="1" t="str">
        <f>+'Maestro infraestructura'!A689</f>
        <v>EDIFICIO PRINCIPAL</v>
      </c>
      <c r="B690" s="1" t="str">
        <f>+'Maestro infraestructura'!B689</f>
        <v>6° Piso</v>
      </c>
      <c r="C690" s="1">
        <f>+'Maestro infraestructura'!C689</f>
        <v>606</v>
      </c>
      <c r="D690" s="1" t="str">
        <f>+'Maestro infraestructura'!F689</f>
        <v>Mesa Profesor</v>
      </c>
      <c r="E690" s="25" t="str">
        <f ca="1">+'Maestro infraestructura'!K689</f>
        <v>Activo</v>
      </c>
      <c r="F690" s="1" t="str">
        <f ca="1">+'Maestro infraestructura'!V689</f>
        <v>AL DÍA</v>
      </c>
      <c r="G690" s="1" t="str">
        <f>+'Maestro infraestructura'!X689</f>
        <v>OPERACIÓN</v>
      </c>
      <c r="H690" s="1">
        <f>+'Maestro infraestructura'!Y689</f>
        <v>2</v>
      </c>
      <c r="I690" s="1"/>
      <c r="J690" s="6">
        <f>+'Maestro infraestructura'!T689</f>
        <v>46378</v>
      </c>
      <c r="K690" s="6">
        <f t="shared" ca="1" si="30"/>
        <v>46378</v>
      </c>
      <c r="L690" s="6"/>
    </row>
    <row r="691" spans="1:12" x14ac:dyDescent="0.2">
      <c r="A691" s="1" t="str">
        <f>+'Maestro infraestructura'!A690</f>
        <v>EDIFICIO PRINCIPAL</v>
      </c>
      <c r="B691" s="1" t="str">
        <f>+'Maestro infraestructura'!B690</f>
        <v>6° Piso</v>
      </c>
      <c r="C691" s="1">
        <f>+'Maestro infraestructura'!C690</f>
        <v>607</v>
      </c>
      <c r="D691" s="1" t="str">
        <f>+'Maestro infraestructura'!F690</f>
        <v>Mesa Profesor</v>
      </c>
      <c r="E691" s="25" t="str">
        <f ca="1">+'Maestro infraestructura'!K690</f>
        <v>Activo</v>
      </c>
      <c r="F691" s="1" t="str">
        <f ca="1">+'Maestro infraestructura'!V690</f>
        <v>AL DÍA</v>
      </c>
      <c r="G691" s="1" t="str">
        <f>+'Maestro infraestructura'!X690</f>
        <v>OPERACIÓN</v>
      </c>
      <c r="H691" s="1">
        <f>+'Maestro infraestructura'!Y690</f>
        <v>2</v>
      </c>
      <c r="I691" s="1"/>
      <c r="J691" s="6">
        <f>+'Maestro infraestructura'!T690</f>
        <v>46378</v>
      </c>
      <c r="K691" s="6">
        <f t="shared" ca="1" si="30"/>
        <v>46378</v>
      </c>
      <c r="L691" s="6"/>
    </row>
    <row r="692" spans="1:12" x14ac:dyDescent="0.2">
      <c r="A692" s="1" t="str">
        <f>+'Maestro infraestructura'!A691</f>
        <v>EDIFICIO PRINCIPAL</v>
      </c>
      <c r="B692" s="1" t="str">
        <f>+'Maestro infraestructura'!B691</f>
        <v>6° Piso</v>
      </c>
      <c r="C692" s="1">
        <f>+'Maestro infraestructura'!C691</f>
        <v>608</v>
      </c>
      <c r="D692" s="1" t="str">
        <f>+'Maestro infraestructura'!F691</f>
        <v>Mesa Profesor</v>
      </c>
      <c r="E692" s="25" t="str">
        <f ca="1">+'Maestro infraestructura'!K691</f>
        <v>Activo</v>
      </c>
      <c r="F692" s="1" t="str">
        <f ca="1">+'Maestro infraestructura'!V691</f>
        <v>AL DÍA</v>
      </c>
      <c r="G692" s="1" t="str">
        <f>+'Maestro infraestructura'!X691</f>
        <v>OPERACIÓN</v>
      </c>
      <c r="H692" s="1">
        <f>+'Maestro infraestructura'!Y691</f>
        <v>2</v>
      </c>
      <c r="I692" s="1"/>
      <c r="J692" s="6">
        <f>+'Maestro infraestructura'!T691</f>
        <v>46378</v>
      </c>
      <c r="K692" s="6">
        <f t="shared" ca="1" si="30"/>
        <v>46378</v>
      </c>
      <c r="L692" s="6"/>
    </row>
    <row r="693" spans="1:12" x14ac:dyDescent="0.2">
      <c r="A693" s="1" t="str">
        <f>+'Maestro infraestructura'!A692</f>
        <v>EDIFICIO PRINCIPAL</v>
      </c>
      <c r="B693" s="1" t="str">
        <f>+'Maestro infraestructura'!B692</f>
        <v>6° Piso</v>
      </c>
      <c r="C693" s="1">
        <f>+'Maestro infraestructura'!C692</f>
        <v>609</v>
      </c>
      <c r="D693" s="1" t="str">
        <f>+'Maestro infraestructura'!F692</f>
        <v>Mesa Profesor</v>
      </c>
      <c r="E693" s="25" t="str">
        <f ca="1">+'Maestro infraestructura'!K692</f>
        <v>Activo</v>
      </c>
      <c r="F693" s="1" t="str">
        <f ca="1">+'Maestro infraestructura'!V692</f>
        <v>AL DÍA</v>
      </c>
      <c r="G693" s="1" t="str">
        <f>+'Maestro infraestructura'!X692</f>
        <v>OPERACIÓN</v>
      </c>
      <c r="H693" s="1">
        <f>+'Maestro infraestructura'!Y692</f>
        <v>2</v>
      </c>
      <c r="I693" s="1"/>
      <c r="J693" s="6">
        <f>+'Maestro infraestructura'!T692</f>
        <v>46378</v>
      </c>
      <c r="K693" s="6">
        <f t="shared" ca="1" si="30"/>
        <v>46378</v>
      </c>
      <c r="L693" s="6"/>
    </row>
    <row r="694" spans="1:12" x14ac:dyDescent="0.2">
      <c r="A694" s="1" t="str">
        <f>+'Maestro infraestructura'!A693</f>
        <v>EDIFICIO PRINCIPAL</v>
      </c>
      <c r="B694" s="1" t="str">
        <f>+'Maestro infraestructura'!B693</f>
        <v>6° Piso</v>
      </c>
      <c r="C694" s="1">
        <f>+'Maestro infraestructura'!C693</f>
        <v>610</v>
      </c>
      <c r="D694" s="1" t="str">
        <f>+'Maestro infraestructura'!F693</f>
        <v>Mesa Profesor</v>
      </c>
      <c r="E694" s="25" t="str">
        <f ca="1">+'Maestro infraestructura'!K693</f>
        <v>Activo</v>
      </c>
      <c r="F694" s="1" t="str">
        <f ca="1">+'Maestro infraestructura'!V693</f>
        <v>AL DÍA</v>
      </c>
      <c r="G694" s="1" t="str">
        <f>+'Maestro infraestructura'!X693</f>
        <v>OPERACIÓN</v>
      </c>
      <c r="H694" s="1">
        <f>+'Maestro infraestructura'!Y693</f>
        <v>2</v>
      </c>
      <c r="I694" s="1"/>
      <c r="J694" s="6">
        <f>+'Maestro infraestructura'!T693</f>
        <v>46378</v>
      </c>
      <c r="K694" s="6">
        <f t="shared" ca="1" si="30"/>
        <v>46378</v>
      </c>
      <c r="L694" s="6"/>
    </row>
    <row r="695" spans="1:12" x14ac:dyDescent="0.2">
      <c r="A695" s="1" t="str">
        <f>+'Maestro infraestructura'!A694</f>
        <v>EDIFICIO PRINCIPAL</v>
      </c>
      <c r="B695" s="1" t="str">
        <f>+'Maestro infraestructura'!B694</f>
        <v>6° Piso</v>
      </c>
      <c r="C695" s="1">
        <f>+'Maestro infraestructura'!C694</f>
        <v>611</v>
      </c>
      <c r="D695" s="1" t="str">
        <f>+'Maestro infraestructura'!F694</f>
        <v>Mesa Profesor</v>
      </c>
      <c r="E695" s="25" t="str">
        <f ca="1">+'Maestro infraestructura'!K694</f>
        <v>Activo</v>
      </c>
      <c r="F695" s="1" t="str">
        <f ca="1">+'Maestro infraestructura'!V694</f>
        <v>AL DÍA</v>
      </c>
      <c r="G695" s="1" t="str">
        <f>+'Maestro infraestructura'!X694</f>
        <v>OPERACIÓN</v>
      </c>
      <c r="H695" s="1">
        <f>+'Maestro infraestructura'!Y694</f>
        <v>2</v>
      </c>
      <c r="I695" s="1"/>
      <c r="J695" s="6">
        <f>+'Maestro infraestructura'!T694</f>
        <v>46378</v>
      </c>
      <c r="K695" s="6">
        <f t="shared" ca="1" si="30"/>
        <v>46378</v>
      </c>
      <c r="L695" s="6"/>
    </row>
    <row r="696" spans="1:12" x14ac:dyDescent="0.2">
      <c r="A696" s="1" t="str">
        <f>+'Maestro infraestructura'!A695</f>
        <v>EDIFICIO PRINCIPAL</v>
      </c>
      <c r="B696" s="1" t="str">
        <f>+'Maestro infraestructura'!B695</f>
        <v>6° Piso</v>
      </c>
      <c r="C696" s="1">
        <f>+'Maestro infraestructura'!C695</f>
        <v>612</v>
      </c>
      <c r="D696" s="1" t="str">
        <f>+'Maestro infraestructura'!F695</f>
        <v>Mesa Profesor</v>
      </c>
      <c r="E696" s="25" t="str">
        <f ca="1">+'Maestro infraestructura'!K695</f>
        <v>Activo</v>
      </c>
      <c r="F696" s="1" t="str">
        <f ca="1">+'Maestro infraestructura'!V695</f>
        <v>AL DÍA</v>
      </c>
      <c r="G696" s="1" t="str">
        <f>+'Maestro infraestructura'!X695</f>
        <v>OPERACIÓN</v>
      </c>
      <c r="H696" s="1">
        <f>+'Maestro infraestructura'!Y695</f>
        <v>2</v>
      </c>
      <c r="I696" s="1"/>
      <c r="J696" s="6">
        <f>+'Maestro infraestructura'!T695</f>
        <v>46378</v>
      </c>
      <c r="K696" s="6">
        <f t="shared" ca="1" si="30"/>
        <v>46378</v>
      </c>
      <c r="L696" s="6"/>
    </row>
    <row r="697" spans="1:12" x14ac:dyDescent="0.2">
      <c r="A697" s="1" t="str">
        <f>+'Maestro infraestructura'!A696</f>
        <v>EDIFICIO PRINCIPAL</v>
      </c>
      <c r="B697" s="1" t="str">
        <f>+'Maestro infraestructura'!B696</f>
        <v>6° Piso</v>
      </c>
      <c r="C697" s="1">
        <f>+'Maestro infraestructura'!C696</f>
        <v>613</v>
      </c>
      <c r="D697" s="1" t="str">
        <f>+'Maestro infraestructura'!F696</f>
        <v>Mesa Profesor</v>
      </c>
      <c r="E697" s="25" t="str">
        <f ca="1">+'Maestro infraestructura'!K696</f>
        <v>Activo</v>
      </c>
      <c r="F697" s="1" t="str">
        <f ca="1">+'Maestro infraestructura'!V696</f>
        <v>AL DÍA</v>
      </c>
      <c r="G697" s="1" t="str">
        <f>+'Maestro infraestructura'!X696</f>
        <v>OPERACIÓN</v>
      </c>
      <c r="H697" s="1">
        <f>+'Maestro infraestructura'!Y696</f>
        <v>2</v>
      </c>
      <c r="I697" s="1"/>
      <c r="J697" s="6">
        <f>+'Maestro infraestructura'!T696</f>
        <v>46378</v>
      </c>
      <c r="K697" s="6">
        <f t="shared" ca="1" si="30"/>
        <v>46378</v>
      </c>
      <c r="L697" s="6"/>
    </row>
    <row r="698" spans="1:12" x14ac:dyDescent="0.2">
      <c r="A698" s="1" t="str">
        <f>+'Maestro infraestructura'!A697</f>
        <v>EDIFICIO PRINCIPAL</v>
      </c>
      <c r="B698" s="1" t="str">
        <f>+'Maestro infraestructura'!B697</f>
        <v>6° Piso</v>
      </c>
      <c r="C698" s="1">
        <f>+'Maestro infraestructura'!C697</f>
        <v>614</v>
      </c>
      <c r="D698" s="1" t="str">
        <f>+'Maestro infraestructura'!F697</f>
        <v>Mesa Profesor</v>
      </c>
      <c r="E698" s="25" t="str">
        <f ca="1">+'Maestro infraestructura'!K697</f>
        <v>Activo</v>
      </c>
      <c r="F698" s="1" t="str">
        <f ca="1">+'Maestro infraestructura'!V697</f>
        <v>AL DÍA</v>
      </c>
      <c r="G698" s="1" t="str">
        <f>+'Maestro infraestructura'!X697</f>
        <v>OPERACIÓN</v>
      </c>
      <c r="H698" s="1">
        <f>+'Maestro infraestructura'!Y697</f>
        <v>2</v>
      </c>
      <c r="I698" s="1"/>
      <c r="J698" s="6">
        <f>+'Maestro infraestructura'!T697</f>
        <v>46378</v>
      </c>
      <c r="K698" s="6">
        <f t="shared" ca="1" si="30"/>
        <v>46378</v>
      </c>
      <c r="L698" s="6"/>
    </row>
    <row r="699" spans="1:12" x14ac:dyDescent="0.2">
      <c r="A699" s="1" t="str">
        <f>+'Maestro infraestructura'!A698</f>
        <v>EDIFICIO PRINCIPAL</v>
      </c>
      <c r="B699" s="1" t="str">
        <f>+'Maestro infraestructura'!B698</f>
        <v>6° Piso</v>
      </c>
      <c r="C699" s="1">
        <f>+'Maestro infraestructura'!C698</f>
        <v>615</v>
      </c>
      <c r="D699" s="1" t="str">
        <f>+'Maestro infraestructura'!F698</f>
        <v>Mesa Profesor</v>
      </c>
      <c r="E699" s="25" t="str">
        <f ca="1">+'Maestro infraestructura'!K698</f>
        <v>Activo</v>
      </c>
      <c r="F699" s="1" t="str">
        <f ca="1">+'Maestro infraestructura'!V698</f>
        <v>AL DÍA</v>
      </c>
      <c r="G699" s="1" t="str">
        <f>+'Maestro infraestructura'!X698</f>
        <v>OPERACIÓN</v>
      </c>
      <c r="H699" s="1">
        <f>+'Maestro infraestructura'!Y698</f>
        <v>2</v>
      </c>
      <c r="I699" s="1"/>
      <c r="J699" s="6">
        <f>+'Maestro infraestructura'!T698</f>
        <v>46378</v>
      </c>
      <c r="K699" s="6">
        <f t="shared" ca="1" si="30"/>
        <v>46378</v>
      </c>
      <c r="L699" s="6"/>
    </row>
    <row r="700" spans="1:12" x14ac:dyDescent="0.2">
      <c r="A700" s="1" t="str">
        <f>+'Maestro infraestructura'!A699</f>
        <v>EDIFICIO PRINCIPAL</v>
      </c>
      <c r="B700" s="1" t="str">
        <f>+'Maestro infraestructura'!B699</f>
        <v>6° Piso</v>
      </c>
      <c r="C700" s="1">
        <f>+'Maestro infraestructura'!C699</f>
        <v>618</v>
      </c>
      <c r="D700" s="1" t="str">
        <f>+'Maestro infraestructura'!F699</f>
        <v>Mesa Profesor</v>
      </c>
      <c r="E700" s="25" t="str">
        <f ca="1">+'Maestro infraestructura'!K699</f>
        <v>Activo</v>
      </c>
      <c r="F700" s="1" t="str">
        <f ca="1">+'Maestro infraestructura'!V699</f>
        <v>AL DÍA</v>
      </c>
      <c r="G700" s="1" t="str">
        <f>+'Maestro infraestructura'!X699</f>
        <v>OPERACIÓN</v>
      </c>
      <c r="H700" s="1">
        <f>+'Maestro infraestructura'!Y699</f>
        <v>2</v>
      </c>
      <c r="I700" s="1"/>
      <c r="J700" s="6">
        <f>+'Maestro infraestructura'!T699</f>
        <v>46378</v>
      </c>
      <c r="K700" s="6">
        <f t="shared" ca="1" si="30"/>
        <v>46378</v>
      </c>
      <c r="L700" s="6"/>
    </row>
    <row r="701" spans="1:12" x14ac:dyDescent="0.2">
      <c r="A701" s="1" t="str">
        <f>+'Maestro infraestructura'!A700</f>
        <v>EDIFICIO PRINCIPAL</v>
      </c>
      <c r="B701" s="1" t="str">
        <f>+'Maestro infraestructura'!B700</f>
        <v>6° Piso</v>
      </c>
      <c r="C701" s="1">
        <f>+'Maestro infraestructura'!C700</f>
        <v>623</v>
      </c>
      <c r="D701" s="1" t="str">
        <f>+'Maestro infraestructura'!F700</f>
        <v>Mesa Profesor</v>
      </c>
      <c r="E701" s="25" t="str">
        <f ca="1">+'Maestro infraestructura'!K700</f>
        <v>Activo</v>
      </c>
      <c r="F701" s="1" t="str">
        <f ca="1">+'Maestro infraestructura'!V700</f>
        <v>AL DÍA</v>
      </c>
      <c r="G701" s="1" t="str">
        <f>+'Maestro infraestructura'!X700</f>
        <v>OPERACIÓN</v>
      </c>
      <c r="H701" s="1">
        <f>+'Maestro infraestructura'!Y700</f>
        <v>2</v>
      </c>
      <c r="I701" s="1"/>
      <c r="J701" s="6">
        <f>+'Maestro infraestructura'!T700</f>
        <v>46378</v>
      </c>
      <c r="K701" s="6">
        <f t="shared" ca="1" si="30"/>
        <v>46378</v>
      </c>
      <c r="L701" s="6"/>
    </row>
    <row r="702" spans="1:12" x14ac:dyDescent="0.2">
      <c r="A702" s="1" t="str">
        <f>+'Maestro infraestructura'!A701</f>
        <v>EDIFICIO PRINCIPAL</v>
      </c>
      <c r="B702" s="1" t="str">
        <f>+'Maestro infraestructura'!B701</f>
        <v>6° Piso</v>
      </c>
      <c r="C702" s="1">
        <f>+'Maestro infraestructura'!C701</f>
        <v>624</v>
      </c>
      <c r="D702" s="1" t="str">
        <f>+'Maestro infraestructura'!F701</f>
        <v>Mesa Profesor</v>
      </c>
      <c r="E702" s="25" t="str">
        <f ca="1">+'Maestro infraestructura'!K701</f>
        <v>Activo</v>
      </c>
      <c r="F702" s="1" t="str">
        <f ca="1">+'Maestro infraestructura'!V701</f>
        <v>AL DÍA</v>
      </c>
      <c r="G702" s="1" t="str">
        <f>+'Maestro infraestructura'!X701</f>
        <v>OPERACIÓN</v>
      </c>
      <c r="H702" s="1">
        <f>+'Maestro infraestructura'!Y701</f>
        <v>2</v>
      </c>
      <c r="I702" s="1"/>
      <c r="J702" s="6">
        <f>+'Maestro infraestructura'!T701</f>
        <v>46378</v>
      </c>
      <c r="K702" s="6">
        <f t="shared" ca="1" si="30"/>
        <v>46378</v>
      </c>
      <c r="L702" s="6"/>
    </row>
    <row r="703" spans="1:12" x14ac:dyDescent="0.2">
      <c r="A703" s="1" t="str">
        <f>+'Maestro infraestructura'!A702</f>
        <v>EDIFICIO PRINCIPAL</v>
      </c>
      <c r="B703" s="1" t="str">
        <f>+'Maestro infraestructura'!B702</f>
        <v>6° Piso</v>
      </c>
      <c r="C703" s="1">
        <f>+'Maestro infraestructura'!C702</f>
        <v>625</v>
      </c>
      <c r="D703" s="1" t="str">
        <f>+'Maestro infraestructura'!F702</f>
        <v>Mesa Profesor</v>
      </c>
      <c r="E703" s="25" t="str">
        <f ca="1">+'Maestro infraestructura'!K702</f>
        <v>Activo</v>
      </c>
      <c r="F703" s="1" t="str">
        <f ca="1">+'Maestro infraestructura'!V702</f>
        <v>AL DÍA</v>
      </c>
      <c r="G703" s="1" t="str">
        <f>+'Maestro infraestructura'!X702</f>
        <v>OPERACIÓN</v>
      </c>
      <c r="H703" s="1">
        <f>+'Maestro infraestructura'!Y702</f>
        <v>2</v>
      </c>
      <c r="I703" s="1"/>
      <c r="J703" s="6">
        <f>+'Maestro infraestructura'!T702</f>
        <v>46378</v>
      </c>
      <c r="K703" s="6">
        <f t="shared" ca="1" si="30"/>
        <v>46378</v>
      </c>
      <c r="L703" s="6"/>
    </row>
    <row r="704" spans="1:12" x14ac:dyDescent="0.2">
      <c r="A704" s="1" t="str">
        <f>+'Maestro infraestructura'!A703</f>
        <v>EDIFICIO PRINCIPAL</v>
      </c>
      <c r="B704" s="1" t="str">
        <f>+'Maestro infraestructura'!B703</f>
        <v>5° Piso</v>
      </c>
      <c r="C704" s="1">
        <f>+'Maestro infraestructura'!C703</f>
        <v>501</v>
      </c>
      <c r="D704" s="1" t="str">
        <f>+'Maestro infraestructura'!F703</f>
        <v>Silla Profesor</v>
      </c>
      <c r="E704" s="25" t="str">
        <f ca="1">+'Maestro infraestructura'!K703</f>
        <v>Activo</v>
      </c>
      <c r="F704" s="1" t="str">
        <f ca="1">+'Maestro infraestructura'!V703</f>
        <v>AL DÍA</v>
      </c>
      <c r="G704" s="1" t="str">
        <f>+'Maestro infraestructura'!X703</f>
        <v>OPERACIÓN</v>
      </c>
      <c r="H704" s="1">
        <f>+'Maestro infraestructura'!Y703</f>
        <v>2</v>
      </c>
      <c r="I704" s="1"/>
      <c r="J704" s="6">
        <f>+'Maestro infraestructura'!T703</f>
        <v>46378</v>
      </c>
      <c r="K704" s="6">
        <f t="shared" ca="1" si="30"/>
        <v>46378</v>
      </c>
      <c r="L704" s="6"/>
    </row>
    <row r="705" spans="1:12" x14ac:dyDescent="0.2">
      <c r="A705" s="1" t="str">
        <f>+'Maestro infraestructura'!A704</f>
        <v>EDIFICIO PRINCIPAL</v>
      </c>
      <c r="B705" s="1" t="str">
        <f>+'Maestro infraestructura'!B704</f>
        <v>5° Piso</v>
      </c>
      <c r="C705" s="1">
        <f>+'Maestro infraestructura'!C704</f>
        <v>502</v>
      </c>
      <c r="D705" s="1" t="str">
        <f>+'Maestro infraestructura'!F704</f>
        <v>Silla Profesor</v>
      </c>
      <c r="E705" s="25" t="str">
        <f ca="1">+'Maestro infraestructura'!K704</f>
        <v>Activo</v>
      </c>
      <c r="F705" s="1" t="str">
        <f ca="1">+'Maestro infraestructura'!V704</f>
        <v>AL DÍA</v>
      </c>
      <c r="G705" s="1" t="str">
        <f>+'Maestro infraestructura'!X704</f>
        <v>OPERACIÓN</v>
      </c>
      <c r="H705" s="1">
        <f>+'Maestro infraestructura'!Y704</f>
        <v>2</v>
      </c>
      <c r="I705" s="1"/>
      <c r="J705" s="6">
        <f>+'Maestro infraestructura'!T704</f>
        <v>46378</v>
      </c>
      <c r="K705" s="6">
        <f t="shared" ca="1" si="30"/>
        <v>46378</v>
      </c>
      <c r="L705" s="6"/>
    </row>
    <row r="706" spans="1:12" x14ac:dyDescent="0.2">
      <c r="A706" s="1" t="str">
        <f>+'Maestro infraestructura'!A705</f>
        <v>EDIFICIO PRINCIPAL</v>
      </c>
      <c r="B706" s="1" t="str">
        <f>+'Maestro infraestructura'!B705</f>
        <v>5° Piso</v>
      </c>
      <c r="C706" s="1">
        <f>+'Maestro infraestructura'!C705</f>
        <v>503</v>
      </c>
      <c r="D706" s="1" t="str">
        <f>+'Maestro infraestructura'!F705</f>
        <v>Silla Profesor</v>
      </c>
      <c r="E706" s="25" t="str">
        <f ca="1">+'Maestro infraestructura'!K705</f>
        <v>Activo</v>
      </c>
      <c r="F706" s="1" t="str">
        <f ca="1">+'Maestro infraestructura'!V705</f>
        <v>AL DÍA</v>
      </c>
      <c r="G706" s="1" t="str">
        <f>+'Maestro infraestructura'!X705</f>
        <v>OPERACIÓN</v>
      </c>
      <c r="H706" s="1">
        <f>+'Maestro infraestructura'!Y705</f>
        <v>2</v>
      </c>
      <c r="I706" s="1"/>
      <c r="J706" s="6">
        <f>+'Maestro infraestructura'!T705</f>
        <v>46378</v>
      </c>
      <c r="K706" s="6">
        <f t="shared" ca="1" si="30"/>
        <v>46378</v>
      </c>
      <c r="L706" s="6"/>
    </row>
    <row r="707" spans="1:12" x14ac:dyDescent="0.2">
      <c r="A707" s="1" t="str">
        <f>+'Maestro infraestructura'!A706</f>
        <v>EDIFICIO PRINCIPAL</v>
      </c>
      <c r="B707" s="1" t="str">
        <f>+'Maestro infraestructura'!B706</f>
        <v>5° Piso</v>
      </c>
      <c r="C707" s="1">
        <f>+'Maestro infraestructura'!C706</f>
        <v>504</v>
      </c>
      <c r="D707" s="1" t="str">
        <f>+'Maestro infraestructura'!F706</f>
        <v>Silla Profesor</v>
      </c>
      <c r="E707" s="25" t="str">
        <f ca="1">+'Maestro infraestructura'!K706</f>
        <v>Activo</v>
      </c>
      <c r="F707" s="1" t="str">
        <f ca="1">+'Maestro infraestructura'!V706</f>
        <v>AL DÍA</v>
      </c>
      <c r="G707" s="1" t="str">
        <f>+'Maestro infraestructura'!X706</f>
        <v>OPERACIÓN</v>
      </c>
      <c r="H707" s="1">
        <f>+'Maestro infraestructura'!Y706</f>
        <v>2</v>
      </c>
      <c r="I707" s="1"/>
      <c r="J707" s="6">
        <f>+'Maestro infraestructura'!T706</f>
        <v>46378</v>
      </c>
      <c r="K707" s="6">
        <f t="shared" ca="1" si="30"/>
        <v>46378</v>
      </c>
      <c r="L707" s="6"/>
    </row>
    <row r="708" spans="1:12" x14ac:dyDescent="0.2">
      <c r="A708" s="1" t="str">
        <f>+'Maestro infraestructura'!A707</f>
        <v>EDIFICIO PRINCIPAL</v>
      </c>
      <c r="B708" s="1" t="str">
        <f>+'Maestro infraestructura'!B707</f>
        <v>5° Piso</v>
      </c>
      <c r="C708" s="1">
        <f>+'Maestro infraestructura'!C707</f>
        <v>506</v>
      </c>
      <c r="D708" s="1" t="str">
        <f>+'Maestro infraestructura'!F707</f>
        <v>Silla Profesor</v>
      </c>
      <c r="E708" s="25" t="str">
        <f ca="1">+'Maestro infraestructura'!K707</f>
        <v>Activo</v>
      </c>
      <c r="F708" s="1" t="str">
        <f ca="1">+'Maestro infraestructura'!V707</f>
        <v>AL DÍA</v>
      </c>
      <c r="G708" s="1" t="str">
        <f>+'Maestro infraestructura'!X707</f>
        <v>OPERACIÓN</v>
      </c>
      <c r="H708" s="1">
        <f>+'Maestro infraestructura'!Y707</f>
        <v>2</v>
      </c>
      <c r="I708" s="1"/>
      <c r="J708" s="6">
        <f>+'Maestro infraestructura'!T707</f>
        <v>46378</v>
      </c>
      <c r="K708" s="6">
        <f t="shared" ref="K708:K771" ca="1" si="31">IF(E708="Cambiar o Inspección externa",1/1/2027,IF(E708="cambiar",1/1/2027,J708))</f>
        <v>46378</v>
      </c>
      <c r="L708" s="6"/>
    </row>
    <row r="709" spans="1:12" x14ac:dyDescent="0.2">
      <c r="A709" s="1" t="str">
        <f>+'Maestro infraestructura'!A708</f>
        <v>EDIFICIO PRINCIPAL</v>
      </c>
      <c r="B709" s="1" t="str">
        <f>+'Maestro infraestructura'!B708</f>
        <v>5° Piso</v>
      </c>
      <c r="C709" s="1">
        <f>+'Maestro infraestructura'!C708</f>
        <v>507</v>
      </c>
      <c r="D709" s="1" t="str">
        <f>+'Maestro infraestructura'!F708</f>
        <v>Silla Profesor</v>
      </c>
      <c r="E709" s="25" t="str">
        <f ca="1">+'Maestro infraestructura'!K708</f>
        <v>Activo</v>
      </c>
      <c r="F709" s="1" t="str">
        <f ca="1">+'Maestro infraestructura'!V708</f>
        <v>AL DÍA</v>
      </c>
      <c r="G709" s="1" t="str">
        <f>+'Maestro infraestructura'!X708</f>
        <v>OPERACIÓN</v>
      </c>
      <c r="H709" s="1">
        <f>+'Maestro infraestructura'!Y708</f>
        <v>2</v>
      </c>
      <c r="I709" s="1"/>
      <c r="J709" s="6">
        <f>+'Maestro infraestructura'!T708</f>
        <v>46378</v>
      </c>
      <c r="K709" s="6">
        <f t="shared" ca="1" si="31"/>
        <v>46378</v>
      </c>
      <c r="L709" s="6"/>
    </row>
    <row r="710" spans="1:12" x14ac:dyDescent="0.2">
      <c r="A710" s="1" t="str">
        <f>+'Maestro infraestructura'!A709</f>
        <v>EDIFICIO PRINCIPAL</v>
      </c>
      <c r="B710" s="1" t="str">
        <f>+'Maestro infraestructura'!B709</f>
        <v>5° Piso</v>
      </c>
      <c r="C710" s="1">
        <f>+'Maestro infraestructura'!C709</f>
        <v>508</v>
      </c>
      <c r="D710" s="1" t="str">
        <f>+'Maestro infraestructura'!F709</f>
        <v>Silla Profesor</v>
      </c>
      <c r="E710" s="25" t="str">
        <f ca="1">+'Maestro infraestructura'!K709</f>
        <v>Activo</v>
      </c>
      <c r="F710" s="1" t="str">
        <f ca="1">+'Maestro infraestructura'!V709</f>
        <v>AL DÍA</v>
      </c>
      <c r="G710" s="1" t="str">
        <f>+'Maestro infraestructura'!X709</f>
        <v>OPERACIÓN</v>
      </c>
      <c r="H710" s="1">
        <f>+'Maestro infraestructura'!Y709</f>
        <v>2</v>
      </c>
      <c r="I710" s="1"/>
      <c r="J710" s="6">
        <f>+'Maestro infraestructura'!T709</f>
        <v>46378</v>
      </c>
      <c r="K710" s="6">
        <f t="shared" ca="1" si="31"/>
        <v>46378</v>
      </c>
      <c r="L710" s="6"/>
    </row>
    <row r="711" spans="1:12" x14ac:dyDescent="0.2">
      <c r="A711" s="1" t="str">
        <f>+'Maestro infraestructura'!A710</f>
        <v>EDIFICIO PRINCIPAL</v>
      </c>
      <c r="B711" s="1" t="str">
        <f>+'Maestro infraestructura'!B710</f>
        <v>5° Piso</v>
      </c>
      <c r="C711" s="1">
        <f>+'Maestro infraestructura'!C710</f>
        <v>509</v>
      </c>
      <c r="D711" s="1" t="str">
        <f>+'Maestro infraestructura'!F710</f>
        <v>Silla Profesor</v>
      </c>
      <c r="E711" s="25" t="str">
        <f ca="1">+'Maestro infraestructura'!K710</f>
        <v>Activo</v>
      </c>
      <c r="F711" s="1" t="str">
        <f ca="1">+'Maestro infraestructura'!V710</f>
        <v>AL DÍA</v>
      </c>
      <c r="G711" s="1" t="str">
        <f>+'Maestro infraestructura'!X710</f>
        <v>OPERACIÓN</v>
      </c>
      <c r="H711" s="1">
        <f>+'Maestro infraestructura'!Y710</f>
        <v>2</v>
      </c>
      <c r="I711" s="1"/>
      <c r="J711" s="6">
        <f>+'Maestro infraestructura'!T710</f>
        <v>46378</v>
      </c>
      <c r="K711" s="6">
        <f t="shared" ca="1" si="31"/>
        <v>46378</v>
      </c>
      <c r="L711" s="6"/>
    </row>
    <row r="712" spans="1:12" x14ac:dyDescent="0.2">
      <c r="A712" s="1" t="str">
        <f>+'Maestro infraestructura'!A711</f>
        <v>EDIFICIO PRINCIPAL</v>
      </c>
      <c r="B712" s="1" t="str">
        <f>+'Maestro infraestructura'!B711</f>
        <v>5° Piso</v>
      </c>
      <c r="C712" s="1">
        <f>+'Maestro infraestructura'!C711</f>
        <v>510</v>
      </c>
      <c r="D712" s="1" t="str">
        <f>+'Maestro infraestructura'!F711</f>
        <v>Silla Profesor</v>
      </c>
      <c r="E712" s="25" t="str">
        <f ca="1">+'Maestro infraestructura'!K711</f>
        <v>Activo</v>
      </c>
      <c r="F712" s="1" t="str">
        <f ca="1">+'Maestro infraestructura'!V711</f>
        <v>AL DÍA</v>
      </c>
      <c r="G712" s="1" t="str">
        <f>+'Maestro infraestructura'!X711</f>
        <v>OPERACIÓN</v>
      </c>
      <c r="H712" s="1">
        <f>+'Maestro infraestructura'!Y711</f>
        <v>2</v>
      </c>
      <c r="I712" s="1"/>
      <c r="J712" s="6">
        <f>+'Maestro infraestructura'!T711</f>
        <v>46378</v>
      </c>
      <c r="K712" s="6">
        <f t="shared" ca="1" si="31"/>
        <v>46378</v>
      </c>
      <c r="L712" s="6"/>
    </row>
    <row r="713" spans="1:12" x14ac:dyDescent="0.2">
      <c r="A713" s="1" t="str">
        <f>+'Maestro infraestructura'!A712</f>
        <v>EDIFICIO PRINCIPAL</v>
      </c>
      <c r="B713" s="1" t="str">
        <f>+'Maestro infraestructura'!B712</f>
        <v>5° Piso</v>
      </c>
      <c r="C713" s="1">
        <f>+'Maestro infraestructura'!C712</f>
        <v>511</v>
      </c>
      <c r="D713" s="1" t="str">
        <f>+'Maestro infraestructura'!F712</f>
        <v>Silla Profesor</v>
      </c>
      <c r="E713" s="25" t="str">
        <f ca="1">+'Maestro infraestructura'!K712</f>
        <v>Activo</v>
      </c>
      <c r="F713" s="1" t="str">
        <f ca="1">+'Maestro infraestructura'!V712</f>
        <v>AL DÍA</v>
      </c>
      <c r="G713" s="1" t="str">
        <f>+'Maestro infraestructura'!X712</f>
        <v>OPERACIÓN</v>
      </c>
      <c r="H713" s="1">
        <f>+'Maestro infraestructura'!Y712</f>
        <v>2</v>
      </c>
      <c r="I713" s="1"/>
      <c r="J713" s="6">
        <f>+'Maestro infraestructura'!T712</f>
        <v>46378</v>
      </c>
      <c r="K713" s="6">
        <f t="shared" ca="1" si="31"/>
        <v>46378</v>
      </c>
      <c r="L713" s="6"/>
    </row>
    <row r="714" spans="1:12" x14ac:dyDescent="0.2">
      <c r="A714" s="1" t="str">
        <f>+'Maestro infraestructura'!A713</f>
        <v>EDIFICIO PRINCIPAL</v>
      </c>
      <c r="B714" s="1" t="str">
        <f>+'Maestro infraestructura'!B713</f>
        <v>5° Piso</v>
      </c>
      <c r="C714" s="1">
        <f>+'Maestro infraestructura'!C713</f>
        <v>512</v>
      </c>
      <c r="D714" s="1" t="str">
        <f>+'Maestro infraestructura'!F713</f>
        <v>Silla Profesor</v>
      </c>
      <c r="E714" s="25" t="str">
        <f ca="1">+'Maestro infraestructura'!K713</f>
        <v>Activo</v>
      </c>
      <c r="F714" s="1" t="str">
        <f ca="1">+'Maestro infraestructura'!V713</f>
        <v>AL DÍA</v>
      </c>
      <c r="G714" s="1" t="str">
        <f>+'Maestro infraestructura'!X713</f>
        <v>OPERACIÓN</v>
      </c>
      <c r="H714" s="1">
        <f>+'Maestro infraestructura'!Y713</f>
        <v>2</v>
      </c>
      <c r="I714" s="1"/>
      <c r="J714" s="6">
        <f>+'Maestro infraestructura'!T713</f>
        <v>46378</v>
      </c>
      <c r="K714" s="6">
        <f t="shared" ca="1" si="31"/>
        <v>46378</v>
      </c>
      <c r="L714" s="6"/>
    </row>
    <row r="715" spans="1:12" x14ac:dyDescent="0.2">
      <c r="A715" s="1" t="str">
        <f>+'Maestro infraestructura'!A714</f>
        <v>EDIFICIO PRINCIPAL</v>
      </c>
      <c r="B715" s="1" t="str">
        <f>+'Maestro infraestructura'!B714</f>
        <v>5° Piso</v>
      </c>
      <c r="C715" s="1">
        <f>+'Maestro infraestructura'!C714</f>
        <v>513</v>
      </c>
      <c r="D715" s="1" t="str">
        <f>+'Maestro infraestructura'!F714</f>
        <v>Silla Profesor</v>
      </c>
      <c r="E715" s="25" t="str">
        <f ca="1">+'Maestro infraestructura'!K714</f>
        <v>Activo</v>
      </c>
      <c r="F715" s="1" t="str">
        <f ca="1">+'Maestro infraestructura'!V714</f>
        <v>AL DÍA</v>
      </c>
      <c r="G715" s="1" t="str">
        <f>+'Maestro infraestructura'!X714</f>
        <v>OPERACIÓN</v>
      </c>
      <c r="H715" s="1">
        <f>+'Maestro infraestructura'!Y714</f>
        <v>2</v>
      </c>
      <c r="I715" s="1"/>
      <c r="J715" s="6">
        <f>+'Maestro infraestructura'!T714</f>
        <v>46378</v>
      </c>
      <c r="K715" s="6">
        <f t="shared" ca="1" si="31"/>
        <v>46378</v>
      </c>
      <c r="L715" s="6"/>
    </row>
    <row r="716" spans="1:12" x14ac:dyDescent="0.2">
      <c r="A716" s="1" t="str">
        <f>+'Maestro infraestructura'!A715</f>
        <v>EDIFICIO PRINCIPAL</v>
      </c>
      <c r="B716" s="1" t="str">
        <f>+'Maestro infraestructura'!B715</f>
        <v>5° Piso</v>
      </c>
      <c r="C716" s="1">
        <f>+'Maestro infraestructura'!C715</f>
        <v>515</v>
      </c>
      <c r="D716" s="1" t="str">
        <f>+'Maestro infraestructura'!F715</f>
        <v>Silla Profesor</v>
      </c>
      <c r="E716" s="25" t="str">
        <f ca="1">+'Maestro infraestructura'!K715</f>
        <v>Activo</v>
      </c>
      <c r="F716" s="1" t="str">
        <f ca="1">+'Maestro infraestructura'!V715</f>
        <v>AL DÍA</v>
      </c>
      <c r="G716" s="1" t="str">
        <f>+'Maestro infraestructura'!X715</f>
        <v>OPERACIÓN</v>
      </c>
      <c r="H716" s="1">
        <f>+'Maestro infraestructura'!Y715</f>
        <v>2</v>
      </c>
      <c r="I716" s="1"/>
      <c r="J716" s="6">
        <f>+'Maestro infraestructura'!T715</f>
        <v>46378</v>
      </c>
      <c r="K716" s="6">
        <f t="shared" ca="1" si="31"/>
        <v>46378</v>
      </c>
      <c r="L716" s="6"/>
    </row>
    <row r="717" spans="1:12" x14ac:dyDescent="0.2">
      <c r="A717" s="1" t="str">
        <f>+'Maestro infraestructura'!A716</f>
        <v>EDIFICIO PRINCIPAL</v>
      </c>
      <c r="B717" s="1" t="str">
        <f>+'Maestro infraestructura'!B716</f>
        <v>5° Piso</v>
      </c>
      <c r="C717" s="1">
        <f>+'Maestro infraestructura'!C716</f>
        <v>516</v>
      </c>
      <c r="D717" s="1" t="str">
        <f>+'Maestro infraestructura'!F716</f>
        <v>Silla Profesor</v>
      </c>
      <c r="E717" s="25" t="str">
        <f ca="1">+'Maestro infraestructura'!K716</f>
        <v>Activo</v>
      </c>
      <c r="F717" s="1" t="str">
        <f ca="1">+'Maestro infraestructura'!V716</f>
        <v>AL DÍA</v>
      </c>
      <c r="G717" s="1" t="str">
        <f>+'Maestro infraestructura'!X716</f>
        <v>OPERACIÓN</v>
      </c>
      <c r="H717" s="1">
        <f>+'Maestro infraestructura'!Y716</f>
        <v>2</v>
      </c>
      <c r="I717" s="1"/>
      <c r="J717" s="6">
        <f>+'Maestro infraestructura'!T716</f>
        <v>46378</v>
      </c>
      <c r="K717" s="6">
        <f t="shared" ca="1" si="31"/>
        <v>46378</v>
      </c>
      <c r="L717" s="6"/>
    </row>
    <row r="718" spans="1:12" x14ac:dyDescent="0.2">
      <c r="A718" s="1" t="str">
        <f>+'Maestro infraestructura'!A717</f>
        <v>EDIFICIO PRINCIPAL</v>
      </c>
      <c r="B718" s="1" t="str">
        <f>+'Maestro infraestructura'!B717</f>
        <v>5° Piso</v>
      </c>
      <c r="C718" s="1">
        <f>+'Maestro infraestructura'!C717</f>
        <v>522</v>
      </c>
      <c r="D718" s="1" t="str">
        <f>+'Maestro infraestructura'!F717</f>
        <v>Silla Profesor</v>
      </c>
      <c r="E718" s="25" t="str">
        <f ca="1">+'Maestro infraestructura'!K717</f>
        <v>Activo</v>
      </c>
      <c r="F718" s="1" t="str">
        <f ca="1">+'Maestro infraestructura'!V717</f>
        <v>AL DÍA</v>
      </c>
      <c r="G718" s="1" t="str">
        <f>+'Maestro infraestructura'!X717</f>
        <v>OPERACIÓN</v>
      </c>
      <c r="H718" s="1">
        <f>+'Maestro infraestructura'!Y717</f>
        <v>2</v>
      </c>
      <c r="I718" s="1"/>
      <c r="J718" s="6">
        <f>+'Maestro infraestructura'!T717</f>
        <v>46378</v>
      </c>
      <c r="K718" s="6">
        <f t="shared" ca="1" si="31"/>
        <v>46378</v>
      </c>
      <c r="L718" s="6"/>
    </row>
    <row r="719" spans="1:12" x14ac:dyDescent="0.2">
      <c r="A719" s="1" t="str">
        <f>+'Maestro infraestructura'!A718</f>
        <v>EDIFICIO PRINCIPAL</v>
      </c>
      <c r="B719" s="1" t="str">
        <f>+'Maestro infraestructura'!B718</f>
        <v>5° Piso</v>
      </c>
      <c r="C719" s="1">
        <f>+'Maestro infraestructura'!C718</f>
        <v>523</v>
      </c>
      <c r="D719" s="1" t="str">
        <f>+'Maestro infraestructura'!F718</f>
        <v>Silla Profesor</v>
      </c>
      <c r="E719" s="25" t="str">
        <f ca="1">+'Maestro infraestructura'!K718</f>
        <v>Activo</v>
      </c>
      <c r="F719" s="1" t="str">
        <f ca="1">+'Maestro infraestructura'!V718</f>
        <v>AL DÍA</v>
      </c>
      <c r="G719" s="1" t="str">
        <f>+'Maestro infraestructura'!X718</f>
        <v>OPERACIÓN</v>
      </c>
      <c r="H719" s="1">
        <f>+'Maestro infraestructura'!Y718</f>
        <v>2</v>
      </c>
      <c r="I719" s="1"/>
      <c r="J719" s="6">
        <f>+'Maestro infraestructura'!T718</f>
        <v>46378</v>
      </c>
      <c r="K719" s="6">
        <f t="shared" ca="1" si="31"/>
        <v>46378</v>
      </c>
      <c r="L719" s="6"/>
    </row>
    <row r="720" spans="1:12" x14ac:dyDescent="0.2">
      <c r="A720" s="1" t="str">
        <f>+'Maestro infraestructura'!A719</f>
        <v>EDIFICIO PRINCIPAL</v>
      </c>
      <c r="B720" s="1" t="str">
        <f>+'Maestro infraestructura'!B719</f>
        <v>5° Piso</v>
      </c>
      <c r="C720" s="1">
        <f>+'Maestro infraestructura'!C719</f>
        <v>524</v>
      </c>
      <c r="D720" s="1" t="str">
        <f>+'Maestro infraestructura'!F719</f>
        <v>Silla Profesor</v>
      </c>
      <c r="E720" s="25" t="str">
        <f ca="1">+'Maestro infraestructura'!K719</f>
        <v>Activo</v>
      </c>
      <c r="F720" s="1" t="str">
        <f ca="1">+'Maestro infraestructura'!V719</f>
        <v>AL DÍA</v>
      </c>
      <c r="G720" s="1" t="str">
        <f>+'Maestro infraestructura'!X719</f>
        <v>OPERACIÓN</v>
      </c>
      <c r="H720" s="1">
        <f>+'Maestro infraestructura'!Y719</f>
        <v>2</v>
      </c>
      <c r="I720" s="1"/>
      <c r="J720" s="6">
        <f>+'Maestro infraestructura'!T719</f>
        <v>46378</v>
      </c>
      <c r="K720" s="6">
        <f t="shared" ca="1" si="31"/>
        <v>46378</v>
      </c>
      <c r="L720" s="6"/>
    </row>
    <row r="721" spans="1:12" x14ac:dyDescent="0.2">
      <c r="A721" s="1" t="str">
        <f>+'Maestro infraestructura'!A720</f>
        <v>EDIFICIO PRINCIPAL</v>
      </c>
      <c r="B721" s="1" t="str">
        <f>+'Maestro infraestructura'!B720</f>
        <v>5° Piso</v>
      </c>
      <c r="C721" s="1">
        <f>+'Maestro infraestructura'!C720</f>
        <v>525</v>
      </c>
      <c r="D721" s="1" t="str">
        <f>+'Maestro infraestructura'!F720</f>
        <v>Silla Profesor</v>
      </c>
      <c r="E721" s="25" t="str">
        <f ca="1">+'Maestro infraestructura'!K720</f>
        <v>Activo</v>
      </c>
      <c r="F721" s="1" t="str">
        <f ca="1">+'Maestro infraestructura'!V720</f>
        <v>AL DÍA</v>
      </c>
      <c r="G721" s="1" t="str">
        <f>+'Maestro infraestructura'!X720</f>
        <v>OPERACIÓN</v>
      </c>
      <c r="H721" s="1">
        <f>+'Maestro infraestructura'!Y720</f>
        <v>2</v>
      </c>
      <c r="I721" s="1"/>
      <c r="J721" s="6">
        <f>+'Maestro infraestructura'!T720</f>
        <v>46378</v>
      </c>
      <c r="K721" s="6">
        <f t="shared" ca="1" si="31"/>
        <v>46378</v>
      </c>
      <c r="L721" s="6"/>
    </row>
    <row r="722" spans="1:12" x14ac:dyDescent="0.2">
      <c r="A722" s="1" t="str">
        <f>+'Maestro infraestructura'!A721</f>
        <v>EDIFICIO PRINCIPAL</v>
      </c>
      <c r="B722" s="1" t="str">
        <f>+'Maestro infraestructura'!B721</f>
        <v>6° Piso</v>
      </c>
      <c r="C722" s="1">
        <f>+'Maestro infraestructura'!C721</f>
        <v>601</v>
      </c>
      <c r="D722" s="1" t="str">
        <f>+'Maestro infraestructura'!F721</f>
        <v>Silla Profesor</v>
      </c>
      <c r="E722" s="25" t="str">
        <f ca="1">+'Maestro infraestructura'!K721</f>
        <v>Activo</v>
      </c>
      <c r="F722" s="1" t="str">
        <f ca="1">+'Maestro infraestructura'!V721</f>
        <v>AL DÍA</v>
      </c>
      <c r="G722" s="1" t="str">
        <f>+'Maestro infraestructura'!X721</f>
        <v>OPERACIÓN</v>
      </c>
      <c r="H722" s="1">
        <f>+'Maestro infraestructura'!Y721</f>
        <v>2</v>
      </c>
      <c r="I722" s="1"/>
      <c r="J722" s="6">
        <f>+'Maestro infraestructura'!T721</f>
        <v>46378</v>
      </c>
      <c r="K722" s="6">
        <f t="shared" ca="1" si="31"/>
        <v>46378</v>
      </c>
      <c r="L722" s="6"/>
    </row>
    <row r="723" spans="1:12" x14ac:dyDescent="0.2">
      <c r="A723" s="1" t="str">
        <f>+'Maestro infraestructura'!A722</f>
        <v>EDIFICIO PRINCIPAL</v>
      </c>
      <c r="B723" s="1" t="str">
        <f>+'Maestro infraestructura'!B722</f>
        <v>6° Piso</v>
      </c>
      <c r="C723" s="1">
        <f>+'Maestro infraestructura'!C722</f>
        <v>602</v>
      </c>
      <c r="D723" s="1" t="str">
        <f>+'Maestro infraestructura'!F722</f>
        <v>Silla Profesor</v>
      </c>
      <c r="E723" s="25" t="str">
        <f ca="1">+'Maestro infraestructura'!K722</f>
        <v>Activo</v>
      </c>
      <c r="F723" s="1" t="str">
        <f ca="1">+'Maestro infraestructura'!V722</f>
        <v>AL DÍA</v>
      </c>
      <c r="G723" s="1" t="str">
        <f>+'Maestro infraestructura'!X722</f>
        <v>OPERACIÓN</v>
      </c>
      <c r="H723" s="1">
        <f>+'Maestro infraestructura'!Y722</f>
        <v>2</v>
      </c>
      <c r="I723" s="1"/>
      <c r="J723" s="6">
        <f>+'Maestro infraestructura'!T722</f>
        <v>46378</v>
      </c>
      <c r="K723" s="6">
        <f t="shared" ca="1" si="31"/>
        <v>46378</v>
      </c>
      <c r="L723" s="6"/>
    </row>
    <row r="724" spans="1:12" x14ac:dyDescent="0.2">
      <c r="A724" s="1" t="str">
        <f>+'Maestro infraestructura'!A723</f>
        <v>EDIFICIO PRINCIPAL</v>
      </c>
      <c r="B724" s="1" t="str">
        <f>+'Maestro infraestructura'!B723</f>
        <v>6° Piso</v>
      </c>
      <c r="C724" s="1">
        <f>+'Maestro infraestructura'!C723</f>
        <v>603</v>
      </c>
      <c r="D724" s="1" t="str">
        <f>+'Maestro infraestructura'!F723</f>
        <v>Silla Profesor</v>
      </c>
      <c r="E724" s="25" t="str">
        <f ca="1">+'Maestro infraestructura'!K723</f>
        <v>Activo</v>
      </c>
      <c r="F724" s="1" t="str">
        <f ca="1">+'Maestro infraestructura'!V723</f>
        <v>AL DÍA</v>
      </c>
      <c r="G724" s="1" t="str">
        <f>+'Maestro infraestructura'!X723</f>
        <v>OPERACIÓN</v>
      </c>
      <c r="H724" s="1">
        <f>+'Maestro infraestructura'!Y723</f>
        <v>2</v>
      </c>
      <c r="I724" s="1"/>
      <c r="J724" s="6">
        <f>+'Maestro infraestructura'!T723</f>
        <v>46378</v>
      </c>
      <c r="K724" s="6">
        <f t="shared" ca="1" si="31"/>
        <v>46378</v>
      </c>
      <c r="L724" s="6"/>
    </row>
    <row r="725" spans="1:12" x14ac:dyDescent="0.2">
      <c r="A725" s="1" t="str">
        <f>+'Maestro infraestructura'!A724</f>
        <v>EDIFICIO PRINCIPAL</v>
      </c>
      <c r="B725" s="1" t="str">
        <f>+'Maestro infraestructura'!B724</f>
        <v>6° Piso</v>
      </c>
      <c r="C725" s="1">
        <f>+'Maestro infraestructura'!C724</f>
        <v>604</v>
      </c>
      <c r="D725" s="1" t="str">
        <f>+'Maestro infraestructura'!F724</f>
        <v>Silla Profesor</v>
      </c>
      <c r="E725" s="25" t="str">
        <f ca="1">+'Maestro infraestructura'!K724</f>
        <v>Activo</v>
      </c>
      <c r="F725" s="1" t="str">
        <f ca="1">+'Maestro infraestructura'!V724</f>
        <v>AL DÍA</v>
      </c>
      <c r="G725" s="1" t="str">
        <f>+'Maestro infraestructura'!X724</f>
        <v>OPERACIÓN</v>
      </c>
      <c r="H725" s="1">
        <f>+'Maestro infraestructura'!Y724</f>
        <v>2</v>
      </c>
      <c r="I725" s="1"/>
      <c r="J725" s="6">
        <f>+'Maestro infraestructura'!T724</f>
        <v>46378</v>
      </c>
      <c r="K725" s="6">
        <f t="shared" ca="1" si="31"/>
        <v>46378</v>
      </c>
      <c r="L725" s="6"/>
    </row>
    <row r="726" spans="1:12" x14ac:dyDescent="0.2">
      <c r="A726" s="1" t="str">
        <f>+'Maestro infraestructura'!A725</f>
        <v>EDIFICIO PRINCIPAL</v>
      </c>
      <c r="B726" s="1" t="str">
        <f>+'Maestro infraestructura'!B725</f>
        <v>6° Piso</v>
      </c>
      <c r="C726" s="1">
        <f>+'Maestro infraestructura'!C725</f>
        <v>606</v>
      </c>
      <c r="D726" s="1" t="str">
        <f>+'Maestro infraestructura'!F725</f>
        <v>Silla Profesor</v>
      </c>
      <c r="E726" s="25" t="str">
        <f ca="1">+'Maestro infraestructura'!K725</f>
        <v>Activo</v>
      </c>
      <c r="F726" s="1" t="str">
        <f ca="1">+'Maestro infraestructura'!V725</f>
        <v>AL DÍA</v>
      </c>
      <c r="G726" s="1" t="str">
        <f>+'Maestro infraestructura'!X725</f>
        <v>OPERACIÓN</v>
      </c>
      <c r="H726" s="1">
        <f>+'Maestro infraestructura'!Y725</f>
        <v>2</v>
      </c>
      <c r="I726" s="1"/>
      <c r="J726" s="6">
        <f>+'Maestro infraestructura'!T725</f>
        <v>46378</v>
      </c>
      <c r="K726" s="6">
        <f t="shared" ca="1" si="31"/>
        <v>46378</v>
      </c>
      <c r="L726" s="6"/>
    </row>
    <row r="727" spans="1:12" x14ac:dyDescent="0.2">
      <c r="A727" s="1" t="str">
        <f>+'Maestro infraestructura'!A726</f>
        <v>EDIFICIO PRINCIPAL</v>
      </c>
      <c r="B727" s="1" t="str">
        <f>+'Maestro infraestructura'!B726</f>
        <v>6° Piso</v>
      </c>
      <c r="C727" s="1">
        <f>+'Maestro infraestructura'!C726</f>
        <v>607</v>
      </c>
      <c r="D727" s="1" t="str">
        <f>+'Maestro infraestructura'!F726</f>
        <v>Silla Profesor</v>
      </c>
      <c r="E727" s="25" t="str">
        <f ca="1">+'Maestro infraestructura'!K726</f>
        <v>Activo</v>
      </c>
      <c r="F727" s="1" t="str">
        <f ca="1">+'Maestro infraestructura'!V726</f>
        <v>AL DÍA</v>
      </c>
      <c r="G727" s="1" t="str">
        <f>+'Maestro infraestructura'!X726</f>
        <v>OPERACIÓN</v>
      </c>
      <c r="H727" s="1">
        <f>+'Maestro infraestructura'!Y726</f>
        <v>2</v>
      </c>
      <c r="I727" s="1"/>
      <c r="J727" s="6">
        <f>+'Maestro infraestructura'!T726</f>
        <v>46378</v>
      </c>
      <c r="K727" s="6">
        <f t="shared" ca="1" si="31"/>
        <v>46378</v>
      </c>
      <c r="L727" s="6"/>
    </row>
    <row r="728" spans="1:12" x14ac:dyDescent="0.2">
      <c r="A728" s="1" t="str">
        <f>+'Maestro infraestructura'!A727</f>
        <v>EDIFICIO PRINCIPAL</v>
      </c>
      <c r="B728" s="1" t="str">
        <f>+'Maestro infraestructura'!B727</f>
        <v>6° Piso</v>
      </c>
      <c r="C728" s="1">
        <f>+'Maestro infraestructura'!C727</f>
        <v>608</v>
      </c>
      <c r="D728" s="1" t="str">
        <f>+'Maestro infraestructura'!F727</f>
        <v>Silla Profesor</v>
      </c>
      <c r="E728" s="25" t="str">
        <f ca="1">+'Maestro infraestructura'!K727</f>
        <v>Activo</v>
      </c>
      <c r="F728" s="1" t="str">
        <f ca="1">+'Maestro infraestructura'!V727</f>
        <v>AL DÍA</v>
      </c>
      <c r="G728" s="1" t="str">
        <f>+'Maestro infraestructura'!X727</f>
        <v>OPERACIÓN</v>
      </c>
      <c r="H728" s="1">
        <f>+'Maestro infraestructura'!Y727</f>
        <v>2</v>
      </c>
      <c r="I728" s="1"/>
      <c r="J728" s="6">
        <f>+'Maestro infraestructura'!T727</f>
        <v>46378</v>
      </c>
      <c r="K728" s="6">
        <f t="shared" ca="1" si="31"/>
        <v>46378</v>
      </c>
      <c r="L728" s="6"/>
    </row>
    <row r="729" spans="1:12" x14ac:dyDescent="0.2">
      <c r="A729" s="1" t="str">
        <f>+'Maestro infraestructura'!A728</f>
        <v>EDIFICIO PRINCIPAL</v>
      </c>
      <c r="B729" s="1" t="str">
        <f>+'Maestro infraestructura'!B728</f>
        <v>6° Piso</v>
      </c>
      <c r="C729" s="1">
        <f>+'Maestro infraestructura'!C728</f>
        <v>609</v>
      </c>
      <c r="D729" s="1" t="str">
        <f>+'Maestro infraestructura'!F728</f>
        <v>Silla Profesor</v>
      </c>
      <c r="E729" s="25" t="str">
        <f ca="1">+'Maestro infraestructura'!K728</f>
        <v>Activo</v>
      </c>
      <c r="F729" s="1" t="str">
        <f ca="1">+'Maestro infraestructura'!V728</f>
        <v>AL DÍA</v>
      </c>
      <c r="G729" s="1" t="str">
        <f>+'Maestro infraestructura'!X728</f>
        <v>OPERACIÓN</v>
      </c>
      <c r="H729" s="1">
        <f>+'Maestro infraestructura'!Y728</f>
        <v>2</v>
      </c>
      <c r="I729" s="1"/>
      <c r="J729" s="6">
        <f>+'Maestro infraestructura'!T728</f>
        <v>46378</v>
      </c>
      <c r="K729" s="6">
        <f t="shared" ca="1" si="31"/>
        <v>46378</v>
      </c>
      <c r="L729" s="6"/>
    </row>
    <row r="730" spans="1:12" x14ac:dyDescent="0.2">
      <c r="A730" s="1" t="str">
        <f>+'Maestro infraestructura'!A729</f>
        <v>EDIFICIO PRINCIPAL</v>
      </c>
      <c r="B730" s="1" t="str">
        <f>+'Maestro infraestructura'!B729</f>
        <v>6° Piso</v>
      </c>
      <c r="C730" s="1">
        <f>+'Maestro infraestructura'!C729</f>
        <v>610</v>
      </c>
      <c r="D730" s="1" t="str">
        <f>+'Maestro infraestructura'!F729</f>
        <v>Silla Profesor</v>
      </c>
      <c r="E730" s="25" t="str">
        <f ca="1">+'Maestro infraestructura'!K729</f>
        <v>Activo</v>
      </c>
      <c r="F730" s="1" t="str">
        <f ca="1">+'Maestro infraestructura'!V729</f>
        <v>AL DÍA</v>
      </c>
      <c r="G730" s="1" t="str">
        <f>+'Maestro infraestructura'!X729</f>
        <v>OPERACIÓN</v>
      </c>
      <c r="H730" s="1">
        <f>+'Maestro infraestructura'!Y729</f>
        <v>2</v>
      </c>
      <c r="I730" s="1"/>
      <c r="J730" s="6">
        <f>+'Maestro infraestructura'!T729</f>
        <v>46378</v>
      </c>
      <c r="K730" s="6">
        <f t="shared" ca="1" si="31"/>
        <v>46378</v>
      </c>
      <c r="L730" s="6"/>
    </row>
    <row r="731" spans="1:12" x14ac:dyDescent="0.2">
      <c r="A731" s="1" t="str">
        <f>+'Maestro infraestructura'!A730</f>
        <v>EDIFICIO PRINCIPAL</v>
      </c>
      <c r="B731" s="1" t="str">
        <f>+'Maestro infraestructura'!B730</f>
        <v>6° Piso</v>
      </c>
      <c r="C731" s="1">
        <f>+'Maestro infraestructura'!C730</f>
        <v>611</v>
      </c>
      <c r="D731" s="1" t="str">
        <f>+'Maestro infraestructura'!F730</f>
        <v>Silla Profesor</v>
      </c>
      <c r="E731" s="25" t="str">
        <f ca="1">+'Maestro infraestructura'!K730</f>
        <v>Activo</v>
      </c>
      <c r="F731" s="1" t="str">
        <f ca="1">+'Maestro infraestructura'!V730</f>
        <v>AL DÍA</v>
      </c>
      <c r="G731" s="1" t="str">
        <f>+'Maestro infraestructura'!X730</f>
        <v>OPERACIÓN</v>
      </c>
      <c r="H731" s="1">
        <f>+'Maestro infraestructura'!Y730</f>
        <v>2</v>
      </c>
      <c r="I731" s="1"/>
      <c r="J731" s="6">
        <f>+'Maestro infraestructura'!T730</f>
        <v>46378</v>
      </c>
      <c r="K731" s="6">
        <f t="shared" ca="1" si="31"/>
        <v>46378</v>
      </c>
      <c r="L731" s="6"/>
    </row>
    <row r="732" spans="1:12" x14ac:dyDescent="0.2">
      <c r="A732" s="1" t="str">
        <f>+'Maestro infraestructura'!A731</f>
        <v>EDIFICIO PRINCIPAL</v>
      </c>
      <c r="B732" s="1" t="str">
        <f>+'Maestro infraestructura'!B731</f>
        <v>6° Piso</v>
      </c>
      <c r="C732" s="1">
        <f>+'Maestro infraestructura'!C731</f>
        <v>612</v>
      </c>
      <c r="D732" s="1" t="str">
        <f>+'Maestro infraestructura'!F731</f>
        <v>Silla Profesor</v>
      </c>
      <c r="E732" s="25" t="str">
        <f ca="1">+'Maestro infraestructura'!K731</f>
        <v>Activo</v>
      </c>
      <c r="F732" s="1" t="str">
        <f ca="1">+'Maestro infraestructura'!V731</f>
        <v>AL DÍA</v>
      </c>
      <c r="G732" s="1" t="str">
        <f>+'Maestro infraestructura'!X731</f>
        <v>OPERACIÓN</v>
      </c>
      <c r="H732" s="1">
        <f>+'Maestro infraestructura'!Y731</f>
        <v>2</v>
      </c>
      <c r="I732" s="1"/>
      <c r="J732" s="6">
        <f>+'Maestro infraestructura'!T731</f>
        <v>46378</v>
      </c>
      <c r="K732" s="6">
        <f t="shared" ca="1" si="31"/>
        <v>46378</v>
      </c>
      <c r="L732" s="6"/>
    </row>
    <row r="733" spans="1:12" x14ac:dyDescent="0.2">
      <c r="A733" s="1" t="str">
        <f>+'Maestro infraestructura'!A732</f>
        <v>EDIFICIO PRINCIPAL</v>
      </c>
      <c r="B733" s="1" t="str">
        <f>+'Maestro infraestructura'!B732</f>
        <v>6° Piso</v>
      </c>
      <c r="C733" s="1">
        <f>+'Maestro infraestructura'!C732</f>
        <v>613</v>
      </c>
      <c r="D733" s="1" t="str">
        <f>+'Maestro infraestructura'!F732</f>
        <v>Silla Profesor</v>
      </c>
      <c r="E733" s="25" t="str">
        <f ca="1">+'Maestro infraestructura'!K732</f>
        <v>Activo</v>
      </c>
      <c r="F733" s="1" t="str">
        <f ca="1">+'Maestro infraestructura'!V732</f>
        <v>AL DÍA</v>
      </c>
      <c r="G733" s="1" t="str">
        <f>+'Maestro infraestructura'!X732</f>
        <v>OPERACIÓN</v>
      </c>
      <c r="H733" s="1">
        <f>+'Maestro infraestructura'!Y732</f>
        <v>2</v>
      </c>
      <c r="I733" s="1"/>
      <c r="J733" s="6">
        <f>+'Maestro infraestructura'!T732</f>
        <v>46378</v>
      </c>
      <c r="K733" s="6">
        <f t="shared" ca="1" si="31"/>
        <v>46378</v>
      </c>
      <c r="L733" s="6"/>
    </row>
    <row r="734" spans="1:12" x14ac:dyDescent="0.2">
      <c r="A734" s="1" t="str">
        <f>+'Maestro infraestructura'!A733</f>
        <v>EDIFICIO PRINCIPAL</v>
      </c>
      <c r="B734" s="1" t="str">
        <f>+'Maestro infraestructura'!B733</f>
        <v>6° Piso</v>
      </c>
      <c r="C734" s="1">
        <f>+'Maestro infraestructura'!C733</f>
        <v>614</v>
      </c>
      <c r="D734" s="1" t="str">
        <f>+'Maestro infraestructura'!F733</f>
        <v>Silla Profesor</v>
      </c>
      <c r="E734" s="25" t="str">
        <f ca="1">+'Maestro infraestructura'!K733</f>
        <v>Activo</v>
      </c>
      <c r="F734" s="1" t="str">
        <f ca="1">+'Maestro infraestructura'!V733</f>
        <v>AL DÍA</v>
      </c>
      <c r="G734" s="1" t="str">
        <f>+'Maestro infraestructura'!X733</f>
        <v>OPERACIÓN</v>
      </c>
      <c r="H734" s="1">
        <f>+'Maestro infraestructura'!Y733</f>
        <v>2</v>
      </c>
      <c r="I734" s="1"/>
      <c r="J734" s="6">
        <f>+'Maestro infraestructura'!T733</f>
        <v>46378</v>
      </c>
      <c r="K734" s="6">
        <f t="shared" ca="1" si="31"/>
        <v>46378</v>
      </c>
      <c r="L734" s="6"/>
    </row>
    <row r="735" spans="1:12" x14ac:dyDescent="0.2">
      <c r="A735" s="1" t="str">
        <f>+'Maestro infraestructura'!A734</f>
        <v>EDIFICIO PRINCIPAL</v>
      </c>
      <c r="B735" s="1" t="str">
        <f>+'Maestro infraestructura'!B734</f>
        <v>6° Piso</v>
      </c>
      <c r="C735" s="1">
        <f>+'Maestro infraestructura'!C734</f>
        <v>615</v>
      </c>
      <c r="D735" s="1" t="str">
        <f>+'Maestro infraestructura'!F734</f>
        <v>Silla Profesor</v>
      </c>
      <c r="E735" s="25" t="str">
        <f ca="1">+'Maestro infraestructura'!K734</f>
        <v>Activo</v>
      </c>
      <c r="F735" s="1" t="str">
        <f ca="1">+'Maestro infraestructura'!V734</f>
        <v>AL DÍA</v>
      </c>
      <c r="G735" s="1" t="str">
        <f>+'Maestro infraestructura'!X734</f>
        <v>OPERACIÓN</v>
      </c>
      <c r="H735" s="1">
        <f>+'Maestro infraestructura'!Y734</f>
        <v>2</v>
      </c>
      <c r="I735" s="1"/>
      <c r="J735" s="6">
        <f>+'Maestro infraestructura'!T734</f>
        <v>46378</v>
      </c>
      <c r="K735" s="6">
        <f t="shared" ca="1" si="31"/>
        <v>46378</v>
      </c>
      <c r="L735" s="6"/>
    </row>
    <row r="736" spans="1:12" x14ac:dyDescent="0.2">
      <c r="A736" s="1" t="str">
        <f>+'Maestro infraestructura'!A735</f>
        <v>EDIFICIO PRINCIPAL</v>
      </c>
      <c r="B736" s="1" t="str">
        <f>+'Maestro infraestructura'!B735</f>
        <v>6° Piso</v>
      </c>
      <c r="C736" s="1">
        <f>+'Maestro infraestructura'!C735</f>
        <v>618</v>
      </c>
      <c r="D736" s="1" t="str">
        <f>+'Maestro infraestructura'!F735</f>
        <v>Silla Profesor</v>
      </c>
      <c r="E736" s="25" t="str">
        <f ca="1">+'Maestro infraestructura'!K735</f>
        <v>Activo</v>
      </c>
      <c r="F736" s="1" t="str">
        <f ca="1">+'Maestro infraestructura'!V735</f>
        <v>AL DÍA</v>
      </c>
      <c r="G736" s="1" t="str">
        <f>+'Maestro infraestructura'!X735</f>
        <v>OPERACIÓN</v>
      </c>
      <c r="H736" s="1">
        <f>+'Maestro infraestructura'!Y735</f>
        <v>2</v>
      </c>
      <c r="I736" s="1"/>
      <c r="J736" s="6">
        <f>+'Maestro infraestructura'!T735</f>
        <v>46378</v>
      </c>
      <c r="K736" s="6">
        <f t="shared" ca="1" si="31"/>
        <v>46378</v>
      </c>
      <c r="L736" s="6"/>
    </row>
    <row r="737" spans="1:12" x14ac:dyDescent="0.2">
      <c r="A737" s="1" t="str">
        <f>+'Maestro infraestructura'!A736</f>
        <v>EDIFICIO PRINCIPAL</v>
      </c>
      <c r="B737" s="1" t="str">
        <f>+'Maestro infraestructura'!B736</f>
        <v>6° Piso</v>
      </c>
      <c r="C737" s="1">
        <f>+'Maestro infraestructura'!C736</f>
        <v>623</v>
      </c>
      <c r="D737" s="1" t="str">
        <f>+'Maestro infraestructura'!F736</f>
        <v>Silla Profesor</v>
      </c>
      <c r="E737" s="25" t="str">
        <f ca="1">+'Maestro infraestructura'!K736</f>
        <v>Activo</v>
      </c>
      <c r="F737" s="1" t="str">
        <f ca="1">+'Maestro infraestructura'!V736</f>
        <v>AL DÍA</v>
      </c>
      <c r="G737" s="1" t="str">
        <f>+'Maestro infraestructura'!X736</f>
        <v>OPERACIÓN</v>
      </c>
      <c r="H737" s="1">
        <f>+'Maestro infraestructura'!Y736</f>
        <v>2</v>
      </c>
      <c r="I737" s="1"/>
      <c r="J737" s="6">
        <f>+'Maestro infraestructura'!T736</f>
        <v>46378</v>
      </c>
      <c r="K737" s="6">
        <f t="shared" ca="1" si="31"/>
        <v>46378</v>
      </c>
      <c r="L737" s="6"/>
    </row>
    <row r="738" spans="1:12" x14ac:dyDescent="0.2">
      <c r="A738" s="1" t="str">
        <f>+'Maestro infraestructura'!A737</f>
        <v>EDIFICIO PRINCIPAL</v>
      </c>
      <c r="B738" s="1" t="str">
        <f>+'Maestro infraestructura'!B737</f>
        <v>6° Piso</v>
      </c>
      <c r="C738" s="1">
        <f>+'Maestro infraestructura'!C737</f>
        <v>624</v>
      </c>
      <c r="D738" s="1" t="str">
        <f>+'Maestro infraestructura'!F737</f>
        <v>Silla Profesor</v>
      </c>
      <c r="E738" s="25" t="str">
        <f ca="1">+'Maestro infraestructura'!K737</f>
        <v>Activo</v>
      </c>
      <c r="F738" s="1" t="str">
        <f ca="1">+'Maestro infraestructura'!V737</f>
        <v>AL DÍA</v>
      </c>
      <c r="G738" s="1" t="str">
        <f>+'Maestro infraestructura'!X737</f>
        <v>OPERACIÓN</v>
      </c>
      <c r="H738" s="1">
        <f>+'Maestro infraestructura'!Y737</f>
        <v>2</v>
      </c>
      <c r="I738" s="1"/>
      <c r="J738" s="6">
        <f>+'Maestro infraestructura'!T737</f>
        <v>46378</v>
      </c>
      <c r="K738" s="6">
        <f t="shared" ca="1" si="31"/>
        <v>46378</v>
      </c>
      <c r="L738" s="6"/>
    </row>
    <row r="739" spans="1:12" x14ac:dyDescent="0.2">
      <c r="A739" s="1" t="str">
        <f>+'Maestro infraestructura'!A738</f>
        <v>EDIFICIO PRINCIPAL</v>
      </c>
      <c r="B739" s="1" t="str">
        <f>+'Maestro infraestructura'!B738</f>
        <v>6° Piso</v>
      </c>
      <c r="C739" s="1">
        <f>+'Maestro infraestructura'!C738</f>
        <v>625</v>
      </c>
      <c r="D739" s="1" t="str">
        <f>+'Maestro infraestructura'!F738</f>
        <v>Silla Profesor</v>
      </c>
      <c r="E739" s="25" t="str">
        <f ca="1">+'Maestro infraestructura'!K738</f>
        <v>Activo</v>
      </c>
      <c r="F739" s="1" t="str">
        <f ca="1">+'Maestro infraestructura'!V738</f>
        <v>AL DÍA</v>
      </c>
      <c r="G739" s="1" t="str">
        <f>+'Maestro infraestructura'!X738</f>
        <v>OPERACIÓN</v>
      </c>
      <c r="H739" s="1">
        <f>+'Maestro infraestructura'!Y738</f>
        <v>2</v>
      </c>
      <c r="I739" s="1"/>
      <c r="J739" s="6">
        <f>+'Maestro infraestructura'!T738</f>
        <v>46378</v>
      </c>
      <c r="K739" s="6">
        <f t="shared" ca="1" si="31"/>
        <v>46378</v>
      </c>
      <c r="L739" s="6"/>
    </row>
    <row r="740" spans="1:12" x14ac:dyDescent="0.2">
      <c r="A740" s="1" t="str">
        <f>+'Maestro infraestructura'!A739</f>
        <v>EDIFICIO PRINCIPAL</v>
      </c>
      <c r="B740" s="1" t="str">
        <f>+'Maestro infraestructura'!B739</f>
        <v>3° Piso</v>
      </c>
      <c r="C740" s="1" t="str">
        <f>+'Maestro infraestructura'!C739</f>
        <v>FIS2</v>
      </c>
      <c r="D740" s="1" t="str">
        <f>+'Maestro infraestructura'!F739</f>
        <v>Piso</v>
      </c>
      <c r="E740" s="25" t="str">
        <f ca="1">+'Maestro infraestructura'!K739</f>
        <v>Activo</v>
      </c>
      <c r="F740" s="1" t="str">
        <f ca="1">+'Maestro infraestructura'!V739</f>
        <v>AL DÍA</v>
      </c>
      <c r="G740" s="1" t="str">
        <f>+'Maestro infraestructura'!X739</f>
        <v>GENERAL</v>
      </c>
      <c r="H740" s="1">
        <f>+'Maestro infraestructura'!Y739</f>
        <v>2</v>
      </c>
      <c r="I740" s="1"/>
      <c r="J740" s="6">
        <f>+'Maestro infraestructura'!T739</f>
        <v>46563</v>
      </c>
      <c r="K740" s="6">
        <f t="shared" ca="1" si="31"/>
        <v>46563</v>
      </c>
      <c r="L740" s="6"/>
    </row>
    <row r="741" spans="1:12" x14ac:dyDescent="0.2">
      <c r="A741" s="1" t="str">
        <f>+'Maestro infraestructura'!A740</f>
        <v>EDIFICIO PRINCIPAL</v>
      </c>
      <c r="B741" s="1" t="str">
        <f>+'Maestro infraestructura'!B740</f>
        <v>3° Piso</v>
      </c>
      <c r="C741" s="1" t="str">
        <f>+'Maestro infraestructura'!C740</f>
        <v>FIS2</v>
      </c>
      <c r="D741" s="1" t="str">
        <f>+'Maestro infraestructura'!F740</f>
        <v>Enchufes</v>
      </c>
      <c r="E741" s="25" t="str">
        <f ca="1">+'Maestro infraestructura'!K740</f>
        <v>Activo</v>
      </c>
      <c r="F741" s="1" t="str">
        <f ca="1">+'Maestro infraestructura'!V740</f>
        <v>AL DÍA</v>
      </c>
      <c r="G741" s="1" t="str">
        <f>+'Maestro infraestructura'!X740</f>
        <v>GENERAL</v>
      </c>
      <c r="H741" s="1">
        <f>+'Maestro infraestructura'!Y740</f>
        <v>2</v>
      </c>
      <c r="I741" s="1"/>
      <c r="J741" s="6">
        <f>+'Maestro infraestructura'!T740</f>
        <v>46563</v>
      </c>
      <c r="K741" s="6">
        <f t="shared" ca="1" si="31"/>
        <v>46563</v>
      </c>
      <c r="L741" s="6"/>
    </row>
    <row r="742" spans="1:12" x14ac:dyDescent="0.2">
      <c r="A742" s="1" t="str">
        <f>+'Maestro infraestructura'!A741</f>
        <v>EDIFICIO PRINCIPAL</v>
      </c>
      <c r="B742" s="1" t="str">
        <f>+'Maestro infraestructura'!B741</f>
        <v>3° Piso</v>
      </c>
      <c r="C742" s="1" t="str">
        <f>+'Maestro infraestructura'!C741</f>
        <v>FIS2</v>
      </c>
      <c r="D742" s="1" t="str">
        <f>+'Maestro infraestructura'!F741</f>
        <v>Puertas</v>
      </c>
      <c r="E742" s="25" t="str">
        <f ca="1">+'Maestro infraestructura'!K741</f>
        <v>Activo</v>
      </c>
      <c r="F742" s="1" t="str">
        <f ca="1">+'Maestro infraestructura'!V741</f>
        <v>AL DÍA</v>
      </c>
      <c r="G742" s="1" t="str">
        <f>+'Maestro infraestructura'!X741</f>
        <v>GENERAL</v>
      </c>
      <c r="H742" s="1">
        <f>+'Maestro infraestructura'!Y741</f>
        <v>2</v>
      </c>
      <c r="I742" s="1"/>
      <c r="J742" s="6">
        <f>+'Maestro infraestructura'!T741</f>
        <v>46563</v>
      </c>
      <c r="K742" s="6">
        <f t="shared" ca="1" si="31"/>
        <v>46563</v>
      </c>
      <c r="L742" s="6"/>
    </row>
    <row r="743" spans="1:12" x14ac:dyDescent="0.2">
      <c r="A743" s="1" t="str">
        <f>+'Maestro infraestructura'!A742</f>
        <v>EDIFICIO PRINCIPAL</v>
      </c>
      <c r="B743" s="1" t="str">
        <f>+'Maestro infraestructura'!B742</f>
        <v>3° Piso</v>
      </c>
      <c r="C743" s="1" t="str">
        <f>+'Maestro infraestructura'!C742</f>
        <v>ZS1</v>
      </c>
      <c r="D743" s="1" t="str">
        <f>+'Maestro infraestructura'!F742</f>
        <v>TV</v>
      </c>
      <c r="E743" s="25" t="str">
        <f ca="1">+'Maestro infraestructura'!K742</f>
        <v>Activo</v>
      </c>
      <c r="F743" s="1" t="str">
        <f ca="1">+'Maestro infraestructura'!V742</f>
        <v>AL DÍA</v>
      </c>
      <c r="G743" s="1" t="str">
        <f>+'Maestro infraestructura'!X742</f>
        <v>OPERACIÓN</v>
      </c>
      <c r="H743" s="1">
        <f>+'Maestro infraestructura'!Y742</f>
        <v>2</v>
      </c>
      <c r="I743" s="1"/>
      <c r="J743" s="6">
        <f>+'Maestro infraestructura'!T742</f>
        <v>46563</v>
      </c>
      <c r="K743" s="6">
        <f t="shared" ca="1" si="31"/>
        <v>46563</v>
      </c>
      <c r="L743" s="6"/>
    </row>
    <row r="744" spans="1:12" x14ac:dyDescent="0.2">
      <c r="A744" s="1" t="str">
        <f>+'Maestro infraestructura'!A743</f>
        <v>EDIFICIO PRINCIPAL</v>
      </c>
      <c r="B744" s="1" t="str">
        <f>+'Maestro infraestructura'!B743</f>
        <v>3° Piso</v>
      </c>
      <c r="C744" s="1" t="str">
        <f>+'Maestro infraestructura'!C743</f>
        <v>ZS1</v>
      </c>
      <c r="D744" s="1" t="str">
        <f>+'Maestro infraestructura'!F743</f>
        <v>Pizarra</v>
      </c>
      <c r="E744" s="25" t="str">
        <f ca="1">+'Maestro infraestructura'!K743</f>
        <v>Activo</v>
      </c>
      <c r="F744" s="1" t="str">
        <f ca="1">+'Maestro infraestructura'!V743</f>
        <v>AL DÍA</v>
      </c>
      <c r="G744" s="1" t="str">
        <f>+'Maestro infraestructura'!X743</f>
        <v>OPERACIÓN</v>
      </c>
      <c r="H744" s="1">
        <f>+'Maestro infraestructura'!Y743</f>
        <v>2</v>
      </c>
      <c r="I744" s="1"/>
      <c r="J744" s="6">
        <f>+'Maestro infraestructura'!T743</f>
        <v>46563</v>
      </c>
      <c r="K744" s="6">
        <f t="shared" ca="1" si="31"/>
        <v>46563</v>
      </c>
      <c r="L744" s="6"/>
    </row>
    <row r="745" spans="1:12" x14ac:dyDescent="0.2">
      <c r="A745" s="1" t="str">
        <f>+'Maestro infraestructura'!A744</f>
        <v>EDIFICIO PRINCIPAL</v>
      </c>
      <c r="B745" s="1" t="str">
        <f>+'Maestro infraestructura'!B744</f>
        <v>1° Piso</v>
      </c>
      <c r="C745" s="1" t="str">
        <f>+'Maestro infraestructura'!C744</f>
        <v>Werken 2</v>
      </c>
      <c r="D745" s="1" t="str">
        <f>+'Maestro infraestructura'!F744</f>
        <v>Radiadores</v>
      </c>
      <c r="E745" s="25" t="str">
        <f ca="1">+'Maestro infraestructura'!K744</f>
        <v>Cambiar o Inspección externa</v>
      </c>
      <c r="F745" s="1" t="str">
        <f ca="1">+'Maestro infraestructura'!V744</f>
        <v>AL DÍA</v>
      </c>
      <c r="G745" s="1" t="str">
        <f>+'Maestro infraestructura'!X744</f>
        <v>GENERAL</v>
      </c>
      <c r="H745" s="1">
        <f>+'Maestro infraestructura'!Y744</f>
        <v>1</v>
      </c>
      <c r="I745" s="1"/>
      <c r="J745" s="6">
        <f>+'Maestro infraestructura'!T744</f>
        <v>46563</v>
      </c>
      <c r="K745" s="6">
        <f t="shared" ca="1" si="31"/>
        <v>4.9333991119881603E-4</v>
      </c>
      <c r="L745" s="6"/>
    </row>
    <row r="746" spans="1:12" x14ac:dyDescent="0.2">
      <c r="A746" s="1" t="str">
        <f>+'Maestro infraestructura'!A745</f>
        <v>EDIFICIO PRINCIPAL</v>
      </c>
      <c r="B746" s="1" t="str">
        <f>+'Maestro infraestructura'!B745</f>
        <v>3° Piso</v>
      </c>
      <c r="C746" s="1" t="str">
        <f>+'Maestro infraestructura'!C745</f>
        <v>ZS1</v>
      </c>
      <c r="D746" s="1" t="str">
        <f>+'Maestro infraestructura'!F745</f>
        <v>Sillas alumnos</v>
      </c>
      <c r="E746" s="25" t="str">
        <f ca="1">+'Maestro infraestructura'!K745</f>
        <v>Activo</v>
      </c>
      <c r="F746" s="1" t="str">
        <f ca="1">+'Maestro infraestructura'!V745</f>
        <v>AL DÍA</v>
      </c>
      <c r="G746" s="1" t="str">
        <f>+'Maestro infraestructura'!X745</f>
        <v>OPERACIÓN</v>
      </c>
      <c r="H746" s="1">
        <f>+'Maestro infraestructura'!Y745</f>
        <v>2</v>
      </c>
      <c r="I746" s="1"/>
      <c r="J746" s="6">
        <f>+'Maestro infraestructura'!T745</f>
        <v>46378</v>
      </c>
      <c r="K746" s="6">
        <f t="shared" ca="1" si="31"/>
        <v>46378</v>
      </c>
      <c r="L746" s="6"/>
    </row>
    <row r="747" spans="1:12" x14ac:dyDescent="0.2">
      <c r="A747" s="1" t="str">
        <f>+'Maestro infraestructura'!A746</f>
        <v>EDIFICIO PRINCIPAL</v>
      </c>
      <c r="B747" s="1" t="str">
        <f>+'Maestro infraestructura'!B746</f>
        <v>3° Piso</v>
      </c>
      <c r="C747" s="1" t="str">
        <f>+'Maestro infraestructura'!C746</f>
        <v>ZS1</v>
      </c>
      <c r="D747" s="1" t="str">
        <f>+'Maestro infraestructura'!F746</f>
        <v>Pupitre</v>
      </c>
      <c r="E747" s="25" t="str">
        <f ca="1">+'Maestro infraestructura'!K746</f>
        <v>Activo</v>
      </c>
      <c r="F747" s="1" t="str">
        <f ca="1">+'Maestro infraestructura'!V746</f>
        <v>AL DÍA</v>
      </c>
      <c r="G747" s="1" t="str">
        <f>+'Maestro infraestructura'!X746</f>
        <v>OPERACIÓN</v>
      </c>
      <c r="H747" s="1">
        <f>+'Maestro infraestructura'!Y746</f>
        <v>2</v>
      </c>
      <c r="I747" s="1"/>
      <c r="J747" s="6">
        <f>+'Maestro infraestructura'!T746</f>
        <v>46378</v>
      </c>
      <c r="K747" s="6">
        <f t="shared" ca="1" si="31"/>
        <v>46378</v>
      </c>
      <c r="L747" s="6"/>
    </row>
    <row r="748" spans="1:12" x14ac:dyDescent="0.2">
      <c r="A748" s="1" t="str">
        <f>+'Maestro infraestructura'!A747</f>
        <v>EDIFICIO PRINCIPAL</v>
      </c>
      <c r="B748" s="1" t="str">
        <f>+'Maestro infraestructura'!B747</f>
        <v>3° Piso</v>
      </c>
      <c r="C748" s="1" t="str">
        <f>+'Maestro infraestructura'!C747</f>
        <v>ZS1</v>
      </c>
      <c r="D748" s="1" t="str">
        <f>+'Maestro infraestructura'!F747</f>
        <v>Mesa Profesor</v>
      </c>
      <c r="E748" s="25" t="str">
        <f ca="1">+'Maestro infraestructura'!K747</f>
        <v>Activo</v>
      </c>
      <c r="F748" s="1" t="str">
        <f ca="1">+'Maestro infraestructura'!V747</f>
        <v>AL DÍA</v>
      </c>
      <c r="G748" s="1" t="str">
        <f>+'Maestro infraestructura'!X747</f>
        <v>OPERACIÓN</v>
      </c>
      <c r="H748" s="1">
        <f>+'Maestro infraestructura'!Y747</f>
        <v>2</v>
      </c>
      <c r="I748" s="1"/>
      <c r="J748" s="6">
        <f>+'Maestro infraestructura'!T747</f>
        <v>46378</v>
      </c>
      <c r="K748" s="6">
        <f t="shared" ca="1" si="31"/>
        <v>46378</v>
      </c>
      <c r="L748" s="6"/>
    </row>
    <row r="749" spans="1:12" x14ac:dyDescent="0.2">
      <c r="A749" s="1" t="str">
        <f>+'Maestro infraestructura'!A748</f>
        <v>EDIFICIO PRINCIPAL</v>
      </c>
      <c r="B749" s="1" t="str">
        <f>+'Maestro infraestructura'!B748</f>
        <v>3° Piso</v>
      </c>
      <c r="C749" s="1" t="str">
        <f>+'Maestro infraestructura'!C748</f>
        <v>ZS1</v>
      </c>
      <c r="D749" s="1" t="str">
        <f>+'Maestro infraestructura'!F748</f>
        <v>Silla Profesor</v>
      </c>
      <c r="E749" s="25" t="str">
        <f ca="1">+'Maestro infraestructura'!K748</f>
        <v>Activo</v>
      </c>
      <c r="F749" s="1" t="str">
        <f ca="1">+'Maestro infraestructura'!V748</f>
        <v>AL DÍA</v>
      </c>
      <c r="G749" s="1" t="str">
        <f>+'Maestro infraestructura'!X748</f>
        <v>OPERACIÓN</v>
      </c>
      <c r="H749" s="1">
        <f>+'Maestro infraestructura'!Y748</f>
        <v>2</v>
      </c>
      <c r="I749" s="1"/>
      <c r="J749" s="6">
        <f>+'Maestro infraestructura'!T748</f>
        <v>46378</v>
      </c>
      <c r="K749" s="6">
        <f t="shared" ca="1" si="31"/>
        <v>46378</v>
      </c>
      <c r="L749" s="6"/>
    </row>
    <row r="750" spans="1:12" x14ac:dyDescent="0.2">
      <c r="A750" s="1" t="str">
        <f>+'Maestro infraestructura'!A749</f>
        <v>EDIFICIO PRINCIPAL</v>
      </c>
      <c r="B750" s="1" t="str">
        <f>+'Maestro infraestructura'!B749</f>
        <v>3° Piso</v>
      </c>
      <c r="C750" s="1" t="str">
        <f>+'Maestro infraestructura'!C749</f>
        <v>ZS2</v>
      </c>
      <c r="D750" s="1" t="str">
        <f>+'Maestro infraestructura'!F749</f>
        <v>TV</v>
      </c>
      <c r="E750" s="25" t="str">
        <f ca="1">+'Maestro infraestructura'!K749</f>
        <v>Activo</v>
      </c>
      <c r="F750" s="1" t="str">
        <f ca="1">+'Maestro infraestructura'!V749</f>
        <v>AL DÍA</v>
      </c>
      <c r="G750" s="1" t="str">
        <f>+'Maestro infraestructura'!X749</f>
        <v>OPERACIÓN</v>
      </c>
      <c r="H750" s="1">
        <f>+'Maestro infraestructura'!Y749</f>
        <v>2</v>
      </c>
      <c r="I750" s="1"/>
      <c r="J750" s="6">
        <f>+'Maestro infraestructura'!T749</f>
        <v>46563</v>
      </c>
      <c r="K750" s="6">
        <f t="shared" ca="1" si="31"/>
        <v>46563</v>
      </c>
      <c r="L750" s="6"/>
    </row>
    <row r="751" spans="1:12" x14ac:dyDescent="0.2">
      <c r="A751" s="1" t="str">
        <f>+'Maestro infraestructura'!A750</f>
        <v>EDIFICIO PRINCIPAL</v>
      </c>
      <c r="B751" s="1" t="str">
        <f>+'Maestro infraestructura'!B750</f>
        <v>3° Piso</v>
      </c>
      <c r="C751" s="1" t="str">
        <f>+'Maestro infraestructura'!C750</f>
        <v>ZS2</v>
      </c>
      <c r="D751" s="1" t="str">
        <f>+'Maestro infraestructura'!F750</f>
        <v>Pizarra</v>
      </c>
      <c r="E751" s="25" t="str">
        <f ca="1">+'Maestro infraestructura'!K750</f>
        <v>Activo</v>
      </c>
      <c r="F751" s="1" t="str">
        <f ca="1">+'Maestro infraestructura'!V750</f>
        <v>AL DÍA</v>
      </c>
      <c r="G751" s="1" t="str">
        <f>+'Maestro infraestructura'!X750</f>
        <v>OPERACIÓN</v>
      </c>
      <c r="H751" s="1">
        <f>+'Maestro infraestructura'!Y750</f>
        <v>2</v>
      </c>
      <c r="I751" s="1"/>
      <c r="J751" s="6">
        <f>+'Maestro infraestructura'!T750</f>
        <v>46563</v>
      </c>
      <c r="K751" s="6">
        <f t="shared" ca="1" si="31"/>
        <v>46563</v>
      </c>
      <c r="L751" s="6"/>
    </row>
    <row r="752" spans="1:12" x14ac:dyDescent="0.2">
      <c r="A752" s="1" t="str">
        <f>+'Maestro infraestructura'!A751</f>
        <v>EDIFICIO PRINCIPAL</v>
      </c>
      <c r="B752" s="1" t="str">
        <f>+'Maestro infraestructura'!B751</f>
        <v>3° Piso</v>
      </c>
      <c r="C752" s="1" t="str">
        <f>+'Maestro infraestructura'!C751</f>
        <v>ZS2</v>
      </c>
      <c r="D752" s="1" t="str">
        <f>+'Maestro infraestructura'!F751</f>
        <v>Sillas alumnos</v>
      </c>
      <c r="E752" s="25" t="str">
        <f ca="1">+'Maestro infraestructura'!K751</f>
        <v>Activo</v>
      </c>
      <c r="F752" s="1" t="str">
        <f ca="1">+'Maestro infraestructura'!V751</f>
        <v>AL DÍA</v>
      </c>
      <c r="G752" s="1" t="str">
        <f>+'Maestro infraestructura'!X751</f>
        <v>OPERACIÓN</v>
      </c>
      <c r="H752" s="1">
        <f>+'Maestro infraestructura'!Y751</f>
        <v>2</v>
      </c>
      <c r="I752" s="1"/>
      <c r="J752" s="6">
        <f>+'Maestro infraestructura'!T751</f>
        <v>46378</v>
      </c>
      <c r="K752" s="6">
        <f t="shared" ca="1" si="31"/>
        <v>46378</v>
      </c>
      <c r="L752" s="6"/>
    </row>
    <row r="753" spans="1:12" x14ac:dyDescent="0.2">
      <c r="A753" s="1" t="str">
        <f>+'Maestro infraestructura'!A752</f>
        <v>EDIFICIO PRINCIPAL</v>
      </c>
      <c r="B753" s="1" t="str">
        <f>+'Maestro infraestructura'!B752</f>
        <v>3° Piso</v>
      </c>
      <c r="C753" s="1" t="str">
        <f>+'Maestro infraestructura'!C752</f>
        <v>ZS2</v>
      </c>
      <c r="D753" s="1" t="str">
        <f>+'Maestro infraestructura'!F752</f>
        <v>Pupitre</v>
      </c>
      <c r="E753" s="25" t="str">
        <f ca="1">+'Maestro infraestructura'!K752</f>
        <v>Activo</v>
      </c>
      <c r="F753" s="1" t="str">
        <f ca="1">+'Maestro infraestructura'!V752</f>
        <v>AL DÍA</v>
      </c>
      <c r="G753" s="1" t="str">
        <f>+'Maestro infraestructura'!X752</f>
        <v>OPERACIÓN</v>
      </c>
      <c r="H753" s="1">
        <f>+'Maestro infraestructura'!Y752</f>
        <v>2</v>
      </c>
      <c r="I753" s="1"/>
      <c r="J753" s="6">
        <f>+'Maestro infraestructura'!T752</f>
        <v>46378</v>
      </c>
      <c r="K753" s="6">
        <f t="shared" ca="1" si="31"/>
        <v>46378</v>
      </c>
      <c r="L753" s="6"/>
    </row>
    <row r="754" spans="1:12" x14ac:dyDescent="0.2">
      <c r="A754" s="1" t="str">
        <f>+'Maestro infraestructura'!A753</f>
        <v>EDIFICIO PRINCIPAL</v>
      </c>
      <c r="B754" s="1" t="str">
        <f>+'Maestro infraestructura'!B753</f>
        <v>3° Piso</v>
      </c>
      <c r="C754" s="1" t="str">
        <f>+'Maestro infraestructura'!C753</f>
        <v>ZS2</v>
      </c>
      <c r="D754" s="1" t="str">
        <f>+'Maestro infraestructura'!F753</f>
        <v>Mesa Profesor</v>
      </c>
      <c r="E754" s="25" t="str">
        <f ca="1">+'Maestro infraestructura'!K753</f>
        <v>Activo</v>
      </c>
      <c r="F754" s="1" t="str">
        <f ca="1">+'Maestro infraestructura'!V753</f>
        <v>AL DÍA</v>
      </c>
      <c r="G754" s="1" t="str">
        <f>+'Maestro infraestructura'!X753</f>
        <v>OPERACIÓN</v>
      </c>
      <c r="H754" s="1">
        <f>+'Maestro infraestructura'!Y753</f>
        <v>2</v>
      </c>
      <c r="I754" s="1"/>
      <c r="J754" s="6">
        <f>+'Maestro infraestructura'!T753</f>
        <v>46378</v>
      </c>
      <c r="K754" s="6">
        <f t="shared" ca="1" si="31"/>
        <v>46378</v>
      </c>
      <c r="L754" s="6"/>
    </row>
    <row r="755" spans="1:12" x14ac:dyDescent="0.2">
      <c r="A755" s="1" t="str">
        <f>+'Maestro infraestructura'!A754</f>
        <v>EDIFICIO PRINCIPAL</v>
      </c>
      <c r="B755" s="1" t="str">
        <f>+'Maestro infraestructura'!B754</f>
        <v>3° Piso</v>
      </c>
      <c r="C755" s="1" t="str">
        <f>+'Maestro infraestructura'!C754</f>
        <v>ZS2</v>
      </c>
      <c r="D755" s="1" t="str">
        <f>+'Maestro infraestructura'!F754</f>
        <v>Silla Profesor</v>
      </c>
      <c r="E755" s="25" t="str">
        <f ca="1">+'Maestro infraestructura'!K754</f>
        <v>Activo</v>
      </c>
      <c r="F755" s="1" t="str">
        <f ca="1">+'Maestro infraestructura'!V754</f>
        <v>AL DÍA</v>
      </c>
      <c r="G755" s="1" t="str">
        <f>+'Maestro infraestructura'!X754</f>
        <v>OPERACIÓN</v>
      </c>
      <c r="H755" s="1">
        <f>+'Maestro infraestructura'!Y754</f>
        <v>2</v>
      </c>
      <c r="I755" s="1"/>
      <c r="J755" s="6">
        <f>+'Maestro infraestructura'!T754</f>
        <v>46378</v>
      </c>
      <c r="K755" s="6">
        <f t="shared" ca="1" si="31"/>
        <v>46378</v>
      </c>
      <c r="L755" s="6"/>
    </row>
    <row r="756" spans="1:12" x14ac:dyDescent="0.2">
      <c r="A756" s="1" t="str">
        <f>+'Maestro infraestructura'!A755</f>
        <v>EDIFICIO PRINCIPAL</v>
      </c>
      <c r="B756" s="1" t="str">
        <f>+'Maestro infraestructura'!B755</f>
        <v>3° Piso</v>
      </c>
      <c r="C756" s="1" t="str">
        <f>+'Maestro infraestructura'!C755</f>
        <v>BIO1</v>
      </c>
      <c r="D756" s="1" t="str">
        <f>+'Maestro infraestructura'!F755</f>
        <v>TV</v>
      </c>
      <c r="E756" s="25" t="str">
        <f ca="1">+'Maestro infraestructura'!K755</f>
        <v>Activo</v>
      </c>
      <c r="F756" s="1" t="str">
        <f ca="1">+'Maestro infraestructura'!V755</f>
        <v>AL DÍA</v>
      </c>
      <c r="G756" s="1" t="str">
        <f>+'Maestro infraestructura'!X755</f>
        <v>OPERACIÓN</v>
      </c>
      <c r="H756" s="1">
        <f>+'Maestro infraestructura'!Y755</f>
        <v>2</v>
      </c>
      <c r="I756" s="1"/>
      <c r="J756" s="6">
        <f>+'Maestro infraestructura'!T755</f>
        <v>46563</v>
      </c>
      <c r="K756" s="6">
        <f t="shared" ca="1" si="31"/>
        <v>46563</v>
      </c>
      <c r="L756" s="6"/>
    </row>
    <row r="757" spans="1:12" x14ac:dyDescent="0.2">
      <c r="A757" s="1" t="str">
        <f>+'Maestro infraestructura'!A756</f>
        <v>EDIFICIO PRINCIPAL</v>
      </c>
      <c r="B757" s="1" t="str">
        <f>+'Maestro infraestructura'!B756</f>
        <v>3° Piso</v>
      </c>
      <c r="C757" s="1" t="str">
        <f>+'Maestro infraestructura'!C756</f>
        <v>BIO1</v>
      </c>
      <c r="D757" s="1" t="str">
        <f>+'Maestro infraestructura'!F756</f>
        <v>Pizarra</v>
      </c>
      <c r="E757" s="25" t="str">
        <f ca="1">+'Maestro infraestructura'!K756</f>
        <v>Activo</v>
      </c>
      <c r="F757" s="1" t="str">
        <f ca="1">+'Maestro infraestructura'!V756</f>
        <v>AL DÍA</v>
      </c>
      <c r="G757" s="1" t="str">
        <f>+'Maestro infraestructura'!X756</f>
        <v>OPERACIÓN</v>
      </c>
      <c r="H757" s="1">
        <f>+'Maestro infraestructura'!Y756</f>
        <v>2</v>
      </c>
      <c r="I757" s="1"/>
      <c r="J757" s="6">
        <f>+'Maestro infraestructura'!T756</f>
        <v>46563</v>
      </c>
      <c r="K757" s="6">
        <f t="shared" ca="1" si="31"/>
        <v>46563</v>
      </c>
      <c r="L757" s="6"/>
    </row>
    <row r="758" spans="1:12" x14ac:dyDescent="0.2">
      <c r="A758" s="1" t="str">
        <f>+'Maestro infraestructura'!A757</f>
        <v>EDIFICIO PRINCIPAL</v>
      </c>
      <c r="B758" s="1" t="str">
        <f>+'Maestro infraestructura'!B757</f>
        <v>3° Piso</v>
      </c>
      <c r="C758" s="1" t="str">
        <f>+'Maestro infraestructura'!C757</f>
        <v>BIO1</v>
      </c>
      <c r="D758" s="1" t="str">
        <f>+'Maestro infraestructura'!F757</f>
        <v>Sillas alumnos</v>
      </c>
      <c r="E758" s="25" t="str">
        <f ca="1">+'Maestro infraestructura'!K757</f>
        <v>Activo</v>
      </c>
      <c r="F758" s="1" t="str">
        <f ca="1">+'Maestro infraestructura'!V757</f>
        <v>AL DÍA</v>
      </c>
      <c r="G758" s="1" t="str">
        <f>+'Maestro infraestructura'!X757</f>
        <v>OPERACIÓN</v>
      </c>
      <c r="H758" s="1">
        <f>+'Maestro infraestructura'!Y757</f>
        <v>2</v>
      </c>
      <c r="I758" s="1"/>
      <c r="J758" s="6">
        <f>+'Maestro infraestructura'!T757</f>
        <v>46378</v>
      </c>
      <c r="K758" s="6">
        <f t="shared" ca="1" si="31"/>
        <v>46378</v>
      </c>
      <c r="L758" s="6"/>
    </row>
    <row r="759" spans="1:12" x14ac:dyDescent="0.2">
      <c r="A759" s="1" t="str">
        <f>+'Maestro infraestructura'!A758</f>
        <v>EDIFICIO PRINCIPAL</v>
      </c>
      <c r="B759" s="1" t="str">
        <f>+'Maestro infraestructura'!B758</f>
        <v>3° Piso</v>
      </c>
      <c r="C759" s="1" t="str">
        <f>+'Maestro infraestructura'!C758</f>
        <v>BIO1</v>
      </c>
      <c r="D759" s="1" t="str">
        <f>+'Maestro infraestructura'!F758</f>
        <v>Pupitre</v>
      </c>
      <c r="E759" s="25" t="str">
        <f ca="1">+'Maestro infraestructura'!K758</f>
        <v>Activo</v>
      </c>
      <c r="F759" s="1" t="str">
        <f ca="1">+'Maestro infraestructura'!V758</f>
        <v>AL DÍA</v>
      </c>
      <c r="G759" s="1" t="str">
        <f>+'Maestro infraestructura'!X758</f>
        <v>OPERACIÓN</v>
      </c>
      <c r="H759" s="1">
        <f>+'Maestro infraestructura'!Y758</f>
        <v>2</v>
      </c>
      <c r="I759" s="1"/>
      <c r="J759" s="6">
        <f>+'Maestro infraestructura'!T758</f>
        <v>46378</v>
      </c>
      <c r="K759" s="6">
        <f t="shared" ca="1" si="31"/>
        <v>46378</v>
      </c>
      <c r="L759" s="6"/>
    </row>
    <row r="760" spans="1:12" x14ac:dyDescent="0.2">
      <c r="A760" s="1" t="str">
        <f>+'Maestro infraestructura'!A759</f>
        <v>EDIFICIO PRINCIPAL</v>
      </c>
      <c r="B760" s="1" t="str">
        <f>+'Maestro infraestructura'!B759</f>
        <v>3° Piso</v>
      </c>
      <c r="C760" s="1" t="str">
        <f>+'Maestro infraestructura'!C759</f>
        <v>BIO1</v>
      </c>
      <c r="D760" s="1" t="str">
        <f>+'Maestro infraestructura'!F759</f>
        <v>Mesa Profesor</v>
      </c>
      <c r="E760" s="25" t="str">
        <f ca="1">+'Maestro infraestructura'!K759</f>
        <v>Activo</v>
      </c>
      <c r="F760" s="1" t="str">
        <f ca="1">+'Maestro infraestructura'!V759</f>
        <v>AL DÍA</v>
      </c>
      <c r="G760" s="1" t="str">
        <f>+'Maestro infraestructura'!X759</f>
        <v>OPERACIÓN</v>
      </c>
      <c r="H760" s="1">
        <f>+'Maestro infraestructura'!Y759</f>
        <v>2</v>
      </c>
      <c r="I760" s="1"/>
      <c r="J760" s="6">
        <f>+'Maestro infraestructura'!T759</f>
        <v>46378</v>
      </c>
      <c r="K760" s="6">
        <f t="shared" ca="1" si="31"/>
        <v>46378</v>
      </c>
      <c r="L760" s="6"/>
    </row>
    <row r="761" spans="1:12" x14ac:dyDescent="0.2">
      <c r="A761" s="1" t="str">
        <f>+'Maestro infraestructura'!A760</f>
        <v>EDIFICIO PRINCIPAL</v>
      </c>
      <c r="B761" s="1" t="str">
        <f>+'Maestro infraestructura'!B760</f>
        <v>3° Piso</v>
      </c>
      <c r="C761" s="1" t="str">
        <f>+'Maestro infraestructura'!C760</f>
        <v>BIO1</v>
      </c>
      <c r="D761" s="1" t="str">
        <f>+'Maestro infraestructura'!F760</f>
        <v>Silla Profesor</v>
      </c>
      <c r="E761" s="25" t="str">
        <f ca="1">+'Maestro infraestructura'!K760</f>
        <v>Activo</v>
      </c>
      <c r="F761" s="1" t="str">
        <f ca="1">+'Maestro infraestructura'!V760</f>
        <v>AL DÍA</v>
      </c>
      <c r="G761" s="1" t="str">
        <f>+'Maestro infraestructura'!X760</f>
        <v>OPERACIÓN</v>
      </c>
      <c r="H761" s="1">
        <f>+'Maestro infraestructura'!Y760</f>
        <v>2</v>
      </c>
      <c r="I761" s="1"/>
      <c r="J761" s="6">
        <f>+'Maestro infraestructura'!T760</f>
        <v>46378</v>
      </c>
      <c r="K761" s="6">
        <f t="shared" ca="1" si="31"/>
        <v>46378</v>
      </c>
      <c r="L761" s="6"/>
    </row>
    <row r="762" spans="1:12" x14ac:dyDescent="0.2">
      <c r="A762" s="1" t="str">
        <f>+'Maestro infraestructura'!A761</f>
        <v>EDIFICIO PRINCIPAL</v>
      </c>
      <c r="B762" s="1" t="str">
        <f>+'Maestro infraestructura'!B761</f>
        <v>3° Piso</v>
      </c>
      <c r="C762" s="1" t="str">
        <f>+'Maestro infraestructura'!C761</f>
        <v>BIO2</v>
      </c>
      <c r="D762" s="1" t="str">
        <f>+'Maestro infraestructura'!F761</f>
        <v>TV</v>
      </c>
      <c r="E762" s="25" t="str">
        <f ca="1">+'Maestro infraestructura'!K761</f>
        <v>Activo</v>
      </c>
      <c r="F762" s="1" t="str">
        <f ca="1">+'Maestro infraestructura'!V761</f>
        <v>AL DÍA</v>
      </c>
      <c r="G762" s="1" t="str">
        <f>+'Maestro infraestructura'!X761</f>
        <v>OPERACIÓN</v>
      </c>
      <c r="H762" s="1">
        <f>+'Maestro infraestructura'!Y761</f>
        <v>2</v>
      </c>
      <c r="I762" s="1"/>
      <c r="J762" s="6">
        <f>+'Maestro infraestructura'!T761</f>
        <v>46563</v>
      </c>
      <c r="K762" s="6">
        <f t="shared" ca="1" si="31"/>
        <v>46563</v>
      </c>
      <c r="L762" s="6"/>
    </row>
    <row r="763" spans="1:12" x14ac:dyDescent="0.2">
      <c r="A763" s="1" t="str">
        <f>+'Maestro infraestructura'!A762</f>
        <v>EDIFICIO PRINCIPAL</v>
      </c>
      <c r="B763" s="1" t="str">
        <f>+'Maestro infraestructura'!B762</f>
        <v>3° Piso</v>
      </c>
      <c r="C763" s="1" t="str">
        <f>+'Maestro infraestructura'!C762</f>
        <v>BIO2</v>
      </c>
      <c r="D763" s="1" t="str">
        <f>+'Maestro infraestructura'!F762</f>
        <v>Pizarra</v>
      </c>
      <c r="E763" s="25" t="str">
        <f ca="1">+'Maestro infraestructura'!K762</f>
        <v>Activo</v>
      </c>
      <c r="F763" s="1" t="str">
        <f ca="1">+'Maestro infraestructura'!V762</f>
        <v>AL DÍA</v>
      </c>
      <c r="G763" s="1" t="str">
        <f>+'Maestro infraestructura'!X762</f>
        <v>OPERACIÓN</v>
      </c>
      <c r="H763" s="1">
        <f>+'Maestro infraestructura'!Y762</f>
        <v>2</v>
      </c>
      <c r="I763" s="1"/>
      <c r="J763" s="6">
        <f>+'Maestro infraestructura'!T762</f>
        <v>46563</v>
      </c>
      <c r="K763" s="6">
        <f t="shared" ca="1" si="31"/>
        <v>46563</v>
      </c>
      <c r="L763" s="6"/>
    </row>
    <row r="764" spans="1:12" x14ac:dyDescent="0.2">
      <c r="A764" s="1" t="str">
        <f>+'Maestro infraestructura'!A763</f>
        <v>EDIFICIO PRINCIPAL</v>
      </c>
      <c r="B764" s="1" t="str">
        <f>+'Maestro infraestructura'!B763</f>
        <v>3° Piso</v>
      </c>
      <c r="C764" s="1" t="str">
        <f>+'Maestro infraestructura'!C763</f>
        <v>BIO2</v>
      </c>
      <c r="D764" s="1" t="str">
        <f>+'Maestro infraestructura'!F763</f>
        <v>Sillas alumnos</v>
      </c>
      <c r="E764" s="25" t="str">
        <f ca="1">+'Maestro infraestructura'!K763</f>
        <v>Activo</v>
      </c>
      <c r="F764" s="1" t="str">
        <f ca="1">+'Maestro infraestructura'!V763</f>
        <v>AL DÍA</v>
      </c>
      <c r="G764" s="1" t="str">
        <f>+'Maestro infraestructura'!X763</f>
        <v>OPERACIÓN</v>
      </c>
      <c r="H764" s="1">
        <f>+'Maestro infraestructura'!Y763</f>
        <v>2</v>
      </c>
      <c r="I764" s="1"/>
      <c r="J764" s="6">
        <f>+'Maestro infraestructura'!T763</f>
        <v>46378</v>
      </c>
      <c r="K764" s="6">
        <f t="shared" ca="1" si="31"/>
        <v>46378</v>
      </c>
      <c r="L764" s="6"/>
    </row>
    <row r="765" spans="1:12" x14ac:dyDescent="0.2">
      <c r="A765" s="1" t="str">
        <f>+'Maestro infraestructura'!A764</f>
        <v>EDIFICIO PRINCIPAL</v>
      </c>
      <c r="B765" s="1" t="str">
        <f>+'Maestro infraestructura'!B764</f>
        <v>3° Piso</v>
      </c>
      <c r="C765" s="1" t="str">
        <f>+'Maestro infraestructura'!C764</f>
        <v>BIO2</v>
      </c>
      <c r="D765" s="1" t="str">
        <f>+'Maestro infraestructura'!F764</f>
        <v>Pupitre</v>
      </c>
      <c r="E765" s="25" t="str">
        <f ca="1">+'Maestro infraestructura'!K764</f>
        <v>Activo</v>
      </c>
      <c r="F765" s="1" t="str">
        <f ca="1">+'Maestro infraestructura'!V764</f>
        <v>AL DÍA</v>
      </c>
      <c r="G765" s="1" t="str">
        <f>+'Maestro infraestructura'!X764</f>
        <v>OPERACIÓN</v>
      </c>
      <c r="H765" s="1">
        <f>+'Maestro infraestructura'!Y764</f>
        <v>2</v>
      </c>
      <c r="I765" s="1"/>
      <c r="J765" s="6">
        <f>+'Maestro infraestructura'!T764</f>
        <v>46378</v>
      </c>
      <c r="K765" s="6">
        <f t="shared" ca="1" si="31"/>
        <v>46378</v>
      </c>
      <c r="L765" s="6"/>
    </row>
    <row r="766" spans="1:12" x14ac:dyDescent="0.2">
      <c r="A766" s="1" t="str">
        <f>+'Maestro infraestructura'!A765</f>
        <v>EDIFICIO PRINCIPAL</v>
      </c>
      <c r="B766" s="1" t="str">
        <f>+'Maestro infraestructura'!B765</f>
        <v>3° Piso</v>
      </c>
      <c r="C766" s="1" t="str">
        <f>+'Maestro infraestructura'!C765</f>
        <v>BIO2</v>
      </c>
      <c r="D766" s="1" t="str">
        <f>+'Maestro infraestructura'!F765</f>
        <v>Mesa Profesor</v>
      </c>
      <c r="E766" s="25" t="str">
        <f ca="1">+'Maestro infraestructura'!K765</f>
        <v>Activo</v>
      </c>
      <c r="F766" s="1" t="str">
        <f ca="1">+'Maestro infraestructura'!V765</f>
        <v>AL DÍA</v>
      </c>
      <c r="G766" s="1" t="str">
        <f>+'Maestro infraestructura'!X765</f>
        <v>OPERACIÓN</v>
      </c>
      <c r="H766" s="1">
        <f>+'Maestro infraestructura'!Y765</f>
        <v>2</v>
      </c>
      <c r="I766" s="1"/>
      <c r="J766" s="6">
        <f>+'Maestro infraestructura'!T765</f>
        <v>46378</v>
      </c>
      <c r="K766" s="6">
        <f t="shared" ca="1" si="31"/>
        <v>46378</v>
      </c>
      <c r="L766" s="6"/>
    </row>
    <row r="767" spans="1:12" x14ac:dyDescent="0.2">
      <c r="A767" s="1" t="str">
        <f>+'Maestro infraestructura'!A766</f>
        <v>EDIFICIO PRINCIPAL</v>
      </c>
      <c r="B767" s="1" t="str">
        <f>+'Maestro infraestructura'!B766</f>
        <v>3° Piso</v>
      </c>
      <c r="C767" s="1" t="str">
        <f>+'Maestro infraestructura'!C766</f>
        <v>BIO2</v>
      </c>
      <c r="D767" s="1" t="str">
        <f>+'Maestro infraestructura'!F766</f>
        <v>Silla Profesor</v>
      </c>
      <c r="E767" s="25" t="str">
        <f ca="1">+'Maestro infraestructura'!K766</f>
        <v>Activo</v>
      </c>
      <c r="F767" s="1" t="str">
        <f ca="1">+'Maestro infraestructura'!V766</f>
        <v>AL DÍA</v>
      </c>
      <c r="G767" s="1" t="str">
        <f>+'Maestro infraestructura'!X766</f>
        <v>OPERACIÓN</v>
      </c>
      <c r="H767" s="1">
        <f>+'Maestro infraestructura'!Y766</f>
        <v>2</v>
      </c>
      <c r="I767" s="1"/>
      <c r="J767" s="6">
        <f>+'Maestro infraestructura'!T766</f>
        <v>46378</v>
      </c>
      <c r="K767" s="6">
        <f t="shared" ca="1" si="31"/>
        <v>46378</v>
      </c>
      <c r="L767" s="6"/>
    </row>
    <row r="768" spans="1:12" x14ac:dyDescent="0.2">
      <c r="A768" s="1" t="str">
        <f>+'Maestro infraestructura'!A767</f>
        <v>EDIFICIO PRINCIPAL</v>
      </c>
      <c r="B768" s="1" t="str">
        <f>+'Maestro infraestructura'!B767</f>
        <v>3° Piso</v>
      </c>
      <c r="C768" s="1" t="str">
        <f>+'Maestro infraestructura'!C767</f>
        <v>QUIM1</v>
      </c>
      <c r="D768" s="1" t="str">
        <f>+'Maestro infraestructura'!F767</f>
        <v>TV</v>
      </c>
      <c r="E768" s="25" t="str">
        <f ca="1">+'Maestro infraestructura'!K767</f>
        <v>Activo</v>
      </c>
      <c r="F768" s="1" t="str">
        <f ca="1">+'Maestro infraestructura'!V767</f>
        <v>AL DÍA</v>
      </c>
      <c r="G768" s="1" t="str">
        <f>+'Maestro infraestructura'!X767</f>
        <v>OPERACIÓN</v>
      </c>
      <c r="H768" s="1">
        <f>+'Maestro infraestructura'!Y767</f>
        <v>2</v>
      </c>
      <c r="I768" s="1"/>
      <c r="J768" s="6">
        <f>+'Maestro infraestructura'!T767</f>
        <v>46563</v>
      </c>
      <c r="K768" s="6">
        <f t="shared" ca="1" si="31"/>
        <v>46563</v>
      </c>
      <c r="L768" s="6"/>
    </row>
    <row r="769" spans="1:12" x14ac:dyDescent="0.2">
      <c r="A769" s="1" t="str">
        <f>+'Maestro infraestructura'!A768</f>
        <v>EDIFICIO PRINCIPAL</v>
      </c>
      <c r="B769" s="1" t="str">
        <f>+'Maestro infraestructura'!B768</f>
        <v>3° Piso</v>
      </c>
      <c r="C769" s="1" t="str">
        <f>+'Maestro infraestructura'!C768</f>
        <v>QUIM1</v>
      </c>
      <c r="D769" s="1" t="str">
        <f>+'Maestro infraestructura'!F768</f>
        <v>Pizarra</v>
      </c>
      <c r="E769" s="25" t="str">
        <f ca="1">+'Maestro infraestructura'!K768</f>
        <v>Activo</v>
      </c>
      <c r="F769" s="1" t="str">
        <f ca="1">+'Maestro infraestructura'!V768</f>
        <v>AL DÍA</v>
      </c>
      <c r="G769" s="1" t="str">
        <f>+'Maestro infraestructura'!X768</f>
        <v>OPERACIÓN</v>
      </c>
      <c r="H769" s="1">
        <f>+'Maestro infraestructura'!Y768</f>
        <v>2</v>
      </c>
      <c r="I769" s="1"/>
      <c r="J769" s="6">
        <f>+'Maestro infraestructura'!T768</f>
        <v>46563</v>
      </c>
      <c r="K769" s="6">
        <f t="shared" ca="1" si="31"/>
        <v>46563</v>
      </c>
      <c r="L769" s="6"/>
    </row>
    <row r="770" spans="1:12" x14ac:dyDescent="0.2">
      <c r="A770" s="1" t="str">
        <f>+'Maestro infraestructura'!A769</f>
        <v>EDIFICIO PRINCIPAL</v>
      </c>
      <c r="B770" s="1" t="str">
        <f>+'Maestro infraestructura'!B769</f>
        <v>3° Piso</v>
      </c>
      <c r="C770" s="1" t="str">
        <f>+'Maestro infraestructura'!C769</f>
        <v>QUIM1</v>
      </c>
      <c r="D770" s="1" t="str">
        <f>+'Maestro infraestructura'!F769</f>
        <v>Sillas alumnos</v>
      </c>
      <c r="E770" s="25" t="str">
        <f ca="1">+'Maestro infraestructura'!K769</f>
        <v>Activo</v>
      </c>
      <c r="F770" s="1" t="str">
        <f ca="1">+'Maestro infraestructura'!V769</f>
        <v>AL DÍA</v>
      </c>
      <c r="G770" s="1" t="str">
        <f>+'Maestro infraestructura'!X769</f>
        <v>OPERACIÓN</v>
      </c>
      <c r="H770" s="1">
        <f>+'Maestro infraestructura'!Y769</f>
        <v>2</v>
      </c>
      <c r="I770" s="1"/>
      <c r="J770" s="6">
        <f>+'Maestro infraestructura'!T769</f>
        <v>46378</v>
      </c>
      <c r="K770" s="6">
        <f t="shared" ca="1" si="31"/>
        <v>46378</v>
      </c>
      <c r="L770" s="6"/>
    </row>
    <row r="771" spans="1:12" x14ac:dyDescent="0.2">
      <c r="A771" s="1" t="str">
        <f>+'Maestro infraestructura'!A770</f>
        <v>EDIFICIO PRINCIPAL</v>
      </c>
      <c r="B771" s="1" t="str">
        <f>+'Maestro infraestructura'!B770</f>
        <v>3° Piso</v>
      </c>
      <c r="C771" s="1" t="str">
        <f>+'Maestro infraestructura'!C770</f>
        <v>QUIM1</v>
      </c>
      <c r="D771" s="1" t="str">
        <f>+'Maestro infraestructura'!F770</f>
        <v>Pupitre</v>
      </c>
      <c r="E771" s="25" t="str">
        <f ca="1">+'Maestro infraestructura'!K770</f>
        <v>Activo</v>
      </c>
      <c r="F771" s="1" t="str">
        <f ca="1">+'Maestro infraestructura'!V770</f>
        <v>AL DÍA</v>
      </c>
      <c r="G771" s="1" t="str">
        <f>+'Maestro infraestructura'!X770</f>
        <v>OPERACIÓN</v>
      </c>
      <c r="H771" s="1">
        <f>+'Maestro infraestructura'!Y770</f>
        <v>2</v>
      </c>
      <c r="I771" s="1"/>
      <c r="J771" s="6">
        <f>+'Maestro infraestructura'!T770</f>
        <v>46378</v>
      </c>
      <c r="K771" s="6">
        <f t="shared" ca="1" si="31"/>
        <v>46378</v>
      </c>
      <c r="L771" s="6"/>
    </row>
    <row r="772" spans="1:12" x14ac:dyDescent="0.2">
      <c r="A772" s="1" t="str">
        <f>+'Maestro infraestructura'!A771</f>
        <v>EDIFICIO PRINCIPAL</v>
      </c>
      <c r="B772" s="1" t="str">
        <f>+'Maestro infraestructura'!B771</f>
        <v>3° Piso</v>
      </c>
      <c r="C772" s="1" t="str">
        <f>+'Maestro infraestructura'!C771</f>
        <v>QUIM1</v>
      </c>
      <c r="D772" s="1" t="str">
        <f>+'Maestro infraestructura'!F771</f>
        <v>Mesa Profesor</v>
      </c>
      <c r="E772" s="25" t="str">
        <f ca="1">+'Maestro infraestructura'!K771</f>
        <v>Activo</v>
      </c>
      <c r="F772" s="1" t="str">
        <f ca="1">+'Maestro infraestructura'!V771</f>
        <v>AL DÍA</v>
      </c>
      <c r="G772" s="1" t="str">
        <f>+'Maestro infraestructura'!X771</f>
        <v>OPERACIÓN</v>
      </c>
      <c r="H772" s="1">
        <f>+'Maestro infraestructura'!Y771</f>
        <v>2</v>
      </c>
      <c r="I772" s="1"/>
      <c r="J772" s="6">
        <f>+'Maestro infraestructura'!T771</f>
        <v>46378</v>
      </c>
      <c r="K772" s="6">
        <f t="shared" ref="K772:K835" ca="1" si="32">IF(E772="Cambiar o Inspección externa",1/1/2027,IF(E772="cambiar",1/1/2027,J772))</f>
        <v>46378</v>
      </c>
      <c r="L772" s="6"/>
    </row>
    <row r="773" spans="1:12" x14ac:dyDescent="0.2">
      <c r="A773" s="1" t="str">
        <f>+'Maestro infraestructura'!A772</f>
        <v>EDIFICIO PRINCIPAL</v>
      </c>
      <c r="B773" s="1" t="str">
        <f>+'Maestro infraestructura'!B772</f>
        <v>3° Piso</v>
      </c>
      <c r="C773" s="1" t="str">
        <f>+'Maestro infraestructura'!C772</f>
        <v>QUIM1</v>
      </c>
      <c r="D773" s="1" t="str">
        <f>+'Maestro infraestructura'!F772</f>
        <v>Silla Profesor</v>
      </c>
      <c r="E773" s="25" t="str">
        <f ca="1">+'Maestro infraestructura'!K772</f>
        <v>Activo</v>
      </c>
      <c r="F773" s="1" t="str">
        <f ca="1">+'Maestro infraestructura'!V772</f>
        <v>AL DÍA</v>
      </c>
      <c r="G773" s="1" t="str">
        <f>+'Maestro infraestructura'!X772</f>
        <v>OPERACIÓN</v>
      </c>
      <c r="H773" s="1">
        <f>+'Maestro infraestructura'!Y772</f>
        <v>2</v>
      </c>
      <c r="I773" s="1"/>
      <c r="J773" s="6">
        <f>+'Maestro infraestructura'!T772</f>
        <v>46378</v>
      </c>
      <c r="K773" s="6">
        <f t="shared" ca="1" si="32"/>
        <v>46378</v>
      </c>
      <c r="L773" s="6"/>
    </row>
    <row r="774" spans="1:12" x14ac:dyDescent="0.2">
      <c r="A774" s="1" t="str">
        <f>+'Maestro infraestructura'!A773</f>
        <v>EDIFICIO PRINCIPAL</v>
      </c>
      <c r="B774" s="1" t="str">
        <f>+'Maestro infraestructura'!B773</f>
        <v>3° Piso</v>
      </c>
      <c r="C774" s="1" t="str">
        <f>+'Maestro infraestructura'!C773</f>
        <v>QUIM2</v>
      </c>
      <c r="D774" s="1" t="str">
        <f>+'Maestro infraestructura'!F773</f>
        <v>TV</v>
      </c>
      <c r="E774" s="25" t="str">
        <f ca="1">+'Maestro infraestructura'!K773</f>
        <v>Activo</v>
      </c>
      <c r="F774" s="1" t="str">
        <f ca="1">+'Maestro infraestructura'!V773</f>
        <v>AL DÍA</v>
      </c>
      <c r="G774" s="1" t="str">
        <f>+'Maestro infraestructura'!X773</f>
        <v>OPERACIÓN</v>
      </c>
      <c r="H774" s="1">
        <f>+'Maestro infraestructura'!Y773</f>
        <v>2</v>
      </c>
      <c r="I774" s="1"/>
      <c r="J774" s="6">
        <f>+'Maestro infraestructura'!T773</f>
        <v>46563</v>
      </c>
      <c r="K774" s="6">
        <f t="shared" ca="1" si="32"/>
        <v>46563</v>
      </c>
      <c r="L774" s="6"/>
    </row>
    <row r="775" spans="1:12" x14ac:dyDescent="0.2">
      <c r="A775" s="1" t="str">
        <f>+'Maestro infraestructura'!A774</f>
        <v>EDIFICIO PRINCIPAL</v>
      </c>
      <c r="B775" s="1" t="str">
        <f>+'Maestro infraestructura'!B774</f>
        <v>3° Piso</v>
      </c>
      <c r="C775" s="1" t="str">
        <f>+'Maestro infraestructura'!C774</f>
        <v>QUIM2</v>
      </c>
      <c r="D775" s="1" t="str">
        <f>+'Maestro infraestructura'!F774</f>
        <v>Pizarra</v>
      </c>
      <c r="E775" s="25" t="str">
        <f ca="1">+'Maestro infraestructura'!K774</f>
        <v>Activo</v>
      </c>
      <c r="F775" s="1" t="str">
        <f ca="1">+'Maestro infraestructura'!V774</f>
        <v>AL DÍA</v>
      </c>
      <c r="G775" s="1" t="str">
        <f>+'Maestro infraestructura'!X774</f>
        <v>OPERACIÓN</v>
      </c>
      <c r="H775" s="1">
        <f>+'Maestro infraestructura'!Y774</f>
        <v>2</v>
      </c>
      <c r="I775" s="1"/>
      <c r="J775" s="6">
        <f>+'Maestro infraestructura'!T774</f>
        <v>46563</v>
      </c>
      <c r="K775" s="6">
        <f t="shared" ca="1" si="32"/>
        <v>46563</v>
      </c>
      <c r="L775" s="6"/>
    </row>
    <row r="776" spans="1:12" x14ac:dyDescent="0.2">
      <c r="A776" s="1" t="str">
        <f>+'Maestro infraestructura'!A775</f>
        <v>EDIFICIO PRINCIPAL</v>
      </c>
      <c r="B776" s="1" t="str">
        <f>+'Maestro infraestructura'!B775</f>
        <v>3° Piso</v>
      </c>
      <c r="C776" s="1" t="str">
        <f>+'Maestro infraestructura'!C775</f>
        <v>QUIM2</v>
      </c>
      <c r="D776" s="1" t="str">
        <f>+'Maestro infraestructura'!F775</f>
        <v>Sillas alumnos</v>
      </c>
      <c r="E776" s="25" t="str">
        <f ca="1">+'Maestro infraestructura'!K775</f>
        <v>Activo</v>
      </c>
      <c r="F776" s="1" t="str">
        <f ca="1">+'Maestro infraestructura'!V775</f>
        <v>AL DÍA</v>
      </c>
      <c r="G776" s="1" t="str">
        <f>+'Maestro infraestructura'!X775</f>
        <v>OPERACIÓN</v>
      </c>
      <c r="H776" s="1">
        <f>+'Maestro infraestructura'!Y775</f>
        <v>2</v>
      </c>
      <c r="I776" s="1"/>
      <c r="J776" s="6">
        <f>+'Maestro infraestructura'!T775</f>
        <v>46378</v>
      </c>
      <c r="K776" s="6">
        <f t="shared" ca="1" si="32"/>
        <v>46378</v>
      </c>
      <c r="L776" s="6"/>
    </row>
    <row r="777" spans="1:12" x14ac:dyDescent="0.2">
      <c r="A777" s="1" t="str">
        <f>+'Maestro infraestructura'!A776</f>
        <v>EDIFICIO PRINCIPAL</v>
      </c>
      <c r="B777" s="1" t="str">
        <f>+'Maestro infraestructura'!B776</f>
        <v>3° Piso</v>
      </c>
      <c r="C777" s="1" t="str">
        <f>+'Maestro infraestructura'!C776</f>
        <v>QUIM2</v>
      </c>
      <c r="D777" s="1" t="str">
        <f>+'Maestro infraestructura'!F776</f>
        <v>Pupitre</v>
      </c>
      <c r="E777" s="25" t="str">
        <f ca="1">+'Maestro infraestructura'!K776</f>
        <v>Activo</v>
      </c>
      <c r="F777" s="1" t="str">
        <f ca="1">+'Maestro infraestructura'!V776</f>
        <v>AL DÍA</v>
      </c>
      <c r="G777" s="1" t="str">
        <f>+'Maestro infraestructura'!X776</f>
        <v>OPERACIÓN</v>
      </c>
      <c r="H777" s="1">
        <f>+'Maestro infraestructura'!Y776</f>
        <v>2</v>
      </c>
      <c r="I777" s="1"/>
      <c r="J777" s="6">
        <f>+'Maestro infraestructura'!T776</f>
        <v>46378</v>
      </c>
      <c r="K777" s="6">
        <f t="shared" ca="1" si="32"/>
        <v>46378</v>
      </c>
      <c r="L777" s="6"/>
    </row>
    <row r="778" spans="1:12" x14ac:dyDescent="0.2">
      <c r="A778" s="1" t="str">
        <f>+'Maestro infraestructura'!A777</f>
        <v>EDIFICIO PRINCIPAL</v>
      </c>
      <c r="B778" s="1" t="str">
        <f>+'Maestro infraestructura'!B777</f>
        <v>3° Piso</v>
      </c>
      <c r="C778" s="1" t="str">
        <f>+'Maestro infraestructura'!C777</f>
        <v>QUIM2</v>
      </c>
      <c r="D778" s="1" t="str">
        <f>+'Maestro infraestructura'!F777</f>
        <v>Mesa Profesor</v>
      </c>
      <c r="E778" s="25" t="str">
        <f ca="1">+'Maestro infraestructura'!K777</f>
        <v>Activo</v>
      </c>
      <c r="F778" s="1" t="str">
        <f ca="1">+'Maestro infraestructura'!V777</f>
        <v>AL DÍA</v>
      </c>
      <c r="G778" s="1" t="str">
        <f>+'Maestro infraestructura'!X777</f>
        <v>OPERACIÓN</v>
      </c>
      <c r="H778" s="1">
        <f>+'Maestro infraestructura'!Y777</f>
        <v>2</v>
      </c>
      <c r="I778" s="1"/>
      <c r="J778" s="6">
        <f>+'Maestro infraestructura'!T777</f>
        <v>46378</v>
      </c>
      <c r="K778" s="6">
        <f t="shared" ca="1" si="32"/>
        <v>46378</v>
      </c>
      <c r="L778" s="6"/>
    </row>
    <row r="779" spans="1:12" x14ac:dyDescent="0.2">
      <c r="A779" s="1" t="str">
        <f>+'Maestro infraestructura'!A778</f>
        <v>EDIFICIO PRINCIPAL</v>
      </c>
      <c r="B779" s="1" t="str">
        <f>+'Maestro infraestructura'!B778</f>
        <v>3° Piso</v>
      </c>
      <c r="C779" s="1" t="str">
        <f>+'Maestro infraestructura'!C778</f>
        <v>QUIM2</v>
      </c>
      <c r="D779" s="1" t="str">
        <f>+'Maestro infraestructura'!F778</f>
        <v>Silla Profesor</v>
      </c>
      <c r="E779" s="25" t="str">
        <f ca="1">+'Maestro infraestructura'!K778</f>
        <v>Activo</v>
      </c>
      <c r="F779" s="1" t="str">
        <f ca="1">+'Maestro infraestructura'!V778</f>
        <v>AL DÍA</v>
      </c>
      <c r="G779" s="1" t="str">
        <f>+'Maestro infraestructura'!X778</f>
        <v>OPERACIÓN</v>
      </c>
      <c r="H779" s="1">
        <f>+'Maestro infraestructura'!Y778</f>
        <v>2</v>
      </c>
      <c r="I779" s="1"/>
      <c r="J779" s="6">
        <f>+'Maestro infraestructura'!T778</f>
        <v>46378</v>
      </c>
      <c r="K779" s="6">
        <f t="shared" ca="1" si="32"/>
        <v>46378</v>
      </c>
      <c r="L779" s="6"/>
    </row>
    <row r="780" spans="1:12" x14ac:dyDescent="0.2">
      <c r="A780" s="1" t="str">
        <f>+'Maestro infraestructura'!A779</f>
        <v>EDIFICIO PRINCIPAL</v>
      </c>
      <c r="B780" s="1" t="str">
        <f>+'Maestro infraestructura'!B779</f>
        <v>3° Piso</v>
      </c>
      <c r="C780" s="1" t="str">
        <f>+'Maestro infraestructura'!C779</f>
        <v>FIS1</v>
      </c>
      <c r="D780" s="1" t="str">
        <f>+'Maestro infraestructura'!F779</f>
        <v>TV</v>
      </c>
      <c r="E780" s="25" t="str">
        <f ca="1">+'Maestro infraestructura'!K779</f>
        <v>Activo</v>
      </c>
      <c r="F780" s="1" t="str">
        <f ca="1">+'Maestro infraestructura'!V779</f>
        <v>AL DÍA</v>
      </c>
      <c r="G780" s="1" t="str">
        <f>+'Maestro infraestructura'!X779</f>
        <v>OPERACIÓN</v>
      </c>
      <c r="H780" s="1">
        <f>+'Maestro infraestructura'!Y779</f>
        <v>2</v>
      </c>
      <c r="I780" s="1"/>
      <c r="J780" s="6">
        <f>+'Maestro infraestructura'!T779</f>
        <v>46563</v>
      </c>
      <c r="K780" s="6">
        <f t="shared" ca="1" si="32"/>
        <v>46563</v>
      </c>
      <c r="L780" s="6"/>
    </row>
    <row r="781" spans="1:12" x14ac:dyDescent="0.2">
      <c r="A781" s="1" t="str">
        <f>+'Maestro infraestructura'!A780</f>
        <v>EDIFICIO PRINCIPAL</v>
      </c>
      <c r="B781" s="1" t="str">
        <f>+'Maestro infraestructura'!B780</f>
        <v>3° Piso</v>
      </c>
      <c r="C781" s="1" t="str">
        <f>+'Maestro infraestructura'!C780</f>
        <v>FIS1</v>
      </c>
      <c r="D781" s="1" t="str">
        <f>+'Maestro infraestructura'!F780</f>
        <v>Pizarra</v>
      </c>
      <c r="E781" s="25" t="str">
        <f ca="1">+'Maestro infraestructura'!K780</f>
        <v>Activo</v>
      </c>
      <c r="F781" s="1" t="str">
        <f ca="1">+'Maestro infraestructura'!V780</f>
        <v>AL DÍA</v>
      </c>
      <c r="G781" s="1" t="str">
        <f>+'Maestro infraestructura'!X780</f>
        <v>OPERACIÓN</v>
      </c>
      <c r="H781" s="1">
        <f>+'Maestro infraestructura'!Y780</f>
        <v>2</v>
      </c>
      <c r="I781" s="1"/>
      <c r="J781" s="6">
        <f>+'Maestro infraestructura'!T780</f>
        <v>46563</v>
      </c>
      <c r="K781" s="6">
        <f t="shared" ca="1" si="32"/>
        <v>46563</v>
      </c>
      <c r="L781" s="6"/>
    </row>
    <row r="782" spans="1:12" x14ac:dyDescent="0.2">
      <c r="A782" s="1" t="str">
        <f>+'Maestro infraestructura'!A781</f>
        <v>EDIFICIO PRINCIPAL</v>
      </c>
      <c r="B782" s="1" t="str">
        <f>+'Maestro infraestructura'!B781</f>
        <v>3° Piso</v>
      </c>
      <c r="C782" s="1" t="str">
        <f>+'Maestro infraestructura'!C781</f>
        <v>FIS1</v>
      </c>
      <c r="D782" s="1" t="str">
        <f>+'Maestro infraestructura'!F781</f>
        <v>Sillas alumnos</v>
      </c>
      <c r="E782" s="25" t="str">
        <f ca="1">+'Maestro infraestructura'!K781</f>
        <v>Activo</v>
      </c>
      <c r="F782" s="1" t="str">
        <f ca="1">+'Maestro infraestructura'!V781</f>
        <v>AL DÍA</v>
      </c>
      <c r="G782" s="1" t="str">
        <f>+'Maestro infraestructura'!X781</f>
        <v>OPERACIÓN</v>
      </c>
      <c r="H782" s="1">
        <f>+'Maestro infraestructura'!Y781</f>
        <v>2</v>
      </c>
      <c r="I782" s="1"/>
      <c r="J782" s="6">
        <f>+'Maestro infraestructura'!T781</f>
        <v>46378</v>
      </c>
      <c r="K782" s="6">
        <f t="shared" ca="1" si="32"/>
        <v>46378</v>
      </c>
      <c r="L782" s="6"/>
    </row>
    <row r="783" spans="1:12" x14ac:dyDescent="0.2">
      <c r="A783" s="1" t="str">
        <f>+'Maestro infraestructura'!A782</f>
        <v>EDIFICIO PRINCIPAL</v>
      </c>
      <c r="B783" s="1" t="str">
        <f>+'Maestro infraestructura'!B782</f>
        <v>3° Piso</v>
      </c>
      <c r="C783" s="1" t="str">
        <f>+'Maestro infraestructura'!C782</f>
        <v>FIS1</v>
      </c>
      <c r="D783" s="1" t="str">
        <f>+'Maestro infraestructura'!F782</f>
        <v>Pupitre</v>
      </c>
      <c r="E783" s="25" t="str">
        <f ca="1">+'Maestro infraestructura'!K782</f>
        <v>Activo</v>
      </c>
      <c r="F783" s="1" t="str">
        <f ca="1">+'Maestro infraestructura'!V782</f>
        <v>AL DÍA</v>
      </c>
      <c r="G783" s="1" t="str">
        <f>+'Maestro infraestructura'!X782</f>
        <v>OPERACIÓN</v>
      </c>
      <c r="H783" s="1">
        <f>+'Maestro infraestructura'!Y782</f>
        <v>2</v>
      </c>
      <c r="I783" s="1"/>
      <c r="J783" s="6">
        <f>+'Maestro infraestructura'!T782</f>
        <v>46378</v>
      </c>
      <c r="K783" s="6">
        <f t="shared" ca="1" si="32"/>
        <v>46378</v>
      </c>
      <c r="L783" s="6"/>
    </row>
    <row r="784" spans="1:12" x14ac:dyDescent="0.2">
      <c r="A784" s="1" t="str">
        <f>+'Maestro infraestructura'!A783</f>
        <v>EDIFICIO PRINCIPAL</v>
      </c>
      <c r="B784" s="1" t="str">
        <f>+'Maestro infraestructura'!B783</f>
        <v>3° Piso</v>
      </c>
      <c r="C784" s="1" t="str">
        <f>+'Maestro infraestructura'!C783</f>
        <v>FIS1</v>
      </c>
      <c r="D784" s="1" t="str">
        <f>+'Maestro infraestructura'!F783</f>
        <v>Mesa Profesor</v>
      </c>
      <c r="E784" s="25" t="str">
        <f ca="1">+'Maestro infraestructura'!K783</f>
        <v>Activo</v>
      </c>
      <c r="F784" s="1" t="str">
        <f ca="1">+'Maestro infraestructura'!V783</f>
        <v>AL DÍA</v>
      </c>
      <c r="G784" s="1" t="str">
        <f>+'Maestro infraestructura'!X783</f>
        <v>OPERACIÓN</v>
      </c>
      <c r="H784" s="1">
        <f>+'Maestro infraestructura'!Y783</f>
        <v>2</v>
      </c>
      <c r="I784" s="1"/>
      <c r="J784" s="6">
        <f>+'Maestro infraestructura'!T783</f>
        <v>46378</v>
      </c>
      <c r="K784" s="6">
        <f t="shared" ca="1" si="32"/>
        <v>46378</v>
      </c>
      <c r="L784" s="6"/>
    </row>
    <row r="785" spans="1:12" x14ac:dyDescent="0.2">
      <c r="A785" s="1" t="str">
        <f>+'Maestro infraestructura'!A784</f>
        <v>EDIFICIO PRINCIPAL</v>
      </c>
      <c r="B785" s="1" t="str">
        <f>+'Maestro infraestructura'!B784</f>
        <v>3° Piso</v>
      </c>
      <c r="C785" s="1" t="str">
        <f>+'Maestro infraestructura'!C784</f>
        <v>FIS1</v>
      </c>
      <c r="D785" s="1" t="str">
        <f>+'Maestro infraestructura'!F784</f>
        <v>Silla Profesor</v>
      </c>
      <c r="E785" s="25" t="str">
        <f ca="1">+'Maestro infraestructura'!K784</f>
        <v>Activo</v>
      </c>
      <c r="F785" s="1" t="str">
        <f ca="1">+'Maestro infraestructura'!V784</f>
        <v>AL DÍA</v>
      </c>
      <c r="G785" s="1" t="str">
        <f>+'Maestro infraestructura'!X784</f>
        <v>OPERACIÓN</v>
      </c>
      <c r="H785" s="1">
        <f>+'Maestro infraestructura'!Y784</f>
        <v>2</v>
      </c>
      <c r="I785" s="1"/>
      <c r="J785" s="6">
        <f>+'Maestro infraestructura'!T784</f>
        <v>46378</v>
      </c>
      <c r="K785" s="6">
        <f t="shared" ca="1" si="32"/>
        <v>46378</v>
      </c>
      <c r="L785" s="6"/>
    </row>
    <row r="786" spans="1:12" x14ac:dyDescent="0.2">
      <c r="A786" s="1" t="str">
        <f>+'Maestro infraestructura'!A785</f>
        <v>EDIFICIO PRINCIPAL</v>
      </c>
      <c r="B786" s="1" t="str">
        <f>+'Maestro infraestructura'!B785</f>
        <v>3° Piso</v>
      </c>
      <c r="C786" s="1" t="str">
        <f>+'Maestro infraestructura'!C785</f>
        <v>FIS2</v>
      </c>
      <c r="D786" s="1" t="str">
        <f>+'Maestro infraestructura'!F785</f>
        <v>TV</v>
      </c>
      <c r="E786" s="25" t="str">
        <f ca="1">+'Maestro infraestructura'!K785</f>
        <v>Activo</v>
      </c>
      <c r="F786" s="1" t="str">
        <f ca="1">+'Maestro infraestructura'!V785</f>
        <v>AL DÍA</v>
      </c>
      <c r="G786" s="1" t="str">
        <f>+'Maestro infraestructura'!X785</f>
        <v>OPERACIÓN</v>
      </c>
      <c r="H786" s="1">
        <f>+'Maestro infraestructura'!Y785</f>
        <v>2</v>
      </c>
      <c r="I786" s="1"/>
      <c r="J786" s="6">
        <f>+'Maestro infraestructura'!T785</f>
        <v>46563</v>
      </c>
      <c r="K786" s="6">
        <f t="shared" ca="1" si="32"/>
        <v>46563</v>
      </c>
      <c r="L786" s="6"/>
    </row>
    <row r="787" spans="1:12" x14ac:dyDescent="0.2">
      <c r="A787" s="1" t="str">
        <f>+'Maestro infraestructura'!A786</f>
        <v>EDIFICIO PRINCIPAL</v>
      </c>
      <c r="B787" s="1" t="str">
        <f>+'Maestro infraestructura'!B786</f>
        <v>3° Piso</v>
      </c>
      <c r="C787" s="1" t="str">
        <f>+'Maestro infraestructura'!C786</f>
        <v>FIS2</v>
      </c>
      <c r="D787" s="1" t="str">
        <f>+'Maestro infraestructura'!F786</f>
        <v>Pizarra</v>
      </c>
      <c r="E787" s="25" t="str">
        <f ca="1">+'Maestro infraestructura'!K786</f>
        <v>Activo</v>
      </c>
      <c r="F787" s="1" t="str">
        <f ca="1">+'Maestro infraestructura'!V786</f>
        <v>AL DÍA</v>
      </c>
      <c r="G787" s="1" t="str">
        <f>+'Maestro infraestructura'!X786</f>
        <v>OPERACIÓN</v>
      </c>
      <c r="H787" s="1">
        <f>+'Maestro infraestructura'!Y786</f>
        <v>2</v>
      </c>
      <c r="I787" s="1"/>
      <c r="J787" s="6">
        <f>+'Maestro infraestructura'!T786</f>
        <v>46563</v>
      </c>
      <c r="K787" s="6">
        <f t="shared" ca="1" si="32"/>
        <v>46563</v>
      </c>
      <c r="L787" s="6"/>
    </row>
    <row r="788" spans="1:12" x14ac:dyDescent="0.2">
      <c r="A788" s="1" t="str">
        <f>+'Maestro infraestructura'!A787</f>
        <v>EDIFICIO PRINCIPAL</v>
      </c>
      <c r="B788" s="1" t="str">
        <f>+'Maestro infraestructura'!B787</f>
        <v>3° Piso</v>
      </c>
      <c r="C788" s="1" t="str">
        <f>+'Maestro infraestructura'!C787</f>
        <v>FIS2</v>
      </c>
      <c r="D788" s="1" t="str">
        <f>+'Maestro infraestructura'!F787</f>
        <v>Sillas alumnos</v>
      </c>
      <c r="E788" s="25" t="str">
        <f ca="1">+'Maestro infraestructura'!K787</f>
        <v>Activo</v>
      </c>
      <c r="F788" s="1" t="str">
        <f ca="1">+'Maestro infraestructura'!V787</f>
        <v>AL DÍA</v>
      </c>
      <c r="G788" s="1" t="str">
        <f>+'Maestro infraestructura'!X787</f>
        <v>OPERACIÓN</v>
      </c>
      <c r="H788" s="1">
        <f>+'Maestro infraestructura'!Y787</f>
        <v>2</v>
      </c>
      <c r="I788" s="1"/>
      <c r="J788" s="6">
        <f>+'Maestro infraestructura'!T787</f>
        <v>46378</v>
      </c>
      <c r="K788" s="6">
        <f t="shared" ca="1" si="32"/>
        <v>46378</v>
      </c>
      <c r="L788" s="6"/>
    </row>
    <row r="789" spans="1:12" x14ac:dyDescent="0.2">
      <c r="A789" s="1" t="str">
        <f>+'Maestro infraestructura'!A788</f>
        <v>EDIFICIO PRINCIPAL</v>
      </c>
      <c r="B789" s="1" t="str">
        <f>+'Maestro infraestructura'!B788</f>
        <v>3° Piso</v>
      </c>
      <c r="C789" s="1" t="str">
        <f>+'Maestro infraestructura'!C788</f>
        <v>FIS2</v>
      </c>
      <c r="D789" s="1" t="str">
        <f>+'Maestro infraestructura'!F788</f>
        <v>Pupitre</v>
      </c>
      <c r="E789" s="25" t="str">
        <f ca="1">+'Maestro infraestructura'!K788</f>
        <v>Activo</v>
      </c>
      <c r="F789" s="1" t="str">
        <f ca="1">+'Maestro infraestructura'!V788</f>
        <v>AL DÍA</v>
      </c>
      <c r="G789" s="1" t="str">
        <f>+'Maestro infraestructura'!X788</f>
        <v>OPERACIÓN</v>
      </c>
      <c r="H789" s="1">
        <f>+'Maestro infraestructura'!Y788</f>
        <v>2</v>
      </c>
      <c r="I789" s="1"/>
      <c r="J789" s="6">
        <f>+'Maestro infraestructura'!T788</f>
        <v>46378</v>
      </c>
      <c r="K789" s="6">
        <f t="shared" ca="1" si="32"/>
        <v>46378</v>
      </c>
      <c r="L789" s="6"/>
    </row>
    <row r="790" spans="1:12" x14ac:dyDescent="0.2">
      <c r="A790" s="1" t="str">
        <f>+'Maestro infraestructura'!A789</f>
        <v>EDIFICIO PRINCIPAL</v>
      </c>
      <c r="B790" s="1" t="str">
        <f>+'Maestro infraestructura'!B789</f>
        <v>3° Piso</v>
      </c>
      <c r="C790" s="1" t="str">
        <f>+'Maestro infraestructura'!C789</f>
        <v>FIS2</v>
      </c>
      <c r="D790" s="1" t="str">
        <f>+'Maestro infraestructura'!F789</f>
        <v>Mesa Profesor</v>
      </c>
      <c r="E790" s="25" t="str">
        <f ca="1">+'Maestro infraestructura'!K789</f>
        <v>Activo</v>
      </c>
      <c r="F790" s="1" t="str">
        <f ca="1">+'Maestro infraestructura'!V789</f>
        <v>AL DÍA</v>
      </c>
      <c r="G790" s="1" t="str">
        <f>+'Maestro infraestructura'!X789</f>
        <v>OPERACIÓN</v>
      </c>
      <c r="H790" s="1">
        <f>+'Maestro infraestructura'!Y789</f>
        <v>2</v>
      </c>
      <c r="I790" s="1"/>
      <c r="J790" s="6">
        <f>+'Maestro infraestructura'!T789</f>
        <v>46378</v>
      </c>
      <c r="K790" s="6">
        <f t="shared" ca="1" si="32"/>
        <v>46378</v>
      </c>
      <c r="L790" s="6"/>
    </row>
    <row r="791" spans="1:12" x14ac:dyDescent="0.2">
      <c r="A791" s="1" t="str">
        <f>+'Maestro infraestructura'!A790</f>
        <v>EDIFICIO PRINCIPAL</v>
      </c>
      <c r="B791" s="1" t="str">
        <f>+'Maestro infraestructura'!B790</f>
        <v>3° Piso</v>
      </c>
      <c r="C791" s="1" t="str">
        <f>+'Maestro infraestructura'!C790</f>
        <v>FIS2</v>
      </c>
      <c r="D791" s="1" t="str">
        <f>+'Maestro infraestructura'!F790</f>
        <v>Silla Profesor</v>
      </c>
      <c r="E791" s="25" t="str">
        <f ca="1">+'Maestro infraestructura'!K790</f>
        <v>Activo</v>
      </c>
      <c r="F791" s="1" t="str">
        <f ca="1">+'Maestro infraestructura'!V790</f>
        <v>AL DÍA</v>
      </c>
      <c r="G791" s="1" t="str">
        <f>+'Maestro infraestructura'!X790</f>
        <v>OPERACIÓN</v>
      </c>
      <c r="H791" s="1">
        <f>+'Maestro infraestructura'!Y790</f>
        <v>2</v>
      </c>
      <c r="I791" s="1"/>
      <c r="J791" s="6">
        <f>+'Maestro infraestructura'!T790</f>
        <v>46378</v>
      </c>
      <c r="K791" s="6">
        <f t="shared" ca="1" si="32"/>
        <v>46378</v>
      </c>
      <c r="L791" s="6"/>
    </row>
    <row r="792" spans="1:12" x14ac:dyDescent="0.2">
      <c r="A792" s="1" t="str">
        <f>+'Maestro infraestructura'!A791</f>
        <v>EDIFICIO PRINCIPAL</v>
      </c>
      <c r="B792" s="1" t="str">
        <f>+'Maestro infraestructura'!B791</f>
        <v>6° Piso</v>
      </c>
      <c r="C792" s="1" t="str">
        <f>+'Maestro infraestructura'!C791</f>
        <v>Valdivia</v>
      </c>
      <c r="D792" s="1" t="str">
        <f>+'Maestro infraestructura'!F791</f>
        <v>Estanques AP</v>
      </c>
      <c r="E792" s="25" t="str">
        <f ca="1">+'Maestro infraestructura'!K791</f>
        <v>Activo</v>
      </c>
      <c r="F792" s="1" t="str">
        <f ca="1">+'Maestro infraestructura'!V791</f>
        <v>VENCIDO</v>
      </c>
      <c r="G792" s="1" t="str">
        <f>+'Maestro infraestructura'!X791</f>
        <v>GENERAL</v>
      </c>
      <c r="H792" s="1">
        <f>+'Maestro infraestructura'!Y791</f>
        <v>2</v>
      </c>
      <c r="I792" s="1"/>
      <c r="J792" s="6">
        <f>+'Maestro infraestructura'!T791</f>
        <v>365</v>
      </c>
      <c r="K792" s="6">
        <f t="shared" ca="1" si="32"/>
        <v>365</v>
      </c>
      <c r="L792" s="6"/>
    </row>
    <row r="793" spans="1:12" x14ac:dyDescent="0.2">
      <c r="A793" s="1" t="str">
        <f>+'Maestro infraestructura'!A792</f>
        <v>ESTADIO</v>
      </c>
      <c r="B793" s="1" t="str">
        <f>+'Maestro infraestructura'!B792</f>
        <v>1° Piso</v>
      </c>
      <c r="C793" s="1" t="str">
        <f>+'Maestro infraestructura'!C792</f>
        <v>Camarín Hombre</v>
      </c>
      <c r="D793" s="1" t="str">
        <f>+'Maestro infraestructura'!F792</f>
        <v xml:space="preserve">Camarín Hombre </v>
      </c>
      <c r="E793" s="25" t="str">
        <f ca="1">+'Maestro infraestructura'!K792</f>
        <v>Activo</v>
      </c>
      <c r="F793" s="1" t="str">
        <f ca="1">+'Maestro infraestructura'!V792</f>
        <v>VENCIDO</v>
      </c>
      <c r="G793" s="1" t="str">
        <f>+'Maestro infraestructura'!X792</f>
        <v>LEGAL</v>
      </c>
      <c r="H793" s="1">
        <f>+'Maestro infraestructura'!Y792</f>
        <v>2</v>
      </c>
      <c r="I793" s="1"/>
      <c r="J793" s="6">
        <f>+'Maestro infraestructura'!T792</f>
        <v>46258</v>
      </c>
      <c r="K793" s="6">
        <f t="shared" ca="1" si="32"/>
        <v>46258</v>
      </c>
      <c r="L793" s="6"/>
    </row>
    <row r="794" spans="1:12" x14ac:dyDescent="0.2">
      <c r="A794" s="1" t="str">
        <f>+'Maestro infraestructura'!A793</f>
        <v>ESTADIO</v>
      </c>
      <c r="B794" s="1" t="str">
        <f>+'Maestro infraestructura'!B793</f>
        <v>1° Piso</v>
      </c>
      <c r="C794" s="1" t="str">
        <f>+'Maestro infraestructura'!C793</f>
        <v>Camarín Mujeres</v>
      </c>
      <c r="D794" s="1" t="str">
        <f>+'Maestro infraestructura'!F793</f>
        <v xml:space="preserve">Camarín Mujeres </v>
      </c>
      <c r="E794" s="25" t="str">
        <f ca="1">+'Maestro infraestructura'!K793</f>
        <v>Activo</v>
      </c>
      <c r="F794" s="1" t="str">
        <f ca="1">+'Maestro infraestructura'!V793</f>
        <v>VENCIDO</v>
      </c>
      <c r="G794" s="1" t="str">
        <f>+'Maestro infraestructura'!X793</f>
        <v>LEGAL</v>
      </c>
      <c r="H794" s="1">
        <f>+'Maestro infraestructura'!Y793</f>
        <v>2</v>
      </c>
      <c r="I794" s="1"/>
      <c r="J794" s="6">
        <f>+'Maestro infraestructura'!T793</f>
        <v>46258</v>
      </c>
      <c r="K794" s="6">
        <f t="shared" ca="1" si="32"/>
        <v>46258</v>
      </c>
      <c r="L794" s="6"/>
    </row>
    <row r="795" spans="1:12" x14ac:dyDescent="0.2">
      <c r="A795" s="1" t="str">
        <f>+'Maestro infraestructura'!A794</f>
        <v>ESTADIO</v>
      </c>
      <c r="B795" s="1" t="str">
        <f>+'Maestro infraestructura'!B794</f>
        <v>1° Piso</v>
      </c>
      <c r="C795" s="1" t="str">
        <f>+'Maestro infraestructura'!C794</f>
        <v>Sala Tablero Camarín</v>
      </c>
      <c r="D795" s="1" t="str">
        <f>+'Maestro infraestructura'!F794</f>
        <v>Tablero eléctrico</v>
      </c>
      <c r="E795" s="25" t="str">
        <f ca="1">+'Maestro infraestructura'!K794</f>
        <v>Activo</v>
      </c>
      <c r="F795" s="1" t="str">
        <f ca="1">+'Maestro infraestructura'!V794</f>
        <v>AL DÍA</v>
      </c>
      <c r="G795" s="1" t="str">
        <f>+'Maestro infraestructura'!X794</f>
        <v>OPERACIÓN</v>
      </c>
      <c r="H795" s="1">
        <f>+'Maestro infraestructura'!Y794</f>
        <v>2</v>
      </c>
      <c r="I795" s="1"/>
      <c r="J795" s="6">
        <f>+'Maestro infraestructura'!T794</f>
        <v>46563</v>
      </c>
      <c r="K795" s="6">
        <f t="shared" ca="1" si="32"/>
        <v>46563</v>
      </c>
      <c r="L795" s="6"/>
    </row>
    <row r="796" spans="1:12" x14ac:dyDescent="0.2">
      <c r="A796" s="1" t="str">
        <f>+'Maestro infraestructura'!A795</f>
        <v>ESTADIO</v>
      </c>
      <c r="B796" s="1" t="str">
        <f>+'Maestro infraestructura'!B795</f>
        <v>1° Piso</v>
      </c>
      <c r="C796" s="1" t="str">
        <f>+'Maestro infraestructura'!C795</f>
        <v xml:space="preserve">Camarín </v>
      </c>
      <c r="D796" s="1" t="str">
        <f>+'Maestro infraestructura'!F795</f>
        <v>Baño adultos varones</v>
      </c>
      <c r="E796" s="25" t="str">
        <f ca="1">+'Maestro infraestructura'!K795</f>
        <v>Activo</v>
      </c>
      <c r="F796" s="1" t="str">
        <f ca="1">+'Maestro infraestructura'!V795</f>
        <v>VENCIDO</v>
      </c>
      <c r="G796" s="1" t="str">
        <f>+'Maestro infraestructura'!X795</f>
        <v>LEGAL</v>
      </c>
      <c r="H796" s="1">
        <f>+'Maestro infraestructura'!Y795</f>
        <v>1</v>
      </c>
      <c r="I796" s="1"/>
      <c r="J796" s="6">
        <f>+'Maestro infraestructura'!T795</f>
        <v>46258</v>
      </c>
      <c r="K796" s="6">
        <f t="shared" ca="1" si="32"/>
        <v>46258</v>
      </c>
      <c r="L796" s="6"/>
    </row>
    <row r="797" spans="1:12" x14ac:dyDescent="0.2">
      <c r="A797" s="1" t="str">
        <f>+'Maestro infraestructura'!A796</f>
        <v>ESTADIO</v>
      </c>
      <c r="B797" s="1" t="str">
        <f>+'Maestro infraestructura'!B796</f>
        <v>1° Piso</v>
      </c>
      <c r="C797" s="1" t="str">
        <f>+'Maestro infraestructura'!C796</f>
        <v xml:space="preserve">Camarín </v>
      </c>
      <c r="D797" s="1" t="str">
        <f>+'Maestro infraestructura'!F796</f>
        <v>Baño adultos mujeres</v>
      </c>
      <c r="E797" s="25" t="str">
        <f ca="1">+'Maestro infraestructura'!K796</f>
        <v>Activo</v>
      </c>
      <c r="F797" s="1" t="str">
        <f ca="1">+'Maestro infraestructura'!V796</f>
        <v>VENCIDO</v>
      </c>
      <c r="G797" s="1" t="str">
        <f>+'Maestro infraestructura'!X796</f>
        <v>LEGAL</v>
      </c>
      <c r="H797" s="1">
        <f>+'Maestro infraestructura'!Y796</f>
        <v>1</v>
      </c>
      <c r="I797" s="1"/>
      <c r="J797" s="6">
        <f>+'Maestro infraestructura'!T796</f>
        <v>46258</v>
      </c>
      <c r="K797" s="6">
        <f t="shared" ca="1" si="32"/>
        <v>46258</v>
      </c>
      <c r="L797" s="6"/>
    </row>
    <row r="798" spans="1:12" x14ac:dyDescent="0.2">
      <c r="A798" s="1" t="str">
        <f>+'Maestro infraestructura'!A797</f>
        <v>ESTADIO</v>
      </c>
      <c r="B798" s="1" t="str">
        <f>+'Maestro infraestructura'!B797</f>
        <v>1° Piso</v>
      </c>
      <c r="C798" s="1" t="str">
        <f>+'Maestro infraestructura'!C797</f>
        <v xml:space="preserve">Camarín </v>
      </c>
      <c r="D798" s="1" t="str">
        <f>+'Maestro infraestructura'!F797</f>
        <v>Baño discapacitado</v>
      </c>
      <c r="E798" s="25" t="str">
        <f ca="1">+'Maestro infraestructura'!K797</f>
        <v>Activo</v>
      </c>
      <c r="F798" s="1" t="str">
        <f ca="1">+'Maestro infraestructura'!V797</f>
        <v>VENCIDO</v>
      </c>
      <c r="G798" s="1" t="str">
        <f>+'Maestro infraestructura'!X797</f>
        <v>LEGAL</v>
      </c>
      <c r="H798" s="1">
        <f>+'Maestro infraestructura'!Y797</f>
        <v>2</v>
      </c>
      <c r="I798" s="1"/>
      <c r="J798" s="6">
        <f>+'Maestro infraestructura'!T797</f>
        <v>46258</v>
      </c>
      <c r="K798" s="6">
        <f t="shared" ca="1" si="32"/>
        <v>46258</v>
      </c>
      <c r="L798" s="6"/>
    </row>
    <row r="799" spans="1:12" x14ac:dyDescent="0.2">
      <c r="A799" s="1" t="str">
        <f>+'Maestro infraestructura'!A798</f>
        <v>ESTADIO</v>
      </c>
      <c r="B799" s="1" t="str">
        <f>+'Maestro infraestructura'!B798</f>
        <v>1° Piso</v>
      </c>
      <c r="C799" s="1" t="str">
        <f>+'Maestro infraestructura'!C798</f>
        <v xml:space="preserve">Camarín </v>
      </c>
      <c r="D799" s="1" t="str">
        <f>+'Maestro infraestructura'!F798</f>
        <v>Baño alumnos varones</v>
      </c>
      <c r="E799" s="25" t="str">
        <f ca="1">+'Maestro infraestructura'!K798</f>
        <v>Activo</v>
      </c>
      <c r="F799" s="1" t="str">
        <f ca="1">+'Maestro infraestructura'!V798</f>
        <v>VENCIDO</v>
      </c>
      <c r="G799" s="1" t="str">
        <f>+'Maestro infraestructura'!X798</f>
        <v>LEGAL</v>
      </c>
      <c r="H799" s="1">
        <f>+'Maestro infraestructura'!Y798</f>
        <v>2</v>
      </c>
      <c r="I799" s="1"/>
      <c r="J799" s="6">
        <f>+'Maestro infraestructura'!T798</f>
        <v>46258</v>
      </c>
      <c r="K799" s="6">
        <f t="shared" ca="1" si="32"/>
        <v>46258</v>
      </c>
      <c r="L799" s="6"/>
    </row>
    <row r="800" spans="1:12" x14ac:dyDescent="0.2">
      <c r="A800" s="1" t="str">
        <f>+'Maestro infraestructura'!A799</f>
        <v>ESTADIO</v>
      </c>
      <c r="B800" s="1" t="str">
        <f>+'Maestro infraestructura'!B799</f>
        <v>1° Piso</v>
      </c>
      <c r="C800" s="1" t="str">
        <f>+'Maestro infraestructura'!C799</f>
        <v xml:space="preserve">Camarín </v>
      </c>
      <c r="D800" s="1" t="str">
        <f>+'Maestro infraestructura'!F799</f>
        <v>Baño alumnos mujeres</v>
      </c>
      <c r="E800" s="25" t="str">
        <f ca="1">+'Maestro infraestructura'!K799</f>
        <v>Activo</v>
      </c>
      <c r="F800" s="1" t="str">
        <f ca="1">+'Maestro infraestructura'!V799</f>
        <v>VENCIDO</v>
      </c>
      <c r="G800" s="1" t="str">
        <f>+'Maestro infraestructura'!X799</f>
        <v>LEGAL</v>
      </c>
      <c r="H800" s="1">
        <f>+'Maestro infraestructura'!Y799</f>
        <v>2</v>
      </c>
      <c r="I800" s="1"/>
      <c r="J800" s="6">
        <f>+'Maestro infraestructura'!T799</f>
        <v>46258</v>
      </c>
      <c r="K800" s="6">
        <f t="shared" ca="1" si="32"/>
        <v>46258</v>
      </c>
      <c r="L800" s="6"/>
    </row>
    <row r="801" spans="1:12" x14ac:dyDescent="0.2">
      <c r="A801" s="1" t="str">
        <f>+'Maestro infraestructura'!A800</f>
        <v>ESTADIO</v>
      </c>
      <c r="B801" s="1" t="str">
        <f>+'Maestro infraestructura'!B800</f>
        <v>1° Piso</v>
      </c>
      <c r="C801" s="1" t="str">
        <f>+'Maestro infraestructura'!C800</f>
        <v>Sala Máquinas</v>
      </c>
      <c r="D801" s="1" t="str">
        <f>+'Maestro infraestructura'!F800</f>
        <v>Termo eléctrico 1</v>
      </c>
      <c r="E801" s="25" t="str">
        <f ca="1">+'Maestro infraestructura'!K800</f>
        <v>Activo</v>
      </c>
      <c r="F801" s="1" t="str">
        <f ca="1">+'Maestro infraestructura'!V800</f>
        <v>AL DÍA</v>
      </c>
      <c r="G801" s="1" t="str">
        <f>+'Maestro infraestructura'!X800</f>
        <v>OPERACIÓN</v>
      </c>
      <c r="H801" s="1">
        <f>+'Maestro infraestructura'!Y800</f>
        <v>1</v>
      </c>
      <c r="I801" s="1"/>
      <c r="J801" s="6">
        <f>+'Maestro infraestructura'!T800</f>
        <v>46563</v>
      </c>
      <c r="K801" s="6">
        <f t="shared" ca="1" si="32"/>
        <v>46563</v>
      </c>
      <c r="L801" s="6"/>
    </row>
    <row r="802" spans="1:12" x14ac:dyDescent="0.2">
      <c r="A802" s="1" t="str">
        <f>+'Maestro infraestructura'!A801</f>
        <v>ESTADIO</v>
      </c>
      <c r="B802" s="1" t="str">
        <f>+'Maestro infraestructura'!B801</f>
        <v>1° Piso</v>
      </c>
      <c r="C802" s="1" t="str">
        <f>+'Maestro infraestructura'!C801</f>
        <v>Sala Máquinas</v>
      </c>
      <c r="D802" s="1" t="str">
        <f>+'Maestro infraestructura'!F801</f>
        <v>Termo eléctrico 2</v>
      </c>
      <c r="E802" s="25" t="str">
        <f ca="1">+'Maestro infraestructura'!K801</f>
        <v>Activo</v>
      </c>
      <c r="F802" s="1" t="str">
        <f ca="1">+'Maestro infraestructura'!V801</f>
        <v>AL DÍA</v>
      </c>
      <c r="G802" s="1" t="str">
        <f>+'Maestro infraestructura'!X801</f>
        <v>OPERACIÓN</v>
      </c>
      <c r="H802" s="1">
        <f>+'Maestro infraestructura'!Y801</f>
        <v>1</v>
      </c>
      <c r="I802" s="1"/>
      <c r="J802" s="6">
        <f>+'Maestro infraestructura'!T801</f>
        <v>46563</v>
      </c>
      <c r="K802" s="6">
        <f t="shared" ca="1" si="32"/>
        <v>46563</v>
      </c>
      <c r="L802" s="6"/>
    </row>
    <row r="803" spans="1:12" x14ac:dyDescent="0.2">
      <c r="A803" s="1" t="str">
        <f>+'Maestro infraestructura'!A802</f>
        <v>ESTADIO</v>
      </c>
      <c r="B803" s="1" t="str">
        <f>+'Maestro infraestructura'!B802</f>
        <v>1° Piso</v>
      </c>
      <c r="C803" s="1" t="str">
        <f>+'Maestro infraestructura'!C802</f>
        <v>Cancha</v>
      </c>
      <c r="D803" s="1" t="str">
        <f>+'Maestro infraestructura'!F802</f>
        <v>Pista de Recortan</v>
      </c>
      <c r="E803" s="25" t="str">
        <f ca="1">+'Maestro infraestructura'!K802</f>
        <v>Activo</v>
      </c>
      <c r="F803" s="1" t="str">
        <f ca="1">+'Maestro infraestructura'!V802</f>
        <v>VENCIDO</v>
      </c>
      <c r="G803" s="1" t="str">
        <f>+'Maestro infraestructura'!X802</f>
        <v>GENERAL</v>
      </c>
      <c r="H803" s="1">
        <f>+'Maestro infraestructura'!Y802</f>
        <v>2</v>
      </c>
      <c r="I803" s="1"/>
      <c r="J803" s="6">
        <f>+'Maestro infraestructura'!T802</f>
        <v>1</v>
      </c>
      <c r="K803" s="6">
        <f t="shared" ca="1" si="32"/>
        <v>1</v>
      </c>
      <c r="L803" s="6"/>
    </row>
    <row r="804" spans="1:12" x14ac:dyDescent="0.2">
      <c r="A804" s="1" t="str">
        <f>+'Maestro infraestructura'!A803</f>
        <v>ESTADIO</v>
      </c>
      <c r="B804" s="1" t="str">
        <f>+'Maestro infraestructura'!B803</f>
        <v>1° Piso</v>
      </c>
      <c r="C804" s="1" t="str">
        <f>+'Maestro infraestructura'!C803</f>
        <v>Cancha</v>
      </c>
      <c r="D804" s="1" t="str">
        <f>+'Maestro infraestructura'!F803</f>
        <v>Cesped Natural</v>
      </c>
      <c r="E804" s="25" t="str">
        <f ca="1">+'Maestro infraestructura'!K803</f>
        <v>Activo</v>
      </c>
      <c r="F804" s="1" t="str">
        <f ca="1">+'Maestro infraestructura'!V803</f>
        <v>AL DÍA</v>
      </c>
      <c r="G804" s="1" t="str">
        <f>+'Maestro infraestructura'!X803</f>
        <v>GENERAL</v>
      </c>
      <c r="H804" s="1">
        <f>+'Maestro infraestructura'!Y803</f>
        <v>2</v>
      </c>
      <c r="I804" s="1"/>
      <c r="J804" s="6">
        <f>+'Maestro infraestructura'!T803</f>
        <v>46402</v>
      </c>
      <c r="K804" s="6">
        <f t="shared" ca="1" si="32"/>
        <v>46402</v>
      </c>
      <c r="L804" s="6"/>
    </row>
    <row r="805" spans="1:12" x14ac:dyDescent="0.2">
      <c r="A805" s="1" t="str">
        <f>+'Maestro infraestructura'!A804</f>
        <v>FERIENHEIM</v>
      </c>
      <c r="B805" s="1" t="str">
        <f>+'Maestro infraestructura'!B804</f>
        <v>1° Piso</v>
      </c>
      <c r="C805" s="1" t="str">
        <f>+'Maestro infraestructura'!C804</f>
        <v>Sala Caldera Hotel</v>
      </c>
      <c r="D805" s="1" t="str">
        <f>+'Maestro infraestructura'!F804</f>
        <v>Caldera 1</v>
      </c>
      <c r="E805" s="25" t="str">
        <f ca="1">+'Maestro infraestructura'!K804</f>
        <v>Activo</v>
      </c>
      <c r="F805" s="1" t="str">
        <f ca="1">+'Maestro infraestructura'!V804</f>
        <v>AL DÍA</v>
      </c>
      <c r="G805" s="1" t="str">
        <f>+'Maestro infraestructura'!X804</f>
        <v>OPERACIÓN</v>
      </c>
      <c r="H805" s="1">
        <f>+'Maestro infraestructura'!Y804</f>
        <v>1</v>
      </c>
      <c r="I805" s="1"/>
      <c r="J805" s="6">
        <f>+'Maestro infraestructura'!T804</f>
        <v>46563</v>
      </c>
      <c r="K805" s="6">
        <f t="shared" ca="1" si="32"/>
        <v>46563</v>
      </c>
      <c r="L805" s="6"/>
    </row>
    <row r="806" spans="1:12" x14ac:dyDescent="0.2">
      <c r="A806" s="1" t="str">
        <f>+'Maestro infraestructura'!A805</f>
        <v>FERIENHEIM</v>
      </c>
      <c r="B806" s="1" t="str">
        <f>+'Maestro infraestructura'!B805</f>
        <v>1° Piso</v>
      </c>
      <c r="C806" s="1" t="str">
        <f>+'Maestro infraestructura'!C805</f>
        <v>Sala Caldera Hotel</v>
      </c>
      <c r="D806" s="1" t="str">
        <f>+'Maestro infraestructura'!F805</f>
        <v>Caldera 2</v>
      </c>
      <c r="E806" s="25" t="str">
        <f ca="1">+'Maestro infraestructura'!K805</f>
        <v>Activo</v>
      </c>
      <c r="F806" s="1" t="str">
        <f ca="1">+'Maestro infraestructura'!V805</f>
        <v>AL DÍA</v>
      </c>
      <c r="G806" s="1" t="str">
        <f>+'Maestro infraestructura'!X805</f>
        <v>OPERACIÓN</v>
      </c>
      <c r="H806" s="1">
        <f>+'Maestro infraestructura'!Y805</f>
        <v>1</v>
      </c>
      <c r="I806" s="1"/>
      <c r="J806" s="6">
        <f>+'Maestro infraestructura'!T805</f>
        <v>46563</v>
      </c>
      <c r="K806" s="6">
        <f t="shared" ca="1" si="32"/>
        <v>46563</v>
      </c>
      <c r="L806" s="6"/>
    </row>
    <row r="807" spans="1:12" x14ac:dyDescent="0.2">
      <c r="A807" s="1" t="str">
        <f>+'Maestro infraestructura'!A806</f>
        <v>FERIENHEIM</v>
      </c>
      <c r="B807" s="1" t="str">
        <f>+'Maestro infraestructura'!B806</f>
        <v>1° Piso</v>
      </c>
      <c r="C807" s="1" t="str">
        <f>+'Maestro infraestructura'!C806</f>
        <v>Sala Caldera Hotel</v>
      </c>
      <c r="D807" s="1" t="str">
        <f>+'Maestro infraestructura'!F806</f>
        <v>Caldera 3</v>
      </c>
      <c r="E807" s="25" t="str">
        <f ca="1">+'Maestro infraestructura'!K806</f>
        <v>Activo</v>
      </c>
      <c r="F807" s="1" t="str">
        <f ca="1">+'Maestro infraestructura'!V806</f>
        <v>AL DÍA</v>
      </c>
      <c r="G807" s="1" t="str">
        <f>+'Maestro infraestructura'!X806</f>
        <v>OPERACIÓN</v>
      </c>
      <c r="H807" s="1">
        <f>+'Maestro infraestructura'!Y806</f>
        <v>1</v>
      </c>
      <c r="I807" s="1"/>
      <c r="J807" s="6">
        <f>+'Maestro infraestructura'!T806</f>
        <v>46563</v>
      </c>
      <c r="K807" s="6">
        <f t="shared" ca="1" si="32"/>
        <v>46563</v>
      </c>
      <c r="L807" s="6"/>
    </row>
    <row r="808" spans="1:12" x14ac:dyDescent="0.2">
      <c r="A808" s="1" t="str">
        <f>+'Maestro infraestructura'!A807</f>
        <v>FERIENHEIM</v>
      </c>
      <c r="B808" s="1" t="str">
        <f>+'Maestro infraestructura'!B807</f>
        <v>1° Piso</v>
      </c>
      <c r="C808" s="1" t="str">
        <f>+'Maestro infraestructura'!C807</f>
        <v>Sala Caldera Hotel</v>
      </c>
      <c r="D808" s="1" t="str">
        <f>+'Maestro infraestructura'!F807</f>
        <v>Caldera 4</v>
      </c>
      <c r="E808" s="25" t="str">
        <f ca="1">+'Maestro infraestructura'!K807</f>
        <v>Activo</v>
      </c>
      <c r="F808" s="1" t="str">
        <f ca="1">+'Maestro infraestructura'!V807</f>
        <v>AL DÍA</v>
      </c>
      <c r="G808" s="1" t="str">
        <f>+'Maestro infraestructura'!X807</f>
        <v>OPERACIÓN</v>
      </c>
      <c r="H808" s="1">
        <f>+'Maestro infraestructura'!Y807</f>
        <v>1</v>
      </c>
      <c r="I808" s="1"/>
      <c r="J808" s="6">
        <f>+'Maestro infraestructura'!T807</f>
        <v>46563</v>
      </c>
      <c r="K808" s="6">
        <f t="shared" ca="1" si="32"/>
        <v>46563</v>
      </c>
      <c r="L808" s="6"/>
    </row>
    <row r="809" spans="1:12" x14ac:dyDescent="0.2">
      <c r="A809" s="1" t="str">
        <f>+'Maestro infraestructura'!A808</f>
        <v>NEUBAU</v>
      </c>
      <c r="B809" s="1" t="str">
        <f>+'Maestro infraestructura'!B808</f>
        <v>1° Piso</v>
      </c>
      <c r="C809" s="1" t="str">
        <f>+'Maestro infraestructura'!C808</f>
        <v>Sala caldera NB</v>
      </c>
      <c r="D809" s="1" t="str">
        <f>+'Maestro infraestructura'!F808</f>
        <v>Caldera</v>
      </c>
      <c r="E809" s="25" t="str">
        <f ca="1">+'Maestro infraestructura'!K808</f>
        <v>Activo</v>
      </c>
      <c r="F809" s="1" t="str">
        <f ca="1">+'Maestro infraestructura'!V808</f>
        <v>AL DÍA</v>
      </c>
      <c r="G809" s="1" t="str">
        <f>+'Maestro infraestructura'!X808</f>
        <v>OPERACIÓN</v>
      </c>
      <c r="H809" s="1">
        <f>+'Maestro infraestructura'!Y808</f>
        <v>1</v>
      </c>
      <c r="I809" s="1"/>
      <c r="J809" s="6">
        <f>+'Maestro infraestructura'!T808</f>
        <v>46563</v>
      </c>
      <c r="K809" s="6">
        <f t="shared" ca="1" si="32"/>
        <v>46563</v>
      </c>
      <c r="L809" s="6"/>
    </row>
    <row r="810" spans="1:12" x14ac:dyDescent="0.2">
      <c r="A810" s="1" t="str">
        <f>+'Maestro infraestructura'!A809</f>
        <v>NEUBAU</v>
      </c>
      <c r="B810" s="1" t="str">
        <f>+'Maestro infraestructura'!B809</f>
        <v>1° Piso</v>
      </c>
      <c r="C810" s="1" t="str">
        <f>+'Maestro infraestructura'!C809</f>
        <v>Salas de Clases</v>
      </c>
      <c r="D810" s="1" t="str">
        <f>+'Maestro infraestructura'!F809</f>
        <v>Radiadores</v>
      </c>
      <c r="E810" s="25" t="str">
        <f ca="1">+'Maestro infraestructura'!K809</f>
        <v>Activo</v>
      </c>
      <c r="F810" s="1" t="str">
        <f ca="1">+'Maestro infraestructura'!V809</f>
        <v>AL DÍA</v>
      </c>
      <c r="G810" s="1" t="str">
        <f>+'Maestro infraestructura'!X809</f>
        <v>GENERAL</v>
      </c>
      <c r="H810" s="1">
        <f>+'Maestro infraestructura'!Y809</f>
        <v>1</v>
      </c>
      <c r="I810" s="1"/>
      <c r="J810" s="6">
        <f>+'Maestro infraestructura'!T809</f>
        <v>46563</v>
      </c>
      <c r="K810" s="6">
        <f t="shared" ca="1" si="32"/>
        <v>46563</v>
      </c>
      <c r="L810" s="6"/>
    </row>
    <row r="811" spans="1:12" x14ac:dyDescent="0.2">
      <c r="A811" s="1" t="str">
        <f>+'Maestro infraestructura'!A810</f>
        <v>NEUBAU</v>
      </c>
      <c r="B811" s="1" t="str">
        <f>+'Maestro infraestructura'!B810</f>
        <v>1° Piso</v>
      </c>
      <c r="C811" s="1" t="str">
        <f>+'Maestro infraestructura'!C810</f>
        <v>Secretaría</v>
      </c>
      <c r="D811" s="1" t="str">
        <f>+'Maestro infraestructura'!F810</f>
        <v>Aire Acondicionado</v>
      </c>
      <c r="E811" s="25" t="str">
        <f ca="1">+'Maestro infraestructura'!K810</f>
        <v>Activo</v>
      </c>
      <c r="F811" s="1" t="str">
        <f ca="1">+'Maestro infraestructura'!V810</f>
        <v>AL DÍA</v>
      </c>
      <c r="G811" s="1" t="str">
        <f>+'Maestro infraestructura'!X810</f>
        <v>OPERACIÓN</v>
      </c>
      <c r="H811" s="1">
        <f>+'Maestro infraestructura'!Y810</f>
        <v>2</v>
      </c>
      <c r="I811" s="1"/>
      <c r="J811" s="6">
        <f>+'Maestro infraestructura'!T810</f>
        <v>46378</v>
      </c>
      <c r="K811" s="6">
        <f t="shared" ca="1" si="32"/>
        <v>46378</v>
      </c>
      <c r="L811" s="6"/>
    </row>
    <row r="812" spans="1:12" x14ac:dyDescent="0.2">
      <c r="A812" s="1" t="str">
        <f>+'Maestro infraestructura'!A811</f>
        <v>NEUBAU</v>
      </c>
      <c r="B812" s="1" t="str">
        <f>+'Maestro infraestructura'!B811</f>
        <v>1° Piso</v>
      </c>
      <c r="C812" s="1" t="str">
        <f>+'Maestro infraestructura'!C811</f>
        <v>Patio principal</v>
      </c>
      <c r="D812" s="1" t="str">
        <f>+'Maestro infraestructura'!F811</f>
        <v>Pasarela  metálica</v>
      </c>
      <c r="E812" s="25" t="str">
        <f ca="1">+'Maestro infraestructura'!K811</f>
        <v>Activo</v>
      </c>
      <c r="F812" s="1" t="str">
        <f ca="1">+'Maestro infraestructura'!V811</f>
        <v>AL DÍA</v>
      </c>
      <c r="G812" s="1" t="str">
        <f>+'Maestro infraestructura'!X811</f>
        <v>SEGURIDAD</v>
      </c>
      <c r="H812" s="1">
        <f>+'Maestro infraestructura'!Y811</f>
        <v>2</v>
      </c>
      <c r="I812" s="1"/>
      <c r="J812" s="6">
        <f>+'Maestro infraestructura'!T811</f>
        <v>46624.5</v>
      </c>
      <c r="K812" s="6">
        <f t="shared" ca="1" si="32"/>
        <v>46624.5</v>
      </c>
      <c r="L812" s="6"/>
    </row>
    <row r="813" spans="1:12" x14ac:dyDescent="0.2">
      <c r="A813" s="1" t="str">
        <f>+'Maestro infraestructura'!A812</f>
        <v>NEUBAU</v>
      </c>
      <c r="B813" s="1" t="str">
        <f>+'Maestro infraestructura'!B812</f>
        <v>1° Piso</v>
      </c>
      <c r="C813" s="1" t="str">
        <f>+'Maestro infraestructura'!C812</f>
        <v>1° Piso</v>
      </c>
      <c r="D813" s="1" t="str">
        <f>+'Maestro infraestructura'!F812</f>
        <v>Tablero eléctrico ala norte</v>
      </c>
      <c r="E813" s="25" t="str">
        <f ca="1">+'Maestro infraestructura'!K812</f>
        <v>Activo</v>
      </c>
      <c r="F813" s="1" t="str">
        <f ca="1">+'Maestro infraestructura'!V812</f>
        <v>AL DÍA</v>
      </c>
      <c r="G813" s="1" t="str">
        <f>+'Maestro infraestructura'!X812</f>
        <v>OPERACIÓN</v>
      </c>
      <c r="H813" s="1">
        <f>+'Maestro infraestructura'!Y812</f>
        <v>2</v>
      </c>
      <c r="I813" s="1"/>
      <c r="J813" s="6">
        <f>+'Maestro infraestructura'!T812</f>
        <v>46563</v>
      </c>
      <c r="K813" s="6">
        <f t="shared" ca="1" si="32"/>
        <v>46563</v>
      </c>
      <c r="L813" s="6"/>
    </row>
    <row r="814" spans="1:12" x14ac:dyDescent="0.2">
      <c r="A814" s="1" t="str">
        <f>+'Maestro infraestructura'!A813</f>
        <v>NEUBAU</v>
      </c>
      <c r="B814" s="1" t="str">
        <f>+'Maestro infraestructura'!B813</f>
        <v>1° Piso</v>
      </c>
      <c r="C814" s="1" t="str">
        <f>+'Maestro infraestructura'!C813</f>
        <v>1° Piso</v>
      </c>
      <c r="D814" s="1" t="str">
        <f>+'Maestro infraestructura'!F813</f>
        <v>Tablero eléctrico ala sur</v>
      </c>
      <c r="E814" s="25" t="str">
        <f ca="1">+'Maestro infraestructura'!K813</f>
        <v>Activo</v>
      </c>
      <c r="F814" s="1" t="str">
        <f ca="1">+'Maestro infraestructura'!V813</f>
        <v>AL DÍA</v>
      </c>
      <c r="G814" s="1" t="str">
        <f>+'Maestro infraestructura'!X813</f>
        <v>OPERACIÓN</v>
      </c>
      <c r="H814" s="1">
        <f>+'Maestro infraestructura'!Y813</f>
        <v>2</v>
      </c>
      <c r="I814" s="1"/>
      <c r="J814" s="6">
        <f>+'Maestro infraestructura'!T813</f>
        <v>46563</v>
      </c>
      <c r="K814" s="6">
        <f t="shared" ca="1" si="32"/>
        <v>46563</v>
      </c>
      <c r="L814" s="6"/>
    </row>
    <row r="815" spans="1:12" x14ac:dyDescent="0.2">
      <c r="A815" s="1" t="str">
        <f>+'Maestro infraestructura'!A814</f>
        <v>NEUBAU</v>
      </c>
      <c r="B815" s="1" t="str">
        <f>+'Maestro infraestructura'!B814</f>
        <v>1° Piso</v>
      </c>
      <c r="C815" s="1" t="str">
        <f>+'Maestro infraestructura'!C814</f>
        <v>1° Piso</v>
      </c>
      <c r="D815" s="1" t="str">
        <f>+'Maestro infraestructura'!F814</f>
        <v>Baño adultos funcionarios</v>
      </c>
      <c r="E815" s="25" t="str">
        <f ca="1">+'Maestro infraestructura'!K814</f>
        <v>Activo</v>
      </c>
      <c r="F815" s="1" t="str">
        <f ca="1">+'Maestro infraestructura'!V814</f>
        <v>VENCIDO</v>
      </c>
      <c r="G815" s="1" t="str">
        <f>+'Maestro infraestructura'!X814</f>
        <v>LEGAL</v>
      </c>
      <c r="H815" s="1">
        <f>+'Maestro infraestructura'!Y814</f>
        <v>1</v>
      </c>
      <c r="I815" s="1"/>
      <c r="J815" s="6">
        <f>+'Maestro infraestructura'!T814</f>
        <v>46258</v>
      </c>
      <c r="K815" s="6">
        <f t="shared" ca="1" si="32"/>
        <v>46258</v>
      </c>
      <c r="L815" s="6"/>
    </row>
    <row r="816" spans="1:12" x14ac:dyDescent="0.2">
      <c r="A816" s="1" t="str">
        <f>+'Maestro infraestructura'!A815</f>
        <v>NEUBAU</v>
      </c>
      <c r="B816" s="1" t="str">
        <f>+'Maestro infraestructura'!B815</f>
        <v>1° Piso</v>
      </c>
      <c r="C816" s="1" t="str">
        <f>+'Maestro infraestructura'!C815</f>
        <v>1° Piso</v>
      </c>
      <c r="D816" s="1" t="str">
        <f>+'Maestro infraestructura'!F815</f>
        <v>Baño discapacitado</v>
      </c>
      <c r="E816" s="25" t="str">
        <f ca="1">+'Maestro infraestructura'!K815</f>
        <v>Activo</v>
      </c>
      <c r="F816" s="1" t="str">
        <f ca="1">+'Maestro infraestructura'!V815</f>
        <v>VENCIDO</v>
      </c>
      <c r="G816" s="1" t="str">
        <f>+'Maestro infraestructura'!X815</f>
        <v>LEGAL</v>
      </c>
      <c r="H816" s="1">
        <f>+'Maestro infraestructura'!Y815</f>
        <v>1</v>
      </c>
      <c r="I816" s="1"/>
      <c r="J816" s="6">
        <f>+'Maestro infraestructura'!T815</f>
        <v>46258</v>
      </c>
      <c r="K816" s="6">
        <f t="shared" ca="1" si="32"/>
        <v>46258</v>
      </c>
      <c r="L816" s="6"/>
    </row>
    <row r="817" spans="1:12" x14ac:dyDescent="0.2">
      <c r="A817" s="1" t="str">
        <f>+'Maestro infraestructura'!A816</f>
        <v>NEUBAU</v>
      </c>
      <c r="B817" s="1" t="str">
        <f>+'Maestro infraestructura'!B816</f>
        <v>1° Piso</v>
      </c>
      <c r="C817" s="1" t="str">
        <f>+'Maestro infraestructura'!C816</f>
        <v>1° Piso</v>
      </c>
      <c r="D817" s="1" t="str">
        <f>+'Maestro infraestructura'!F816</f>
        <v>Baño alumnos varones</v>
      </c>
      <c r="E817" s="25" t="str">
        <f ca="1">+'Maestro infraestructura'!K816</f>
        <v>Activo</v>
      </c>
      <c r="F817" s="1" t="str">
        <f ca="1">+'Maestro infraestructura'!V816</f>
        <v>VENCIDO</v>
      </c>
      <c r="G817" s="1" t="str">
        <f>+'Maestro infraestructura'!X816</f>
        <v>LEGAL</v>
      </c>
      <c r="H817" s="1">
        <f>+'Maestro infraestructura'!Y816</f>
        <v>2</v>
      </c>
      <c r="I817" s="1"/>
      <c r="J817" s="6">
        <f>+'Maestro infraestructura'!T816</f>
        <v>46258</v>
      </c>
      <c r="K817" s="6">
        <f t="shared" ca="1" si="32"/>
        <v>46258</v>
      </c>
      <c r="L817" s="6"/>
    </row>
    <row r="818" spans="1:12" x14ac:dyDescent="0.2">
      <c r="A818" s="1" t="str">
        <f>+'Maestro infraestructura'!A817</f>
        <v>NEUBAU</v>
      </c>
      <c r="B818" s="1" t="str">
        <f>+'Maestro infraestructura'!B817</f>
        <v>1° Piso</v>
      </c>
      <c r="C818" s="1" t="str">
        <f>+'Maestro infraestructura'!C817</f>
        <v>1° Piso</v>
      </c>
      <c r="D818" s="1" t="str">
        <f>+'Maestro infraestructura'!F817</f>
        <v>Baño alumnos mujeres</v>
      </c>
      <c r="E818" s="25" t="str">
        <f ca="1">+'Maestro infraestructura'!K817</f>
        <v>Activo</v>
      </c>
      <c r="F818" s="1" t="str">
        <f ca="1">+'Maestro infraestructura'!V817</f>
        <v>VENCIDO</v>
      </c>
      <c r="G818" s="1" t="str">
        <f>+'Maestro infraestructura'!X817</f>
        <v>LEGAL</v>
      </c>
      <c r="H818" s="1">
        <f>+'Maestro infraestructura'!Y817</f>
        <v>2</v>
      </c>
      <c r="I818" s="1"/>
      <c r="J818" s="6">
        <f>+'Maestro infraestructura'!T817</f>
        <v>46258</v>
      </c>
      <c r="K818" s="6">
        <f t="shared" ca="1" si="32"/>
        <v>46258</v>
      </c>
      <c r="L818" s="6"/>
    </row>
    <row r="819" spans="1:12" x14ac:dyDescent="0.2">
      <c r="A819" s="1" t="str">
        <f>+'Maestro infraestructura'!A818</f>
        <v>NEUBAU</v>
      </c>
      <c r="B819" s="1" t="str">
        <f>+'Maestro infraestructura'!B818</f>
        <v>1° Piso</v>
      </c>
      <c r="C819" s="1" t="str">
        <f>+'Maestro infraestructura'!C818</f>
        <v>1° Piso</v>
      </c>
      <c r="D819" s="1" t="str">
        <f>+'Maestro infraestructura'!F818</f>
        <v>Camarín funcionario AAEE</v>
      </c>
      <c r="E819" s="25" t="str">
        <f ca="1">+'Maestro infraestructura'!K818</f>
        <v>Activo</v>
      </c>
      <c r="F819" s="1" t="str">
        <f ca="1">+'Maestro infraestructura'!V818</f>
        <v>VENCIDO</v>
      </c>
      <c r="G819" s="1" t="str">
        <f>+'Maestro infraestructura'!X818</f>
        <v>LEGAL</v>
      </c>
      <c r="H819" s="1">
        <f>+'Maestro infraestructura'!Y818</f>
        <v>2</v>
      </c>
      <c r="I819" s="1"/>
      <c r="J819" s="6">
        <f>+'Maestro infraestructura'!T818</f>
        <v>46258</v>
      </c>
      <c r="K819" s="6">
        <f t="shared" ca="1" si="32"/>
        <v>46258</v>
      </c>
      <c r="L819" s="6"/>
    </row>
    <row r="820" spans="1:12" x14ac:dyDescent="0.2">
      <c r="A820" s="1" t="str">
        <f>+'Maestro infraestructura'!A819</f>
        <v>NEUBAU</v>
      </c>
      <c r="B820" s="1" t="str">
        <f>+'Maestro infraestructura'!B819</f>
        <v>1° Piso</v>
      </c>
      <c r="C820" s="1" t="str">
        <f>+'Maestro infraestructura'!C819</f>
        <v>1° Piso</v>
      </c>
      <c r="D820" s="1" t="str">
        <f>+'Maestro infraestructura'!F819</f>
        <v xml:space="preserve">Pintura de paredes interior </v>
      </c>
      <c r="E820" s="25" t="str">
        <f ca="1">+'Maestro infraestructura'!K819</f>
        <v>Activo</v>
      </c>
      <c r="F820" s="1" t="str">
        <f ca="1">+'Maestro infraestructura'!V819</f>
        <v>AL DÍA</v>
      </c>
      <c r="G820" s="1" t="str">
        <f>+'Maestro infraestructura'!X819</f>
        <v>GENERAL</v>
      </c>
      <c r="H820" s="1">
        <f>+'Maestro infraestructura'!Y819</f>
        <v>3</v>
      </c>
      <c r="I820" s="1"/>
      <c r="J820" s="6">
        <f>+'Maestro infraestructura'!T819</f>
        <v>47293</v>
      </c>
      <c r="K820" s="6">
        <f t="shared" ca="1" si="32"/>
        <v>47293</v>
      </c>
      <c r="L820" s="6"/>
    </row>
    <row r="821" spans="1:12" x14ac:dyDescent="0.2">
      <c r="A821" s="1" t="str">
        <f>+'Maestro infraestructura'!A820</f>
        <v>NEUBAU</v>
      </c>
      <c r="B821" s="1" t="str">
        <f>+'Maestro infraestructura'!B820</f>
        <v>1° Piso</v>
      </c>
      <c r="C821" s="1" t="str">
        <f>+'Maestro infraestructura'!C820</f>
        <v>1° Piso</v>
      </c>
      <c r="D821" s="1" t="str">
        <f>+'Maestro infraestructura'!F820</f>
        <v>Pintura fachadas</v>
      </c>
      <c r="E821" s="25" t="str">
        <f ca="1">+'Maestro infraestructura'!K820</f>
        <v>Activo</v>
      </c>
      <c r="F821" s="1" t="str">
        <f ca="1">+'Maestro infraestructura'!V820</f>
        <v>AL DÍA</v>
      </c>
      <c r="G821" s="1" t="str">
        <f>+'Maestro infraestructura'!X820</f>
        <v>GENERAL</v>
      </c>
      <c r="H821" s="1">
        <f>+'Maestro infraestructura'!Y820</f>
        <v>1</v>
      </c>
      <c r="I821" s="1"/>
      <c r="J821" s="6">
        <f>+'Maestro infraestructura'!T820</f>
        <v>48023</v>
      </c>
      <c r="K821" s="6">
        <f t="shared" ca="1" si="32"/>
        <v>48023</v>
      </c>
      <c r="L821" s="6"/>
    </row>
    <row r="822" spans="1:12" x14ac:dyDescent="0.2">
      <c r="A822" s="1" t="str">
        <f>+'Maestro infraestructura'!A821</f>
        <v>NEUBAU</v>
      </c>
      <c r="B822" s="1" t="str">
        <f>+'Maestro infraestructura'!B821</f>
        <v>1° Piso</v>
      </c>
      <c r="C822" s="1" t="str">
        <f>+'Maestro infraestructura'!C821</f>
        <v xml:space="preserve">Edificio </v>
      </c>
      <c r="D822" s="1" t="str">
        <f>+'Maestro infraestructura'!F821</f>
        <v>Techumbre Neubau</v>
      </c>
      <c r="E822" s="25" t="str">
        <f ca="1">+'Maestro infraestructura'!K821</f>
        <v>Activo</v>
      </c>
      <c r="F822" s="1" t="str">
        <f ca="1">+'Maestro infraestructura'!V821</f>
        <v>AL DÍA</v>
      </c>
      <c r="G822" s="1" t="str">
        <f>+'Maestro infraestructura'!X821</f>
        <v>SEGURIDAD</v>
      </c>
      <c r="H822" s="1">
        <f>+'Maestro infraestructura'!Y821</f>
        <v>1</v>
      </c>
      <c r="I822" s="1"/>
      <c r="J822" s="6">
        <f>+'Maestro infraestructura'!T821</f>
        <v>47475.5</v>
      </c>
      <c r="K822" s="6">
        <f t="shared" ca="1" si="32"/>
        <v>47475.5</v>
      </c>
      <c r="L822" s="6"/>
    </row>
    <row r="823" spans="1:12" x14ac:dyDescent="0.2">
      <c r="A823" s="1" t="str">
        <f>+'Maestro infraestructura'!A822</f>
        <v>NEUBAU</v>
      </c>
      <c r="B823" s="1" t="str">
        <f>+'Maestro infraestructura'!B822</f>
        <v>2° Piso</v>
      </c>
      <c r="C823" s="1" t="str">
        <f>+'Maestro infraestructura'!C822</f>
        <v>Salas de Clases</v>
      </c>
      <c r="D823" s="1" t="str">
        <f>+'Maestro infraestructura'!F822</f>
        <v>Radiadores</v>
      </c>
      <c r="E823" s="25" t="str">
        <f ca="1">+'Maestro infraestructura'!K822</f>
        <v>Activo</v>
      </c>
      <c r="F823" s="1" t="str">
        <f ca="1">+'Maestro infraestructura'!V822</f>
        <v>AL DÍA</v>
      </c>
      <c r="G823" s="1" t="str">
        <f>+'Maestro infraestructura'!X822</f>
        <v>GENERAL</v>
      </c>
      <c r="H823" s="1">
        <f>+'Maestro infraestructura'!Y822</f>
        <v>1</v>
      </c>
      <c r="I823" s="1"/>
      <c r="J823" s="6">
        <f>+'Maestro infraestructura'!T822</f>
        <v>46563</v>
      </c>
      <c r="K823" s="6">
        <f t="shared" ca="1" si="32"/>
        <v>46563</v>
      </c>
      <c r="L823" s="6"/>
    </row>
    <row r="824" spans="1:12" x14ac:dyDescent="0.2">
      <c r="A824" s="1" t="str">
        <f>+'Maestro infraestructura'!A823</f>
        <v>NEUBAU</v>
      </c>
      <c r="B824" s="1" t="str">
        <f>+'Maestro infraestructura'!B823</f>
        <v>2° Piso</v>
      </c>
      <c r="C824" s="1" t="str">
        <f>+'Maestro infraestructura'!C823</f>
        <v>Patio principal</v>
      </c>
      <c r="D824" s="1" t="str">
        <f>+'Maestro infraestructura'!F823</f>
        <v>Pasillo exterior metálico</v>
      </c>
      <c r="E824" s="25" t="str">
        <f ca="1">+'Maestro infraestructura'!K823</f>
        <v>Activo</v>
      </c>
      <c r="F824" s="1" t="str">
        <f ca="1">+'Maestro infraestructura'!V823</f>
        <v>AL DÍA</v>
      </c>
      <c r="G824" s="1" t="str">
        <f>+'Maestro infraestructura'!X823</f>
        <v>SEGURIDAD</v>
      </c>
      <c r="H824" s="1">
        <f>+'Maestro infraestructura'!Y823</f>
        <v>2</v>
      </c>
      <c r="I824" s="1"/>
      <c r="J824" s="6">
        <f>+'Maestro infraestructura'!T823</f>
        <v>46624.5</v>
      </c>
      <c r="K824" s="6">
        <f t="shared" ca="1" si="32"/>
        <v>46624.5</v>
      </c>
      <c r="L824" s="6"/>
    </row>
    <row r="825" spans="1:12" x14ac:dyDescent="0.2">
      <c r="A825" s="1" t="str">
        <f>+'Maestro infraestructura'!A824</f>
        <v>NEUBAU</v>
      </c>
      <c r="B825" s="1" t="str">
        <f>+'Maestro infraestructura'!B824</f>
        <v>2° Piso</v>
      </c>
      <c r="C825" s="1" t="str">
        <f>+'Maestro infraestructura'!C824</f>
        <v>1° Piso</v>
      </c>
      <c r="D825" s="1" t="str">
        <f>+'Maestro infraestructura'!F824</f>
        <v>Baño discapacitado</v>
      </c>
      <c r="E825" s="25" t="str">
        <f ca="1">+'Maestro infraestructura'!K824</f>
        <v>Activo</v>
      </c>
      <c r="F825" s="1" t="str">
        <f ca="1">+'Maestro infraestructura'!V824</f>
        <v>VENCIDO</v>
      </c>
      <c r="G825" s="1" t="str">
        <f>+'Maestro infraestructura'!X824</f>
        <v>LEGAL</v>
      </c>
      <c r="H825" s="1">
        <f>+'Maestro infraestructura'!Y824</f>
        <v>1</v>
      </c>
      <c r="I825" s="1"/>
      <c r="J825" s="6">
        <f>+'Maestro infraestructura'!T824</f>
        <v>46258</v>
      </c>
      <c r="K825" s="6">
        <f t="shared" ca="1" si="32"/>
        <v>46258</v>
      </c>
      <c r="L825" s="6"/>
    </row>
    <row r="826" spans="1:12" x14ac:dyDescent="0.2">
      <c r="A826" s="1" t="str">
        <f>+'Maestro infraestructura'!A825</f>
        <v>NEUBAU</v>
      </c>
      <c r="B826" s="1" t="str">
        <f>+'Maestro infraestructura'!B825</f>
        <v>2° Piso</v>
      </c>
      <c r="C826" s="1" t="str">
        <f>+'Maestro infraestructura'!C825</f>
        <v>1° Piso</v>
      </c>
      <c r="D826" s="1" t="str">
        <f>+'Maestro infraestructura'!F825</f>
        <v>Baño alumnos varones</v>
      </c>
      <c r="E826" s="25" t="str">
        <f ca="1">+'Maestro infraestructura'!K825</f>
        <v>Activo</v>
      </c>
      <c r="F826" s="1" t="str">
        <f ca="1">+'Maestro infraestructura'!V825</f>
        <v>VENCIDO</v>
      </c>
      <c r="G826" s="1" t="str">
        <f>+'Maestro infraestructura'!X825</f>
        <v>LEGAL</v>
      </c>
      <c r="H826" s="1">
        <f>+'Maestro infraestructura'!Y825</f>
        <v>2</v>
      </c>
      <c r="I826" s="1"/>
      <c r="J826" s="6">
        <f>+'Maestro infraestructura'!T825</f>
        <v>46258</v>
      </c>
      <c r="K826" s="6">
        <f t="shared" ca="1" si="32"/>
        <v>46258</v>
      </c>
      <c r="L826" s="6"/>
    </row>
    <row r="827" spans="1:12" x14ac:dyDescent="0.2">
      <c r="A827" s="1" t="str">
        <f>+'Maestro infraestructura'!A826</f>
        <v>NEUBAU</v>
      </c>
      <c r="B827" s="1" t="str">
        <f>+'Maestro infraestructura'!B826</f>
        <v>2° Piso</v>
      </c>
      <c r="C827" s="1" t="str">
        <f>+'Maestro infraestructura'!C826</f>
        <v>1° Piso</v>
      </c>
      <c r="D827" s="1" t="str">
        <f>+'Maestro infraestructura'!F826</f>
        <v>Baño alumnos mujeres</v>
      </c>
      <c r="E827" s="25" t="str">
        <f ca="1">+'Maestro infraestructura'!K826</f>
        <v>Activo</v>
      </c>
      <c r="F827" s="1" t="str">
        <f ca="1">+'Maestro infraestructura'!V826</f>
        <v>VENCIDO</v>
      </c>
      <c r="G827" s="1" t="str">
        <f>+'Maestro infraestructura'!X826</f>
        <v>LEGAL</v>
      </c>
      <c r="H827" s="1">
        <f>+'Maestro infraestructura'!Y826</f>
        <v>2</v>
      </c>
      <c r="I827" s="1"/>
      <c r="J827" s="6">
        <f>+'Maestro infraestructura'!T826</f>
        <v>46258</v>
      </c>
      <c r="K827" s="6">
        <f t="shared" ca="1" si="32"/>
        <v>46258</v>
      </c>
      <c r="L827" s="6"/>
    </row>
    <row r="828" spans="1:12" x14ac:dyDescent="0.2">
      <c r="A828" s="1" t="str">
        <f>+'Maestro infraestructura'!A827</f>
        <v>NEUBAU</v>
      </c>
      <c r="B828" s="1" t="str">
        <f>+'Maestro infraestructura'!B827</f>
        <v>2° Piso</v>
      </c>
      <c r="C828" s="1" t="str">
        <f>+'Maestro infraestructura'!C827</f>
        <v>1° Piso</v>
      </c>
      <c r="D828" s="1" t="str">
        <f>+'Maestro infraestructura'!F827</f>
        <v xml:space="preserve">Pintura de paredes interior </v>
      </c>
      <c r="E828" s="25" t="str">
        <f ca="1">+'Maestro infraestructura'!K827</f>
        <v>Activo</v>
      </c>
      <c r="F828" s="1" t="str">
        <f ca="1">+'Maestro infraestructura'!V827</f>
        <v>AL DÍA</v>
      </c>
      <c r="G828" s="1" t="str">
        <f>+'Maestro infraestructura'!X827</f>
        <v>GENERAL</v>
      </c>
      <c r="H828" s="1">
        <f>+'Maestro infraestructura'!Y827</f>
        <v>3</v>
      </c>
      <c r="I828" s="1"/>
      <c r="J828" s="6">
        <f>+'Maestro infraestructura'!T827</f>
        <v>47293</v>
      </c>
      <c r="K828" s="6">
        <f t="shared" ca="1" si="32"/>
        <v>47293</v>
      </c>
      <c r="L828" s="6"/>
    </row>
    <row r="829" spans="1:12" x14ac:dyDescent="0.2">
      <c r="A829" s="1" t="str">
        <f>+'Maestro infraestructura'!A828</f>
        <v>NEUBAU</v>
      </c>
      <c r="B829" s="1" t="str">
        <f>+'Maestro infraestructura'!B828</f>
        <v>2° Piso</v>
      </c>
      <c r="C829" s="1" t="str">
        <f>+'Maestro infraestructura'!C828</f>
        <v>1° Piso</v>
      </c>
      <c r="D829" s="1" t="str">
        <f>+'Maestro infraestructura'!F828</f>
        <v>Siding</v>
      </c>
      <c r="E829" s="25" t="str">
        <f ca="1">+'Maestro infraestructura'!K828</f>
        <v>Activo</v>
      </c>
      <c r="F829" s="1" t="str">
        <f ca="1">+'Maestro infraestructura'!V828</f>
        <v>AL DÍA</v>
      </c>
      <c r="G829" s="1" t="str">
        <f>+'Maestro infraestructura'!X828</f>
        <v>GENERAL</v>
      </c>
      <c r="H829" s="1">
        <f>+'Maestro infraestructura'!Y828</f>
        <v>2</v>
      </c>
      <c r="I829" s="1"/>
      <c r="J829" s="6">
        <f>+'Maestro infraestructura'!T828</f>
        <v>46563</v>
      </c>
      <c r="K829" s="6">
        <f t="shared" ca="1" si="32"/>
        <v>46563</v>
      </c>
      <c r="L829" s="6"/>
    </row>
    <row r="830" spans="1:12" x14ac:dyDescent="0.2">
      <c r="A830" s="1" t="str">
        <f>+'Maestro infraestructura'!A829</f>
        <v>NEUBAU</v>
      </c>
      <c r="B830" s="1" t="str">
        <f>+'Maestro infraestructura'!B829</f>
        <v>1° Piso</v>
      </c>
      <c r="C830" s="1" t="str">
        <f>+'Maestro infraestructura'!C829</f>
        <v>S01</v>
      </c>
      <c r="D830" s="1" t="str">
        <f>+'Maestro infraestructura'!F829</f>
        <v>Ventanas</v>
      </c>
      <c r="E830" s="25" t="str">
        <f ca="1">+'Maestro infraestructura'!K829</f>
        <v>Activo</v>
      </c>
      <c r="F830" s="1" t="str">
        <f ca="1">+'Maestro infraestructura'!V829</f>
        <v>AL DÍA</v>
      </c>
      <c r="G830" s="1" t="str">
        <f>+'Maestro infraestructura'!X829</f>
        <v>SEGURIDAD</v>
      </c>
      <c r="H830" s="1">
        <f>+'Maestro infraestructura'!Y829</f>
        <v>2</v>
      </c>
      <c r="I830" s="1"/>
      <c r="J830" s="6">
        <f>+'Maestro infraestructura'!T829</f>
        <v>46563</v>
      </c>
      <c r="K830" s="6">
        <f t="shared" ca="1" si="32"/>
        <v>46563</v>
      </c>
      <c r="L830" s="6"/>
    </row>
    <row r="831" spans="1:12" x14ac:dyDescent="0.2">
      <c r="A831" s="1" t="str">
        <f>+'Maestro infraestructura'!A830</f>
        <v>NEUBAU</v>
      </c>
      <c r="B831" s="1" t="str">
        <f>+'Maestro infraestructura'!B830</f>
        <v>1° Piso</v>
      </c>
      <c r="C831" s="1" t="str">
        <f>+'Maestro infraestructura'!C830</f>
        <v>S01</v>
      </c>
      <c r="D831" s="1" t="str">
        <f>+'Maestro infraestructura'!F830</f>
        <v>Piso</v>
      </c>
      <c r="E831" s="25" t="str">
        <f ca="1">+'Maestro infraestructura'!K830</f>
        <v>Activo</v>
      </c>
      <c r="F831" s="1" t="str">
        <f ca="1">+'Maestro infraestructura'!V830</f>
        <v>AL DÍA</v>
      </c>
      <c r="G831" s="1" t="str">
        <f>+'Maestro infraestructura'!X830</f>
        <v>GENERAL</v>
      </c>
      <c r="H831" s="1">
        <f>+'Maestro infraestructura'!Y830</f>
        <v>2</v>
      </c>
      <c r="I831" s="1"/>
      <c r="J831" s="6">
        <f>+'Maestro infraestructura'!T830</f>
        <v>46563</v>
      </c>
      <c r="K831" s="6">
        <f t="shared" ca="1" si="32"/>
        <v>46563</v>
      </c>
      <c r="L831" s="6"/>
    </row>
    <row r="832" spans="1:12" x14ac:dyDescent="0.2">
      <c r="A832" s="1" t="str">
        <f>+'Maestro infraestructura'!A831</f>
        <v>NEUBAU</v>
      </c>
      <c r="B832" s="1" t="str">
        <f>+'Maestro infraestructura'!B831</f>
        <v>1° Piso</v>
      </c>
      <c r="C832" s="1" t="str">
        <f>+'Maestro infraestructura'!C831</f>
        <v>S01</v>
      </c>
      <c r="D832" s="1" t="str">
        <f>+'Maestro infraestructura'!F831</f>
        <v>Enchufes</v>
      </c>
      <c r="E832" s="25" t="str">
        <f ca="1">+'Maestro infraestructura'!K831</f>
        <v>Activo</v>
      </c>
      <c r="F832" s="1" t="str">
        <f ca="1">+'Maestro infraestructura'!V831</f>
        <v>AL DÍA</v>
      </c>
      <c r="G832" s="1" t="str">
        <f>+'Maestro infraestructura'!X831</f>
        <v>GENERAL</v>
      </c>
      <c r="H832" s="1">
        <f>+'Maestro infraestructura'!Y831</f>
        <v>2</v>
      </c>
      <c r="I832" s="1"/>
      <c r="J832" s="6">
        <f>+'Maestro infraestructura'!T831</f>
        <v>46563</v>
      </c>
      <c r="K832" s="6">
        <f t="shared" ca="1" si="32"/>
        <v>46563</v>
      </c>
      <c r="L832" s="6"/>
    </row>
    <row r="833" spans="1:12" x14ac:dyDescent="0.2">
      <c r="A833" s="1" t="str">
        <f>+'Maestro infraestructura'!A832</f>
        <v>NEUBAU</v>
      </c>
      <c r="B833" s="1" t="str">
        <f>+'Maestro infraestructura'!B832</f>
        <v>1° Piso</v>
      </c>
      <c r="C833" s="1" t="str">
        <f>+'Maestro infraestructura'!C832</f>
        <v>S01</v>
      </c>
      <c r="D833" s="1" t="str">
        <f>+'Maestro infraestructura'!F832</f>
        <v>TV</v>
      </c>
      <c r="E833" s="25" t="str">
        <f ca="1">+'Maestro infraestructura'!K832</f>
        <v>Activo</v>
      </c>
      <c r="F833" s="1" t="str">
        <f ca="1">+'Maestro infraestructura'!V832</f>
        <v>AL DÍA</v>
      </c>
      <c r="G833" s="1" t="str">
        <f>+'Maestro infraestructura'!X832</f>
        <v>OPERACIÓN</v>
      </c>
      <c r="H833" s="1">
        <f>+'Maestro infraestructura'!Y832</f>
        <v>2</v>
      </c>
      <c r="I833" s="1"/>
      <c r="J833" s="6">
        <f>+'Maestro infraestructura'!T832</f>
        <v>46563</v>
      </c>
      <c r="K833" s="6">
        <f t="shared" ca="1" si="32"/>
        <v>46563</v>
      </c>
      <c r="L833" s="6"/>
    </row>
    <row r="834" spans="1:12" x14ac:dyDescent="0.2">
      <c r="A834" s="1" t="str">
        <f>+'Maestro infraestructura'!A833</f>
        <v>NEUBAU</v>
      </c>
      <c r="B834" s="1" t="str">
        <f>+'Maestro infraestructura'!B833</f>
        <v>1° Piso</v>
      </c>
      <c r="C834" s="1" t="str">
        <f>+'Maestro infraestructura'!C833</f>
        <v>S01</v>
      </c>
      <c r="D834" s="1" t="str">
        <f>+'Maestro infraestructura'!F833</f>
        <v>Pizarra</v>
      </c>
      <c r="E834" s="25" t="str">
        <f ca="1">+'Maestro infraestructura'!K833</f>
        <v>Activo</v>
      </c>
      <c r="F834" s="1" t="str">
        <f ca="1">+'Maestro infraestructura'!V833</f>
        <v>AL DÍA</v>
      </c>
      <c r="G834" s="1" t="str">
        <f>+'Maestro infraestructura'!X833</f>
        <v>OPERACIÓN</v>
      </c>
      <c r="H834" s="1">
        <f>+'Maestro infraestructura'!Y833</f>
        <v>2</v>
      </c>
      <c r="I834" s="1"/>
      <c r="J834" s="6">
        <f>+'Maestro infraestructura'!T833</f>
        <v>46563</v>
      </c>
      <c r="K834" s="6">
        <f t="shared" ca="1" si="32"/>
        <v>46563</v>
      </c>
      <c r="L834" s="6"/>
    </row>
    <row r="835" spans="1:12" x14ac:dyDescent="0.2">
      <c r="A835" s="1" t="str">
        <f>+'Maestro infraestructura'!A834</f>
        <v>NEUBAU</v>
      </c>
      <c r="B835" s="1" t="str">
        <f>+'Maestro infraestructura'!B834</f>
        <v>1° Piso</v>
      </c>
      <c r="C835" s="1" t="str">
        <f>+'Maestro infraestructura'!C834</f>
        <v>S01</v>
      </c>
      <c r="D835" s="1" t="str">
        <f>+'Maestro infraestructura'!F834</f>
        <v>Puertas</v>
      </c>
      <c r="E835" s="25" t="str">
        <f ca="1">+'Maestro infraestructura'!K834</f>
        <v>Activo</v>
      </c>
      <c r="F835" s="1" t="str">
        <f ca="1">+'Maestro infraestructura'!V834</f>
        <v>AL DÍA</v>
      </c>
      <c r="G835" s="1" t="str">
        <f>+'Maestro infraestructura'!X834</f>
        <v>GENERAL</v>
      </c>
      <c r="H835" s="1">
        <f>+'Maestro infraestructura'!Y834</f>
        <v>2</v>
      </c>
      <c r="I835" s="1"/>
      <c r="J835" s="6">
        <f>+'Maestro infraestructura'!T834</f>
        <v>46563</v>
      </c>
      <c r="K835" s="6">
        <f t="shared" ca="1" si="32"/>
        <v>46563</v>
      </c>
      <c r="L835" s="6"/>
    </row>
    <row r="836" spans="1:12" x14ac:dyDescent="0.2">
      <c r="A836" s="1" t="str">
        <f>+'Maestro infraestructura'!A835</f>
        <v>NEUBAU</v>
      </c>
      <c r="B836" s="1" t="str">
        <f>+'Maestro infraestructura'!B835</f>
        <v>1° Piso</v>
      </c>
      <c r="C836" s="1" t="str">
        <f>+'Maestro infraestructura'!C835</f>
        <v>S02</v>
      </c>
      <c r="D836" s="1" t="str">
        <f>+'Maestro infraestructura'!F835</f>
        <v>Ventanas</v>
      </c>
      <c r="E836" s="25" t="str">
        <f ca="1">+'Maestro infraestructura'!K835</f>
        <v>Activo</v>
      </c>
      <c r="F836" s="1" t="str">
        <f ca="1">+'Maestro infraestructura'!V835</f>
        <v>AL DÍA</v>
      </c>
      <c r="G836" s="1" t="str">
        <f>+'Maestro infraestructura'!X835</f>
        <v>SEGURIDAD</v>
      </c>
      <c r="H836" s="1">
        <f>+'Maestro infraestructura'!Y835</f>
        <v>2</v>
      </c>
      <c r="I836" s="1"/>
      <c r="J836" s="6">
        <f>+'Maestro infraestructura'!T835</f>
        <v>46563</v>
      </c>
      <c r="K836" s="6">
        <f t="shared" ref="K836:K899" ca="1" si="33">IF(E836="Cambiar o Inspección externa",1/1/2027,IF(E836="cambiar",1/1/2027,J836))</f>
        <v>46563</v>
      </c>
      <c r="L836" s="6"/>
    </row>
    <row r="837" spans="1:12" x14ac:dyDescent="0.2">
      <c r="A837" s="1" t="str">
        <f>+'Maestro infraestructura'!A836</f>
        <v>NEUBAU</v>
      </c>
      <c r="B837" s="1" t="str">
        <f>+'Maestro infraestructura'!B836</f>
        <v>1° Piso</v>
      </c>
      <c r="C837" s="1" t="str">
        <f>+'Maestro infraestructura'!C836</f>
        <v>S02</v>
      </c>
      <c r="D837" s="1" t="str">
        <f>+'Maestro infraestructura'!F836</f>
        <v>Piso</v>
      </c>
      <c r="E837" s="25" t="str">
        <f ca="1">+'Maestro infraestructura'!K836</f>
        <v>Activo</v>
      </c>
      <c r="F837" s="1" t="str">
        <f ca="1">+'Maestro infraestructura'!V836</f>
        <v>AL DÍA</v>
      </c>
      <c r="G837" s="1" t="str">
        <f>+'Maestro infraestructura'!X836</f>
        <v>GENERAL</v>
      </c>
      <c r="H837" s="1">
        <f>+'Maestro infraestructura'!Y836</f>
        <v>2</v>
      </c>
      <c r="I837" s="1"/>
      <c r="J837" s="6">
        <f>+'Maestro infraestructura'!T836</f>
        <v>46563</v>
      </c>
      <c r="K837" s="6">
        <f t="shared" ca="1" si="33"/>
        <v>46563</v>
      </c>
      <c r="L837" s="6"/>
    </row>
    <row r="838" spans="1:12" x14ac:dyDescent="0.2">
      <c r="A838" s="1" t="str">
        <f>+'Maestro infraestructura'!A837</f>
        <v>NEUBAU</v>
      </c>
      <c r="B838" s="1" t="str">
        <f>+'Maestro infraestructura'!B837</f>
        <v>1° Piso</v>
      </c>
      <c r="C838" s="1" t="str">
        <f>+'Maestro infraestructura'!C837</f>
        <v>S02</v>
      </c>
      <c r="D838" s="1" t="str">
        <f>+'Maestro infraestructura'!F837</f>
        <v>Enchufes</v>
      </c>
      <c r="E838" s="25" t="str">
        <f ca="1">+'Maestro infraestructura'!K837</f>
        <v>Activo</v>
      </c>
      <c r="F838" s="1" t="str">
        <f ca="1">+'Maestro infraestructura'!V837</f>
        <v>AL DÍA</v>
      </c>
      <c r="G838" s="1" t="str">
        <f>+'Maestro infraestructura'!X837</f>
        <v>GENERAL</v>
      </c>
      <c r="H838" s="1">
        <f>+'Maestro infraestructura'!Y837</f>
        <v>2</v>
      </c>
      <c r="I838" s="1"/>
      <c r="J838" s="6">
        <f>+'Maestro infraestructura'!T837</f>
        <v>46563</v>
      </c>
      <c r="K838" s="6">
        <f t="shared" ca="1" si="33"/>
        <v>46563</v>
      </c>
      <c r="L838" s="6"/>
    </row>
    <row r="839" spans="1:12" x14ac:dyDescent="0.2">
      <c r="A839" s="1" t="str">
        <f>+'Maestro infraestructura'!A838</f>
        <v>NEUBAU</v>
      </c>
      <c r="B839" s="1" t="str">
        <f>+'Maestro infraestructura'!B838</f>
        <v>1° Piso</v>
      </c>
      <c r="C839" s="1" t="str">
        <f>+'Maestro infraestructura'!C838</f>
        <v>S02</v>
      </c>
      <c r="D839" s="1" t="str">
        <f>+'Maestro infraestructura'!F838</f>
        <v>TV</v>
      </c>
      <c r="E839" s="25" t="str">
        <f ca="1">+'Maestro infraestructura'!K838</f>
        <v>Activo</v>
      </c>
      <c r="F839" s="1" t="str">
        <f ca="1">+'Maestro infraestructura'!V838</f>
        <v>AL DÍA</v>
      </c>
      <c r="G839" s="1" t="str">
        <f>+'Maestro infraestructura'!X838</f>
        <v>OPERACIÓN</v>
      </c>
      <c r="H839" s="1">
        <f>+'Maestro infraestructura'!Y838</f>
        <v>2</v>
      </c>
      <c r="I839" s="1"/>
      <c r="J839" s="6">
        <f>+'Maestro infraestructura'!T838</f>
        <v>46563</v>
      </c>
      <c r="K839" s="6">
        <f t="shared" ca="1" si="33"/>
        <v>46563</v>
      </c>
      <c r="L839" s="6"/>
    </row>
    <row r="840" spans="1:12" x14ac:dyDescent="0.2">
      <c r="A840" s="1" t="str">
        <f>+'Maestro infraestructura'!A839</f>
        <v>NEUBAU</v>
      </c>
      <c r="B840" s="1" t="str">
        <f>+'Maestro infraestructura'!B839</f>
        <v>1° Piso</v>
      </c>
      <c r="C840" s="1" t="str">
        <f>+'Maestro infraestructura'!C839</f>
        <v>S02</v>
      </c>
      <c r="D840" s="1" t="str">
        <f>+'Maestro infraestructura'!F839</f>
        <v>Pizarra</v>
      </c>
      <c r="E840" s="25" t="str">
        <f ca="1">+'Maestro infraestructura'!K839</f>
        <v>Activo</v>
      </c>
      <c r="F840" s="1" t="str">
        <f ca="1">+'Maestro infraestructura'!V839</f>
        <v>AL DÍA</v>
      </c>
      <c r="G840" s="1" t="str">
        <f>+'Maestro infraestructura'!X839</f>
        <v>OPERACIÓN</v>
      </c>
      <c r="H840" s="1">
        <f>+'Maestro infraestructura'!Y839</f>
        <v>2</v>
      </c>
      <c r="I840" s="1"/>
      <c r="J840" s="6">
        <f>+'Maestro infraestructura'!T839</f>
        <v>46563</v>
      </c>
      <c r="K840" s="6">
        <f t="shared" ca="1" si="33"/>
        <v>46563</v>
      </c>
      <c r="L840" s="6"/>
    </row>
    <row r="841" spans="1:12" x14ac:dyDescent="0.2">
      <c r="A841" s="1" t="str">
        <f>+'Maestro infraestructura'!A840</f>
        <v>NEUBAU</v>
      </c>
      <c r="B841" s="1" t="str">
        <f>+'Maestro infraestructura'!B840</f>
        <v>1° Piso</v>
      </c>
      <c r="C841" s="1" t="str">
        <f>+'Maestro infraestructura'!C840</f>
        <v>S02</v>
      </c>
      <c r="D841" s="1" t="str">
        <f>+'Maestro infraestructura'!F840</f>
        <v>Puertas</v>
      </c>
      <c r="E841" s="25" t="str">
        <f ca="1">+'Maestro infraestructura'!K840</f>
        <v>Activo</v>
      </c>
      <c r="F841" s="1" t="str">
        <f ca="1">+'Maestro infraestructura'!V840</f>
        <v>AL DÍA</v>
      </c>
      <c r="G841" s="1" t="str">
        <f>+'Maestro infraestructura'!X840</f>
        <v>GENERAL</v>
      </c>
      <c r="H841" s="1">
        <f>+'Maestro infraestructura'!Y840</f>
        <v>2</v>
      </c>
      <c r="I841" s="1"/>
      <c r="J841" s="6">
        <f>+'Maestro infraestructura'!T840</f>
        <v>46563</v>
      </c>
      <c r="K841" s="6">
        <f t="shared" ca="1" si="33"/>
        <v>46563</v>
      </c>
      <c r="L841" s="6"/>
    </row>
    <row r="842" spans="1:12" x14ac:dyDescent="0.2">
      <c r="A842" s="1" t="str">
        <f>+'Maestro infraestructura'!A841</f>
        <v>NEUBAU</v>
      </c>
      <c r="B842" s="1" t="str">
        <f>+'Maestro infraestructura'!B841</f>
        <v>1° Piso</v>
      </c>
      <c r="C842" s="1" t="str">
        <f>+'Maestro infraestructura'!C841</f>
        <v>S03</v>
      </c>
      <c r="D842" s="1" t="str">
        <f>+'Maestro infraestructura'!F841</f>
        <v>Ventanas</v>
      </c>
      <c r="E842" s="25" t="str">
        <f ca="1">+'Maestro infraestructura'!K841</f>
        <v>Activo</v>
      </c>
      <c r="F842" s="1" t="str">
        <f ca="1">+'Maestro infraestructura'!V841</f>
        <v>AL DÍA</v>
      </c>
      <c r="G842" s="1" t="str">
        <f>+'Maestro infraestructura'!X841</f>
        <v>SEGURIDAD</v>
      </c>
      <c r="H842" s="1">
        <f>+'Maestro infraestructura'!Y841</f>
        <v>2</v>
      </c>
      <c r="I842" s="1"/>
      <c r="J842" s="6">
        <f>+'Maestro infraestructura'!T841</f>
        <v>46563</v>
      </c>
      <c r="K842" s="6">
        <f t="shared" ca="1" si="33"/>
        <v>46563</v>
      </c>
      <c r="L842" s="6"/>
    </row>
    <row r="843" spans="1:12" x14ac:dyDescent="0.2">
      <c r="A843" s="1" t="str">
        <f>+'Maestro infraestructura'!A842</f>
        <v>NEUBAU</v>
      </c>
      <c r="B843" s="1" t="str">
        <f>+'Maestro infraestructura'!B842</f>
        <v>1° Piso</v>
      </c>
      <c r="C843" s="1" t="str">
        <f>+'Maestro infraestructura'!C842</f>
        <v>S03</v>
      </c>
      <c r="D843" s="1" t="str">
        <f>+'Maestro infraestructura'!F842</f>
        <v>Piso</v>
      </c>
      <c r="E843" s="25" t="str">
        <f ca="1">+'Maestro infraestructura'!K842</f>
        <v>Activo</v>
      </c>
      <c r="F843" s="1" t="str">
        <f ca="1">+'Maestro infraestructura'!V842</f>
        <v>AL DÍA</v>
      </c>
      <c r="G843" s="1" t="str">
        <f>+'Maestro infraestructura'!X842</f>
        <v>GENERAL</v>
      </c>
      <c r="H843" s="1">
        <f>+'Maestro infraestructura'!Y842</f>
        <v>2</v>
      </c>
      <c r="I843" s="1"/>
      <c r="J843" s="6">
        <f>+'Maestro infraestructura'!T842</f>
        <v>46563</v>
      </c>
      <c r="K843" s="6">
        <f t="shared" ca="1" si="33"/>
        <v>46563</v>
      </c>
      <c r="L843" s="6"/>
    </row>
    <row r="844" spans="1:12" x14ac:dyDescent="0.2">
      <c r="A844" s="1" t="str">
        <f>+'Maestro infraestructura'!A843</f>
        <v>NEUBAU</v>
      </c>
      <c r="B844" s="1" t="str">
        <f>+'Maestro infraestructura'!B843</f>
        <v>1° Piso</v>
      </c>
      <c r="C844" s="1" t="str">
        <f>+'Maestro infraestructura'!C843</f>
        <v>S03</v>
      </c>
      <c r="D844" s="1" t="str">
        <f>+'Maestro infraestructura'!F843</f>
        <v>Enchufes</v>
      </c>
      <c r="E844" s="25" t="str">
        <f ca="1">+'Maestro infraestructura'!K843</f>
        <v>Activo</v>
      </c>
      <c r="F844" s="1" t="str">
        <f ca="1">+'Maestro infraestructura'!V843</f>
        <v>AL DÍA</v>
      </c>
      <c r="G844" s="1" t="str">
        <f>+'Maestro infraestructura'!X843</f>
        <v>GENERAL</v>
      </c>
      <c r="H844" s="1">
        <f>+'Maestro infraestructura'!Y843</f>
        <v>2</v>
      </c>
      <c r="I844" s="1"/>
      <c r="J844" s="6">
        <f>+'Maestro infraestructura'!T843</f>
        <v>46563</v>
      </c>
      <c r="K844" s="6">
        <f t="shared" ca="1" si="33"/>
        <v>46563</v>
      </c>
      <c r="L844" s="6"/>
    </row>
    <row r="845" spans="1:12" x14ac:dyDescent="0.2">
      <c r="A845" s="1" t="str">
        <f>+'Maestro infraestructura'!A844</f>
        <v>NEUBAU</v>
      </c>
      <c r="B845" s="1" t="str">
        <f>+'Maestro infraestructura'!B844</f>
        <v>1° Piso</v>
      </c>
      <c r="C845" s="1" t="str">
        <f>+'Maestro infraestructura'!C844</f>
        <v>S03</v>
      </c>
      <c r="D845" s="1" t="str">
        <f>+'Maestro infraestructura'!F844</f>
        <v>TV</v>
      </c>
      <c r="E845" s="25" t="str">
        <f ca="1">+'Maestro infraestructura'!K844</f>
        <v>Activo</v>
      </c>
      <c r="F845" s="1" t="str">
        <f ca="1">+'Maestro infraestructura'!V844</f>
        <v>AL DÍA</v>
      </c>
      <c r="G845" s="1" t="str">
        <f>+'Maestro infraestructura'!X844</f>
        <v>OPERACIÓN</v>
      </c>
      <c r="H845" s="1">
        <f>+'Maestro infraestructura'!Y844</f>
        <v>2</v>
      </c>
      <c r="I845" s="1"/>
      <c r="J845" s="6">
        <f>+'Maestro infraestructura'!T844</f>
        <v>46563</v>
      </c>
      <c r="K845" s="6">
        <f t="shared" ca="1" si="33"/>
        <v>46563</v>
      </c>
      <c r="L845" s="6"/>
    </row>
    <row r="846" spans="1:12" x14ac:dyDescent="0.2">
      <c r="A846" s="1" t="str">
        <f>+'Maestro infraestructura'!A845</f>
        <v>NEUBAU</v>
      </c>
      <c r="B846" s="1" t="str">
        <f>+'Maestro infraestructura'!B845</f>
        <v>1° Piso</v>
      </c>
      <c r="C846" s="1" t="str">
        <f>+'Maestro infraestructura'!C845</f>
        <v>S03</v>
      </c>
      <c r="D846" s="1" t="str">
        <f>+'Maestro infraestructura'!F845</f>
        <v>Pizarra</v>
      </c>
      <c r="E846" s="25" t="str">
        <f ca="1">+'Maestro infraestructura'!K845</f>
        <v>Activo</v>
      </c>
      <c r="F846" s="1" t="str">
        <f ca="1">+'Maestro infraestructura'!V845</f>
        <v>AL DÍA</v>
      </c>
      <c r="G846" s="1" t="str">
        <f>+'Maestro infraestructura'!X845</f>
        <v>OPERACIÓN</v>
      </c>
      <c r="H846" s="1">
        <f>+'Maestro infraestructura'!Y845</f>
        <v>2</v>
      </c>
      <c r="I846" s="1"/>
      <c r="J846" s="6">
        <f>+'Maestro infraestructura'!T845</f>
        <v>46563</v>
      </c>
      <c r="K846" s="6">
        <f t="shared" ca="1" si="33"/>
        <v>46563</v>
      </c>
      <c r="L846" s="6"/>
    </row>
    <row r="847" spans="1:12" x14ac:dyDescent="0.2">
      <c r="A847" s="1" t="str">
        <f>+'Maestro infraestructura'!A846</f>
        <v>NEUBAU</v>
      </c>
      <c r="B847" s="1" t="str">
        <f>+'Maestro infraestructura'!B846</f>
        <v>1° Piso</v>
      </c>
      <c r="C847" s="1" t="str">
        <f>+'Maestro infraestructura'!C846</f>
        <v>S03</v>
      </c>
      <c r="D847" s="1" t="str">
        <f>+'Maestro infraestructura'!F846</f>
        <v>Puertas</v>
      </c>
      <c r="E847" s="25" t="str">
        <f ca="1">+'Maestro infraestructura'!K846</f>
        <v>Activo</v>
      </c>
      <c r="F847" s="1" t="str">
        <f ca="1">+'Maestro infraestructura'!V846</f>
        <v>AL DÍA</v>
      </c>
      <c r="G847" s="1" t="str">
        <f>+'Maestro infraestructura'!X846</f>
        <v>GENERAL</v>
      </c>
      <c r="H847" s="1">
        <f>+'Maestro infraestructura'!Y846</f>
        <v>2</v>
      </c>
      <c r="I847" s="1"/>
      <c r="J847" s="6">
        <f>+'Maestro infraestructura'!T846</f>
        <v>46563</v>
      </c>
      <c r="K847" s="6">
        <f t="shared" ca="1" si="33"/>
        <v>46563</v>
      </c>
      <c r="L847" s="6"/>
    </row>
    <row r="848" spans="1:12" x14ac:dyDescent="0.2">
      <c r="A848" s="1" t="str">
        <f>+'Maestro infraestructura'!A847</f>
        <v>NEUBAU</v>
      </c>
      <c r="B848" s="1" t="str">
        <f>+'Maestro infraestructura'!B847</f>
        <v>1° Piso</v>
      </c>
      <c r="C848" s="1" t="str">
        <f>+'Maestro infraestructura'!C847</f>
        <v>S04</v>
      </c>
      <c r="D848" s="1" t="str">
        <f>+'Maestro infraestructura'!F847</f>
        <v>Ventanas</v>
      </c>
      <c r="E848" s="25" t="str">
        <f ca="1">+'Maestro infraestructura'!K847</f>
        <v>Activo</v>
      </c>
      <c r="F848" s="1" t="str">
        <f ca="1">+'Maestro infraestructura'!V847</f>
        <v>AL DÍA</v>
      </c>
      <c r="G848" s="1" t="str">
        <f>+'Maestro infraestructura'!X847</f>
        <v>SEGURIDAD</v>
      </c>
      <c r="H848" s="1">
        <f>+'Maestro infraestructura'!Y847</f>
        <v>2</v>
      </c>
      <c r="I848" s="1"/>
      <c r="J848" s="6">
        <f>+'Maestro infraestructura'!T847</f>
        <v>46563</v>
      </c>
      <c r="K848" s="6">
        <f t="shared" ca="1" si="33"/>
        <v>46563</v>
      </c>
      <c r="L848" s="6"/>
    </row>
    <row r="849" spans="1:12" x14ac:dyDescent="0.2">
      <c r="A849" s="1" t="str">
        <f>+'Maestro infraestructura'!A848</f>
        <v>NEUBAU</v>
      </c>
      <c r="B849" s="1" t="str">
        <f>+'Maestro infraestructura'!B848</f>
        <v>1° Piso</v>
      </c>
      <c r="C849" s="1" t="str">
        <f>+'Maestro infraestructura'!C848</f>
        <v>S04</v>
      </c>
      <c r="D849" s="1" t="str">
        <f>+'Maestro infraestructura'!F848</f>
        <v>Piso</v>
      </c>
      <c r="E849" s="25" t="str">
        <f ca="1">+'Maestro infraestructura'!K848</f>
        <v>Activo</v>
      </c>
      <c r="F849" s="1" t="str">
        <f ca="1">+'Maestro infraestructura'!V848</f>
        <v>AL DÍA</v>
      </c>
      <c r="G849" s="1" t="str">
        <f>+'Maestro infraestructura'!X848</f>
        <v>GENERAL</v>
      </c>
      <c r="H849" s="1">
        <f>+'Maestro infraestructura'!Y848</f>
        <v>2</v>
      </c>
      <c r="I849" s="1"/>
      <c r="J849" s="6">
        <f>+'Maestro infraestructura'!T848</f>
        <v>46563</v>
      </c>
      <c r="K849" s="6">
        <f t="shared" ca="1" si="33"/>
        <v>46563</v>
      </c>
      <c r="L849" s="6"/>
    </row>
    <row r="850" spans="1:12" x14ac:dyDescent="0.2">
      <c r="A850" s="1" t="str">
        <f>+'Maestro infraestructura'!A849</f>
        <v>NEUBAU</v>
      </c>
      <c r="B850" s="1" t="str">
        <f>+'Maestro infraestructura'!B849</f>
        <v>1° Piso</v>
      </c>
      <c r="C850" s="1" t="str">
        <f>+'Maestro infraestructura'!C849</f>
        <v>S04</v>
      </c>
      <c r="D850" s="1" t="str">
        <f>+'Maestro infraestructura'!F849</f>
        <v>Enchufes</v>
      </c>
      <c r="E850" s="25" t="str">
        <f ca="1">+'Maestro infraestructura'!K849</f>
        <v>Activo</v>
      </c>
      <c r="F850" s="1" t="str">
        <f ca="1">+'Maestro infraestructura'!V849</f>
        <v>AL DÍA</v>
      </c>
      <c r="G850" s="1" t="str">
        <f>+'Maestro infraestructura'!X849</f>
        <v>GENERAL</v>
      </c>
      <c r="H850" s="1">
        <f>+'Maestro infraestructura'!Y849</f>
        <v>2</v>
      </c>
      <c r="I850" s="1"/>
      <c r="J850" s="6">
        <f>+'Maestro infraestructura'!T849</f>
        <v>46563</v>
      </c>
      <c r="K850" s="6">
        <f t="shared" ca="1" si="33"/>
        <v>46563</v>
      </c>
      <c r="L850" s="6"/>
    </row>
    <row r="851" spans="1:12" x14ac:dyDescent="0.2">
      <c r="A851" s="1" t="str">
        <f>+'Maestro infraestructura'!A850</f>
        <v>NEUBAU</v>
      </c>
      <c r="B851" s="1" t="str">
        <f>+'Maestro infraestructura'!B850</f>
        <v>1° Piso</v>
      </c>
      <c r="C851" s="1" t="str">
        <f>+'Maestro infraestructura'!C850</f>
        <v>S04</v>
      </c>
      <c r="D851" s="1" t="str">
        <f>+'Maestro infraestructura'!F850</f>
        <v>TV</v>
      </c>
      <c r="E851" s="25" t="str">
        <f ca="1">+'Maestro infraestructura'!K850</f>
        <v>Activo</v>
      </c>
      <c r="F851" s="1" t="str">
        <f ca="1">+'Maestro infraestructura'!V850</f>
        <v>AL DÍA</v>
      </c>
      <c r="G851" s="1" t="str">
        <f>+'Maestro infraestructura'!X850</f>
        <v>OPERACIÓN</v>
      </c>
      <c r="H851" s="1">
        <f>+'Maestro infraestructura'!Y850</f>
        <v>2</v>
      </c>
      <c r="I851" s="1"/>
      <c r="J851" s="6">
        <f>+'Maestro infraestructura'!T850</f>
        <v>46563</v>
      </c>
      <c r="K851" s="6">
        <f t="shared" ca="1" si="33"/>
        <v>46563</v>
      </c>
      <c r="L851" s="6"/>
    </row>
    <row r="852" spans="1:12" x14ac:dyDescent="0.2">
      <c r="A852" s="1" t="str">
        <f>+'Maestro infraestructura'!A851</f>
        <v>NEUBAU</v>
      </c>
      <c r="B852" s="1" t="str">
        <f>+'Maestro infraestructura'!B851</f>
        <v>1° Piso</v>
      </c>
      <c r="C852" s="1" t="str">
        <f>+'Maestro infraestructura'!C851</f>
        <v>S04</v>
      </c>
      <c r="D852" s="1" t="str">
        <f>+'Maestro infraestructura'!F851</f>
        <v>Pizarra</v>
      </c>
      <c r="E852" s="25" t="str">
        <f ca="1">+'Maestro infraestructura'!K851</f>
        <v>Activo</v>
      </c>
      <c r="F852" s="1" t="str">
        <f ca="1">+'Maestro infraestructura'!V851</f>
        <v>AL DÍA</v>
      </c>
      <c r="G852" s="1" t="str">
        <f>+'Maestro infraestructura'!X851</f>
        <v>OPERACIÓN</v>
      </c>
      <c r="H852" s="1">
        <f>+'Maestro infraestructura'!Y851</f>
        <v>2</v>
      </c>
      <c r="I852" s="1"/>
      <c r="J852" s="6">
        <f>+'Maestro infraestructura'!T851</f>
        <v>46563</v>
      </c>
      <c r="K852" s="6">
        <f t="shared" ca="1" si="33"/>
        <v>46563</v>
      </c>
      <c r="L852" s="6"/>
    </row>
    <row r="853" spans="1:12" x14ac:dyDescent="0.2">
      <c r="A853" s="1" t="str">
        <f>+'Maestro infraestructura'!A852</f>
        <v>NEUBAU</v>
      </c>
      <c r="B853" s="1" t="str">
        <f>+'Maestro infraestructura'!B852</f>
        <v>1° Piso</v>
      </c>
      <c r="C853" s="1" t="str">
        <f>+'Maestro infraestructura'!C852</f>
        <v>S04</v>
      </c>
      <c r="D853" s="1" t="str">
        <f>+'Maestro infraestructura'!F852</f>
        <v>Puertas</v>
      </c>
      <c r="E853" s="25" t="str">
        <f ca="1">+'Maestro infraestructura'!K852</f>
        <v>Activo</v>
      </c>
      <c r="F853" s="1" t="str">
        <f ca="1">+'Maestro infraestructura'!V852</f>
        <v>AL DÍA</v>
      </c>
      <c r="G853" s="1" t="str">
        <f>+'Maestro infraestructura'!X852</f>
        <v>GENERAL</v>
      </c>
      <c r="H853" s="1">
        <f>+'Maestro infraestructura'!Y852</f>
        <v>2</v>
      </c>
      <c r="I853" s="1"/>
      <c r="J853" s="6">
        <f>+'Maestro infraestructura'!T852</f>
        <v>46563</v>
      </c>
      <c r="K853" s="6">
        <f t="shared" ca="1" si="33"/>
        <v>46563</v>
      </c>
      <c r="L853" s="6"/>
    </row>
    <row r="854" spans="1:12" x14ac:dyDescent="0.2">
      <c r="A854" s="1" t="str">
        <f>+'Maestro infraestructura'!A853</f>
        <v>NEUBAU</v>
      </c>
      <c r="B854" s="1" t="str">
        <f>+'Maestro infraestructura'!B853</f>
        <v>1° Piso</v>
      </c>
      <c r="C854" s="1" t="str">
        <f>+'Maestro infraestructura'!C853</f>
        <v>S07</v>
      </c>
      <c r="D854" s="1" t="str">
        <f>+'Maestro infraestructura'!F853</f>
        <v>Ventanas</v>
      </c>
      <c r="E854" s="25" t="str">
        <f ca="1">+'Maestro infraestructura'!K853</f>
        <v>Activo</v>
      </c>
      <c r="F854" s="1" t="str">
        <f ca="1">+'Maestro infraestructura'!V853</f>
        <v>AL DÍA</v>
      </c>
      <c r="G854" s="1" t="str">
        <f>+'Maestro infraestructura'!X853</f>
        <v>SEGURIDAD</v>
      </c>
      <c r="H854" s="1">
        <f>+'Maestro infraestructura'!Y853</f>
        <v>2</v>
      </c>
      <c r="I854" s="1"/>
      <c r="J854" s="6">
        <f>+'Maestro infraestructura'!T853</f>
        <v>46563</v>
      </c>
      <c r="K854" s="6">
        <f t="shared" ca="1" si="33"/>
        <v>46563</v>
      </c>
      <c r="L854" s="6"/>
    </row>
    <row r="855" spans="1:12" x14ac:dyDescent="0.2">
      <c r="A855" s="1" t="str">
        <f>+'Maestro infraestructura'!A854</f>
        <v>NEUBAU</v>
      </c>
      <c r="B855" s="1" t="str">
        <f>+'Maestro infraestructura'!B854</f>
        <v>1° Piso</v>
      </c>
      <c r="C855" s="1" t="str">
        <f>+'Maestro infraestructura'!C854</f>
        <v>S07</v>
      </c>
      <c r="D855" s="1" t="str">
        <f>+'Maestro infraestructura'!F854</f>
        <v>Piso</v>
      </c>
      <c r="E855" s="25" t="str">
        <f ca="1">+'Maestro infraestructura'!K854</f>
        <v>Activo</v>
      </c>
      <c r="F855" s="1" t="str">
        <f ca="1">+'Maestro infraestructura'!V854</f>
        <v>AL DÍA</v>
      </c>
      <c r="G855" s="1" t="str">
        <f>+'Maestro infraestructura'!X854</f>
        <v>GENERAL</v>
      </c>
      <c r="H855" s="1">
        <f>+'Maestro infraestructura'!Y854</f>
        <v>2</v>
      </c>
      <c r="I855" s="1"/>
      <c r="J855" s="6">
        <f>+'Maestro infraestructura'!T854</f>
        <v>46563</v>
      </c>
      <c r="K855" s="6">
        <f t="shared" ca="1" si="33"/>
        <v>46563</v>
      </c>
      <c r="L855" s="6"/>
    </row>
    <row r="856" spans="1:12" x14ac:dyDescent="0.2">
      <c r="A856" s="1" t="str">
        <f>+'Maestro infraestructura'!A855</f>
        <v>NEUBAU</v>
      </c>
      <c r="B856" s="1" t="str">
        <f>+'Maestro infraestructura'!B855</f>
        <v>1° Piso</v>
      </c>
      <c r="C856" s="1" t="str">
        <f>+'Maestro infraestructura'!C855</f>
        <v>S07</v>
      </c>
      <c r="D856" s="1" t="str">
        <f>+'Maestro infraestructura'!F855</f>
        <v>Enchufes</v>
      </c>
      <c r="E856" s="25" t="str">
        <f ca="1">+'Maestro infraestructura'!K855</f>
        <v>Activo</v>
      </c>
      <c r="F856" s="1" t="str">
        <f ca="1">+'Maestro infraestructura'!V855</f>
        <v>AL DÍA</v>
      </c>
      <c r="G856" s="1" t="str">
        <f>+'Maestro infraestructura'!X855</f>
        <v>GENERAL</v>
      </c>
      <c r="H856" s="1">
        <f>+'Maestro infraestructura'!Y855</f>
        <v>2</v>
      </c>
      <c r="I856" s="1"/>
      <c r="J856" s="6">
        <f>+'Maestro infraestructura'!T855</f>
        <v>46563</v>
      </c>
      <c r="K856" s="6">
        <f t="shared" ca="1" si="33"/>
        <v>46563</v>
      </c>
      <c r="L856" s="6"/>
    </row>
    <row r="857" spans="1:12" x14ac:dyDescent="0.2">
      <c r="A857" s="1" t="str">
        <f>+'Maestro infraestructura'!A856</f>
        <v>NEUBAU</v>
      </c>
      <c r="B857" s="1" t="str">
        <f>+'Maestro infraestructura'!B856</f>
        <v>1° Piso</v>
      </c>
      <c r="C857" s="1" t="str">
        <f>+'Maestro infraestructura'!C856</f>
        <v>S07</v>
      </c>
      <c r="D857" s="1" t="str">
        <f>+'Maestro infraestructura'!F856</f>
        <v>TV</v>
      </c>
      <c r="E857" s="25" t="str">
        <f ca="1">+'Maestro infraestructura'!K856</f>
        <v>Activo</v>
      </c>
      <c r="F857" s="1" t="str">
        <f ca="1">+'Maestro infraestructura'!V856</f>
        <v>AL DÍA</v>
      </c>
      <c r="G857" s="1" t="str">
        <f>+'Maestro infraestructura'!X856</f>
        <v>OPERACIÓN</v>
      </c>
      <c r="H857" s="1">
        <f>+'Maestro infraestructura'!Y856</f>
        <v>2</v>
      </c>
      <c r="I857" s="1"/>
      <c r="J857" s="6">
        <f>+'Maestro infraestructura'!T856</f>
        <v>46563</v>
      </c>
      <c r="K857" s="6">
        <f t="shared" ca="1" si="33"/>
        <v>46563</v>
      </c>
      <c r="L857" s="6"/>
    </row>
    <row r="858" spans="1:12" x14ac:dyDescent="0.2">
      <c r="A858" s="1" t="str">
        <f>+'Maestro infraestructura'!A857</f>
        <v>NEUBAU</v>
      </c>
      <c r="B858" s="1" t="str">
        <f>+'Maestro infraestructura'!B857</f>
        <v>1° Piso</v>
      </c>
      <c r="C858" s="1" t="str">
        <f>+'Maestro infraestructura'!C857</f>
        <v>S07</v>
      </c>
      <c r="D858" s="1" t="str">
        <f>+'Maestro infraestructura'!F857</f>
        <v>Pizarra</v>
      </c>
      <c r="E858" s="25" t="str">
        <f ca="1">+'Maestro infraestructura'!K857</f>
        <v>Activo</v>
      </c>
      <c r="F858" s="1" t="str">
        <f ca="1">+'Maestro infraestructura'!V857</f>
        <v>AL DÍA</v>
      </c>
      <c r="G858" s="1" t="str">
        <f>+'Maestro infraestructura'!X857</f>
        <v>OPERACIÓN</v>
      </c>
      <c r="H858" s="1">
        <f>+'Maestro infraestructura'!Y857</f>
        <v>2</v>
      </c>
      <c r="I858" s="1"/>
      <c r="J858" s="6">
        <f>+'Maestro infraestructura'!T857</f>
        <v>46563</v>
      </c>
      <c r="K858" s="6">
        <f t="shared" ca="1" si="33"/>
        <v>46563</v>
      </c>
      <c r="L858" s="6"/>
    </row>
    <row r="859" spans="1:12" x14ac:dyDescent="0.2">
      <c r="A859" s="1" t="str">
        <f>+'Maestro infraestructura'!A858</f>
        <v>NEUBAU</v>
      </c>
      <c r="B859" s="1" t="str">
        <f>+'Maestro infraestructura'!B858</f>
        <v>1° Piso</v>
      </c>
      <c r="C859" s="1" t="str">
        <f>+'Maestro infraestructura'!C858</f>
        <v>S07</v>
      </c>
      <c r="D859" s="1" t="str">
        <f>+'Maestro infraestructura'!F858</f>
        <v>Puertas</v>
      </c>
      <c r="E859" s="25" t="str">
        <f ca="1">+'Maestro infraestructura'!K858</f>
        <v>Activo</v>
      </c>
      <c r="F859" s="1" t="str">
        <f ca="1">+'Maestro infraestructura'!V858</f>
        <v>AL DÍA</v>
      </c>
      <c r="G859" s="1" t="str">
        <f>+'Maestro infraestructura'!X858</f>
        <v>GENERAL</v>
      </c>
      <c r="H859" s="1">
        <f>+'Maestro infraestructura'!Y858</f>
        <v>2</v>
      </c>
      <c r="I859" s="1"/>
      <c r="J859" s="6">
        <f>+'Maestro infraestructura'!T858</f>
        <v>46563</v>
      </c>
      <c r="K859" s="6">
        <f t="shared" ca="1" si="33"/>
        <v>46563</v>
      </c>
      <c r="L859" s="6"/>
    </row>
    <row r="860" spans="1:12" x14ac:dyDescent="0.2">
      <c r="A860" s="1" t="str">
        <f>+'Maestro infraestructura'!A859</f>
        <v>NEUBAU</v>
      </c>
      <c r="B860" s="1" t="str">
        <f>+'Maestro infraestructura'!B859</f>
        <v>1° Piso</v>
      </c>
      <c r="C860" s="1" t="str">
        <f>+'Maestro infraestructura'!C859</f>
        <v>S08</v>
      </c>
      <c r="D860" s="1" t="str">
        <f>+'Maestro infraestructura'!F859</f>
        <v>Ventanas</v>
      </c>
      <c r="E860" s="25" t="str">
        <f ca="1">+'Maestro infraestructura'!K859</f>
        <v>Activo</v>
      </c>
      <c r="F860" s="1" t="str">
        <f ca="1">+'Maestro infraestructura'!V859</f>
        <v>AL DÍA</v>
      </c>
      <c r="G860" s="1" t="str">
        <f>+'Maestro infraestructura'!X859</f>
        <v>SEGURIDAD</v>
      </c>
      <c r="H860" s="1">
        <f>+'Maestro infraestructura'!Y859</f>
        <v>2</v>
      </c>
      <c r="I860" s="1"/>
      <c r="J860" s="6">
        <f>+'Maestro infraestructura'!T859</f>
        <v>46563</v>
      </c>
      <c r="K860" s="6">
        <f t="shared" ca="1" si="33"/>
        <v>46563</v>
      </c>
      <c r="L860" s="6"/>
    </row>
    <row r="861" spans="1:12" x14ac:dyDescent="0.2">
      <c r="A861" s="1" t="str">
        <f>+'Maestro infraestructura'!A860</f>
        <v>NEUBAU</v>
      </c>
      <c r="B861" s="1" t="str">
        <f>+'Maestro infraestructura'!B860</f>
        <v>1° Piso</v>
      </c>
      <c r="C861" s="1" t="str">
        <f>+'Maestro infraestructura'!C860</f>
        <v>S08</v>
      </c>
      <c r="D861" s="1" t="str">
        <f>+'Maestro infraestructura'!F860</f>
        <v>Piso</v>
      </c>
      <c r="E861" s="25" t="str">
        <f ca="1">+'Maestro infraestructura'!K860</f>
        <v>Activo</v>
      </c>
      <c r="F861" s="1" t="str">
        <f ca="1">+'Maestro infraestructura'!V860</f>
        <v>AL DÍA</v>
      </c>
      <c r="G861" s="1" t="str">
        <f>+'Maestro infraestructura'!X860</f>
        <v>GENERAL</v>
      </c>
      <c r="H861" s="1">
        <f>+'Maestro infraestructura'!Y860</f>
        <v>2</v>
      </c>
      <c r="I861" s="1"/>
      <c r="J861" s="6">
        <f>+'Maestro infraestructura'!T860</f>
        <v>46563</v>
      </c>
      <c r="K861" s="6">
        <f t="shared" ca="1" si="33"/>
        <v>46563</v>
      </c>
      <c r="L861" s="6"/>
    </row>
    <row r="862" spans="1:12" x14ac:dyDescent="0.2">
      <c r="A862" s="1" t="str">
        <f>+'Maestro infraestructura'!A861</f>
        <v>NEUBAU</v>
      </c>
      <c r="B862" s="1" t="str">
        <f>+'Maestro infraestructura'!B861</f>
        <v>1° Piso</v>
      </c>
      <c r="C862" s="1" t="str">
        <f>+'Maestro infraestructura'!C861</f>
        <v>S08</v>
      </c>
      <c r="D862" s="1" t="str">
        <f>+'Maestro infraestructura'!F861</f>
        <v>Enchufes</v>
      </c>
      <c r="E862" s="25" t="str">
        <f ca="1">+'Maestro infraestructura'!K861</f>
        <v>Activo</v>
      </c>
      <c r="F862" s="1" t="str">
        <f ca="1">+'Maestro infraestructura'!V861</f>
        <v>AL DÍA</v>
      </c>
      <c r="G862" s="1" t="str">
        <f>+'Maestro infraestructura'!X861</f>
        <v>GENERAL</v>
      </c>
      <c r="H862" s="1">
        <f>+'Maestro infraestructura'!Y861</f>
        <v>2</v>
      </c>
      <c r="I862" s="1"/>
      <c r="J862" s="6">
        <f>+'Maestro infraestructura'!T861</f>
        <v>46563</v>
      </c>
      <c r="K862" s="6">
        <f t="shared" ca="1" si="33"/>
        <v>46563</v>
      </c>
      <c r="L862" s="6"/>
    </row>
    <row r="863" spans="1:12" x14ac:dyDescent="0.2">
      <c r="A863" s="1" t="str">
        <f>+'Maestro infraestructura'!A862</f>
        <v>NEUBAU</v>
      </c>
      <c r="B863" s="1" t="str">
        <f>+'Maestro infraestructura'!B862</f>
        <v>1° Piso</v>
      </c>
      <c r="C863" s="1" t="str">
        <f>+'Maestro infraestructura'!C862</f>
        <v>S08</v>
      </c>
      <c r="D863" s="1" t="str">
        <f>+'Maestro infraestructura'!F862</f>
        <v>TV</v>
      </c>
      <c r="E863" s="25" t="str">
        <f ca="1">+'Maestro infraestructura'!K862</f>
        <v>Activo</v>
      </c>
      <c r="F863" s="1" t="str">
        <f ca="1">+'Maestro infraestructura'!V862</f>
        <v>AL DÍA</v>
      </c>
      <c r="G863" s="1" t="str">
        <f>+'Maestro infraestructura'!X862</f>
        <v>OPERACIÓN</v>
      </c>
      <c r="H863" s="1">
        <f>+'Maestro infraestructura'!Y862</f>
        <v>2</v>
      </c>
      <c r="I863" s="1"/>
      <c r="J863" s="6">
        <f>+'Maestro infraestructura'!T862</f>
        <v>46563</v>
      </c>
      <c r="K863" s="6">
        <f t="shared" ca="1" si="33"/>
        <v>46563</v>
      </c>
      <c r="L863" s="6"/>
    </row>
    <row r="864" spans="1:12" x14ac:dyDescent="0.2">
      <c r="A864" s="1" t="str">
        <f>+'Maestro infraestructura'!A863</f>
        <v>NEUBAU</v>
      </c>
      <c r="B864" s="1" t="str">
        <f>+'Maestro infraestructura'!B863</f>
        <v>1° Piso</v>
      </c>
      <c r="C864" s="1" t="str">
        <f>+'Maestro infraestructura'!C863</f>
        <v>S08</v>
      </c>
      <c r="D864" s="1" t="str">
        <f>+'Maestro infraestructura'!F863</f>
        <v>Pizarra</v>
      </c>
      <c r="E864" s="25" t="str">
        <f ca="1">+'Maestro infraestructura'!K863</f>
        <v>Activo</v>
      </c>
      <c r="F864" s="1" t="str">
        <f ca="1">+'Maestro infraestructura'!V863</f>
        <v>AL DÍA</v>
      </c>
      <c r="G864" s="1" t="str">
        <f>+'Maestro infraestructura'!X863</f>
        <v>OPERACIÓN</v>
      </c>
      <c r="H864" s="1">
        <f>+'Maestro infraestructura'!Y863</f>
        <v>2</v>
      </c>
      <c r="I864" s="1"/>
      <c r="J864" s="6">
        <f>+'Maestro infraestructura'!T863</f>
        <v>46563</v>
      </c>
      <c r="K864" s="6">
        <f t="shared" ca="1" si="33"/>
        <v>46563</v>
      </c>
      <c r="L864" s="6"/>
    </row>
    <row r="865" spans="1:12" x14ac:dyDescent="0.2">
      <c r="A865" s="1" t="str">
        <f>+'Maestro infraestructura'!A864</f>
        <v>NEUBAU</v>
      </c>
      <c r="B865" s="1" t="str">
        <f>+'Maestro infraestructura'!B864</f>
        <v>1° Piso</v>
      </c>
      <c r="C865" s="1" t="str">
        <f>+'Maestro infraestructura'!C864</f>
        <v>S08</v>
      </c>
      <c r="D865" s="1" t="str">
        <f>+'Maestro infraestructura'!F864</f>
        <v>Puertas</v>
      </c>
      <c r="E865" s="25" t="str">
        <f ca="1">+'Maestro infraestructura'!K864</f>
        <v>Activo</v>
      </c>
      <c r="F865" s="1" t="str">
        <f ca="1">+'Maestro infraestructura'!V864</f>
        <v>AL DÍA</v>
      </c>
      <c r="G865" s="1" t="str">
        <f>+'Maestro infraestructura'!X864</f>
        <v>GENERAL</v>
      </c>
      <c r="H865" s="1">
        <f>+'Maestro infraestructura'!Y864</f>
        <v>2</v>
      </c>
      <c r="I865" s="1"/>
      <c r="J865" s="6">
        <f>+'Maestro infraestructura'!T864</f>
        <v>46563</v>
      </c>
      <c r="K865" s="6">
        <f t="shared" ca="1" si="33"/>
        <v>46563</v>
      </c>
      <c r="L865" s="6"/>
    </row>
    <row r="866" spans="1:12" x14ac:dyDescent="0.2">
      <c r="A866" s="1" t="str">
        <f>+'Maestro infraestructura'!A865</f>
        <v>NEUBAU</v>
      </c>
      <c r="B866" s="1" t="str">
        <f>+'Maestro infraestructura'!B865</f>
        <v>2° Piso</v>
      </c>
      <c r="C866" s="1" t="str">
        <f>+'Maestro infraestructura'!C865</f>
        <v>S09</v>
      </c>
      <c r="D866" s="1" t="str">
        <f>+'Maestro infraestructura'!F865</f>
        <v>Ventanas</v>
      </c>
      <c r="E866" s="25" t="str">
        <f ca="1">+'Maestro infraestructura'!K865</f>
        <v>Activo</v>
      </c>
      <c r="F866" s="1" t="str">
        <f ca="1">+'Maestro infraestructura'!V865</f>
        <v>AL DÍA</v>
      </c>
      <c r="G866" s="1" t="str">
        <f>+'Maestro infraestructura'!X865</f>
        <v>SEGURIDAD</v>
      </c>
      <c r="H866" s="1">
        <f>+'Maestro infraestructura'!Y865</f>
        <v>2</v>
      </c>
      <c r="I866" s="1"/>
      <c r="J866" s="6">
        <f>+'Maestro infraestructura'!T865</f>
        <v>46563</v>
      </c>
      <c r="K866" s="6">
        <f t="shared" ca="1" si="33"/>
        <v>46563</v>
      </c>
      <c r="L866" s="6"/>
    </row>
    <row r="867" spans="1:12" x14ac:dyDescent="0.2">
      <c r="A867" s="1" t="str">
        <f>+'Maestro infraestructura'!A866</f>
        <v>NEUBAU</v>
      </c>
      <c r="B867" s="1" t="str">
        <f>+'Maestro infraestructura'!B866</f>
        <v>2° Piso</v>
      </c>
      <c r="C867" s="1" t="str">
        <f>+'Maestro infraestructura'!C866</f>
        <v>S09</v>
      </c>
      <c r="D867" s="1" t="str">
        <f>+'Maestro infraestructura'!F866</f>
        <v>Piso</v>
      </c>
      <c r="E867" s="25" t="str">
        <f ca="1">+'Maestro infraestructura'!K866</f>
        <v>Activo</v>
      </c>
      <c r="F867" s="1" t="str">
        <f ca="1">+'Maestro infraestructura'!V866</f>
        <v>AL DÍA</v>
      </c>
      <c r="G867" s="1" t="str">
        <f>+'Maestro infraestructura'!X866</f>
        <v>GENERAL</v>
      </c>
      <c r="H867" s="1">
        <f>+'Maestro infraestructura'!Y866</f>
        <v>2</v>
      </c>
      <c r="I867" s="1"/>
      <c r="J867" s="6">
        <f>+'Maestro infraestructura'!T866</f>
        <v>46563</v>
      </c>
      <c r="K867" s="6">
        <f t="shared" ca="1" si="33"/>
        <v>46563</v>
      </c>
      <c r="L867" s="6"/>
    </row>
    <row r="868" spans="1:12" x14ac:dyDescent="0.2">
      <c r="A868" s="1" t="str">
        <f>+'Maestro infraestructura'!A867</f>
        <v>NEUBAU</v>
      </c>
      <c r="B868" s="1" t="str">
        <f>+'Maestro infraestructura'!B867</f>
        <v>2° Piso</v>
      </c>
      <c r="C868" s="1" t="str">
        <f>+'Maestro infraestructura'!C867</f>
        <v>S09</v>
      </c>
      <c r="D868" s="1" t="str">
        <f>+'Maestro infraestructura'!F867</f>
        <v>Enchufes</v>
      </c>
      <c r="E868" s="25" t="str">
        <f ca="1">+'Maestro infraestructura'!K867</f>
        <v>Activo</v>
      </c>
      <c r="F868" s="1" t="str">
        <f ca="1">+'Maestro infraestructura'!V867</f>
        <v>AL DÍA</v>
      </c>
      <c r="G868" s="1" t="str">
        <f>+'Maestro infraestructura'!X867</f>
        <v>GENERAL</v>
      </c>
      <c r="H868" s="1">
        <f>+'Maestro infraestructura'!Y867</f>
        <v>2</v>
      </c>
      <c r="I868" s="1"/>
      <c r="J868" s="6">
        <f>+'Maestro infraestructura'!T867</f>
        <v>46563</v>
      </c>
      <c r="K868" s="6">
        <f t="shared" ca="1" si="33"/>
        <v>46563</v>
      </c>
      <c r="L868" s="6"/>
    </row>
    <row r="869" spans="1:12" x14ac:dyDescent="0.2">
      <c r="A869" s="1" t="str">
        <f>+'Maestro infraestructura'!A868</f>
        <v>NEUBAU</v>
      </c>
      <c r="B869" s="1" t="str">
        <f>+'Maestro infraestructura'!B868</f>
        <v>2° Piso</v>
      </c>
      <c r="C869" s="1" t="str">
        <f>+'Maestro infraestructura'!C868</f>
        <v>S09</v>
      </c>
      <c r="D869" s="1" t="str">
        <f>+'Maestro infraestructura'!F868</f>
        <v>TV</v>
      </c>
      <c r="E869" s="25" t="str">
        <f ca="1">+'Maestro infraestructura'!K868</f>
        <v>Activo</v>
      </c>
      <c r="F869" s="1" t="str">
        <f ca="1">+'Maestro infraestructura'!V868</f>
        <v>AL DÍA</v>
      </c>
      <c r="G869" s="1" t="str">
        <f>+'Maestro infraestructura'!X868</f>
        <v>OPERACIÓN</v>
      </c>
      <c r="H869" s="1">
        <f>+'Maestro infraestructura'!Y868</f>
        <v>2</v>
      </c>
      <c r="I869" s="1"/>
      <c r="J869" s="6">
        <f>+'Maestro infraestructura'!T868</f>
        <v>46563</v>
      </c>
      <c r="K869" s="6">
        <f t="shared" ca="1" si="33"/>
        <v>46563</v>
      </c>
      <c r="L869" s="6"/>
    </row>
    <row r="870" spans="1:12" x14ac:dyDescent="0.2">
      <c r="A870" s="1" t="str">
        <f>+'Maestro infraestructura'!A869</f>
        <v>NEUBAU</v>
      </c>
      <c r="B870" s="1" t="str">
        <f>+'Maestro infraestructura'!B869</f>
        <v>2° Piso</v>
      </c>
      <c r="C870" s="1" t="str">
        <f>+'Maestro infraestructura'!C869</f>
        <v>S09</v>
      </c>
      <c r="D870" s="1" t="str">
        <f>+'Maestro infraestructura'!F869</f>
        <v>Pizarra</v>
      </c>
      <c r="E870" s="25" t="str">
        <f ca="1">+'Maestro infraestructura'!K869</f>
        <v>Activo</v>
      </c>
      <c r="F870" s="1" t="str">
        <f ca="1">+'Maestro infraestructura'!V869</f>
        <v>AL DÍA</v>
      </c>
      <c r="G870" s="1" t="str">
        <f>+'Maestro infraestructura'!X869</f>
        <v>OPERACIÓN</v>
      </c>
      <c r="H870" s="1">
        <f>+'Maestro infraestructura'!Y869</f>
        <v>2</v>
      </c>
      <c r="I870" s="1"/>
      <c r="J870" s="6">
        <f>+'Maestro infraestructura'!T869</f>
        <v>46563</v>
      </c>
      <c r="K870" s="6">
        <f t="shared" ca="1" si="33"/>
        <v>46563</v>
      </c>
      <c r="L870" s="6"/>
    </row>
    <row r="871" spans="1:12" x14ac:dyDescent="0.2">
      <c r="A871" s="1" t="str">
        <f>+'Maestro infraestructura'!A870</f>
        <v>NEUBAU</v>
      </c>
      <c r="B871" s="1" t="str">
        <f>+'Maestro infraestructura'!B870</f>
        <v>2° Piso</v>
      </c>
      <c r="C871" s="1" t="str">
        <f>+'Maestro infraestructura'!C870</f>
        <v>S09</v>
      </c>
      <c r="D871" s="1" t="str">
        <f>+'Maestro infraestructura'!F870</f>
        <v>Puertas</v>
      </c>
      <c r="E871" s="25" t="str">
        <f ca="1">+'Maestro infraestructura'!K870</f>
        <v>Activo</v>
      </c>
      <c r="F871" s="1" t="str">
        <f ca="1">+'Maestro infraestructura'!V870</f>
        <v>AL DÍA</v>
      </c>
      <c r="G871" s="1" t="str">
        <f>+'Maestro infraestructura'!X870</f>
        <v>GENERAL</v>
      </c>
      <c r="H871" s="1">
        <f>+'Maestro infraestructura'!Y870</f>
        <v>2</v>
      </c>
      <c r="I871" s="1"/>
      <c r="J871" s="6">
        <f>+'Maestro infraestructura'!T870</f>
        <v>46563</v>
      </c>
      <c r="K871" s="6">
        <f t="shared" ca="1" si="33"/>
        <v>46563</v>
      </c>
      <c r="L871" s="6"/>
    </row>
    <row r="872" spans="1:12" x14ac:dyDescent="0.2">
      <c r="A872" s="1" t="str">
        <f>+'Maestro infraestructura'!A871</f>
        <v>NEUBAU</v>
      </c>
      <c r="B872" s="1" t="str">
        <f>+'Maestro infraestructura'!B871</f>
        <v>2° Piso</v>
      </c>
      <c r="C872" s="1" t="str">
        <f>+'Maestro infraestructura'!C871</f>
        <v>S10</v>
      </c>
      <c r="D872" s="1" t="str">
        <f>+'Maestro infraestructura'!F871</f>
        <v>Ventanas</v>
      </c>
      <c r="E872" s="25" t="str">
        <f ca="1">+'Maestro infraestructura'!K871</f>
        <v>Activo</v>
      </c>
      <c r="F872" s="1" t="str">
        <f ca="1">+'Maestro infraestructura'!V871</f>
        <v>AL DÍA</v>
      </c>
      <c r="G872" s="1" t="str">
        <f>+'Maestro infraestructura'!X871</f>
        <v>SEGURIDAD</v>
      </c>
      <c r="H872" s="1">
        <f>+'Maestro infraestructura'!Y871</f>
        <v>2</v>
      </c>
      <c r="I872" s="1"/>
      <c r="J872" s="6">
        <f>+'Maestro infraestructura'!T871</f>
        <v>46563</v>
      </c>
      <c r="K872" s="6">
        <f t="shared" ca="1" si="33"/>
        <v>46563</v>
      </c>
      <c r="L872" s="6"/>
    </row>
    <row r="873" spans="1:12" x14ac:dyDescent="0.2">
      <c r="A873" s="1" t="str">
        <f>+'Maestro infraestructura'!A872</f>
        <v>NEUBAU</v>
      </c>
      <c r="B873" s="1" t="str">
        <f>+'Maestro infraestructura'!B872</f>
        <v>2° Piso</v>
      </c>
      <c r="C873" s="1" t="str">
        <f>+'Maestro infraestructura'!C872</f>
        <v>S10</v>
      </c>
      <c r="D873" s="1" t="str">
        <f>+'Maestro infraestructura'!F872</f>
        <v>Piso</v>
      </c>
      <c r="E873" s="25" t="str">
        <f ca="1">+'Maestro infraestructura'!K872</f>
        <v>Activo</v>
      </c>
      <c r="F873" s="1" t="str">
        <f ca="1">+'Maestro infraestructura'!V872</f>
        <v>AL DÍA</v>
      </c>
      <c r="G873" s="1" t="str">
        <f>+'Maestro infraestructura'!X872</f>
        <v>GENERAL</v>
      </c>
      <c r="H873" s="1">
        <f>+'Maestro infraestructura'!Y872</f>
        <v>2</v>
      </c>
      <c r="I873" s="1"/>
      <c r="J873" s="6">
        <f>+'Maestro infraestructura'!T872</f>
        <v>46563</v>
      </c>
      <c r="K873" s="6">
        <f t="shared" ca="1" si="33"/>
        <v>46563</v>
      </c>
      <c r="L873" s="6"/>
    </row>
    <row r="874" spans="1:12" x14ac:dyDescent="0.2">
      <c r="A874" s="1" t="str">
        <f>+'Maestro infraestructura'!A873</f>
        <v>NEUBAU</v>
      </c>
      <c r="B874" s="1" t="str">
        <f>+'Maestro infraestructura'!B873</f>
        <v>2° Piso</v>
      </c>
      <c r="C874" s="1" t="str">
        <f>+'Maestro infraestructura'!C873</f>
        <v>S10</v>
      </c>
      <c r="D874" s="1" t="str">
        <f>+'Maestro infraestructura'!F873</f>
        <v>Enchufes</v>
      </c>
      <c r="E874" s="25" t="str">
        <f ca="1">+'Maestro infraestructura'!K873</f>
        <v>Activo</v>
      </c>
      <c r="F874" s="1" t="str">
        <f ca="1">+'Maestro infraestructura'!V873</f>
        <v>AL DÍA</v>
      </c>
      <c r="G874" s="1" t="str">
        <f>+'Maestro infraestructura'!X873</f>
        <v>GENERAL</v>
      </c>
      <c r="H874" s="1">
        <f>+'Maestro infraestructura'!Y873</f>
        <v>2</v>
      </c>
      <c r="I874" s="1"/>
      <c r="J874" s="6">
        <f>+'Maestro infraestructura'!T873</f>
        <v>46563</v>
      </c>
      <c r="K874" s="6">
        <f t="shared" ca="1" si="33"/>
        <v>46563</v>
      </c>
      <c r="L874" s="6"/>
    </row>
    <row r="875" spans="1:12" x14ac:dyDescent="0.2">
      <c r="A875" s="1" t="str">
        <f>+'Maestro infraestructura'!A874</f>
        <v>NEUBAU</v>
      </c>
      <c r="B875" s="1" t="str">
        <f>+'Maestro infraestructura'!B874</f>
        <v>2° Piso</v>
      </c>
      <c r="C875" s="1" t="str">
        <f>+'Maestro infraestructura'!C874</f>
        <v>S10</v>
      </c>
      <c r="D875" s="1" t="str">
        <f>+'Maestro infraestructura'!F874</f>
        <v>TV</v>
      </c>
      <c r="E875" s="25" t="str">
        <f ca="1">+'Maestro infraestructura'!K874</f>
        <v>Activo</v>
      </c>
      <c r="F875" s="1" t="str">
        <f ca="1">+'Maestro infraestructura'!V874</f>
        <v>AL DÍA</v>
      </c>
      <c r="G875" s="1" t="str">
        <f>+'Maestro infraestructura'!X874</f>
        <v>OPERACIÓN</v>
      </c>
      <c r="H875" s="1">
        <f>+'Maestro infraestructura'!Y874</f>
        <v>2</v>
      </c>
      <c r="I875" s="1"/>
      <c r="J875" s="6">
        <f>+'Maestro infraestructura'!T874</f>
        <v>46563</v>
      </c>
      <c r="K875" s="6">
        <f t="shared" ca="1" si="33"/>
        <v>46563</v>
      </c>
      <c r="L875" s="6"/>
    </row>
    <row r="876" spans="1:12" x14ac:dyDescent="0.2">
      <c r="A876" s="1" t="str">
        <f>+'Maestro infraestructura'!A875</f>
        <v>NEUBAU</v>
      </c>
      <c r="B876" s="1" t="str">
        <f>+'Maestro infraestructura'!B875</f>
        <v>2° Piso</v>
      </c>
      <c r="C876" s="1" t="str">
        <f>+'Maestro infraestructura'!C875</f>
        <v>S10</v>
      </c>
      <c r="D876" s="1" t="str">
        <f>+'Maestro infraestructura'!F875</f>
        <v>Pizarra</v>
      </c>
      <c r="E876" s="25" t="str">
        <f ca="1">+'Maestro infraestructura'!K875</f>
        <v>Activo</v>
      </c>
      <c r="F876" s="1" t="str">
        <f ca="1">+'Maestro infraestructura'!V875</f>
        <v>AL DÍA</v>
      </c>
      <c r="G876" s="1" t="str">
        <f>+'Maestro infraestructura'!X875</f>
        <v>OPERACIÓN</v>
      </c>
      <c r="H876" s="1">
        <f>+'Maestro infraestructura'!Y875</f>
        <v>2</v>
      </c>
      <c r="I876" s="1"/>
      <c r="J876" s="6">
        <f>+'Maestro infraestructura'!T875</f>
        <v>46563</v>
      </c>
      <c r="K876" s="6">
        <f t="shared" ca="1" si="33"/>
        <v>46563</v>
      </c>
      <c r="L876" s="6"/>
    </row>
    <row r="877" spans="1:12" x14ac:dyDescent="0.2">
      <c r="A877" s="1" t="str">
        <f>+'Maestro infraestructura'!A876</f>
        <v>NEUBAU</v>
      </c>
      <c r="B877" s="1" t="str">
        <f>+'Maestro infraestructura'!B876</f>
        <v>2° Piso</v>
      </c>
      <c r="C877" s="1" t="str">
        <f>+'Maestro infraestructura'!C876</f>
        <v>S10</v>
      </c>
      <c r="D877" s="1" t="str">
        <f>+'Maestro infraestructura'!F876</f>
        <v>Puertas</v>
      </c>
      <c r="E877" s="25" t="str">
        <f ca="1">+'Maestro infraestructura'!K876</f>
        <v>Activo</v>
      </c>
      <c r="F877" s="1" t="str">
        <f ca="1">+'Maestro infraestructura'!V876</f>
        <v>AL DÍA</v>
      </c>
      <c r="G877" s="1" t="str">
        <f>+'Maestro infraestructura'!X876</f>
        <v>GENERAL</v>
      </c>
      <c r="H877" s="1">
        <f>+'Maestro infraestructura'!Y876</f>
        <v>2</v>
      </c>
      <c r="I877" s="1"/>
      <c r="J877" s="6">
        <f>+'Maestro infraestructura'!T876</f>
        <v>46563</v>
      </c>
      <c r="K877" s="6">
        <f t="shared" ca="1" si="33"/>
        <v>46563</v>
      </c>
      <c r="L877" s="6"/>
    </row>
    <row r="878" spans="1:12" x14ac:dyDescent="0.2">
      <c r="A878" s="1" t="str">
        <f>+'Maestro infraestructura'!A877</f>
        <v>NEUBAU</v>
      </c>
      <c r="B878" s="1" t="str">
        <f>+'Maestro infraestructura'!B877</f>
        <v>2° Piso</v>
      </c>
      <c r="C878" s="1" t="str">
        <f>+'Maestro infraestructura'!C877</f>
        <v>S11</v>
      </c>
      <c r="D878" s="1" t="str">
        <f>+'Maestro infraestructura'!F877</f>
        <v>Ventanas</v>
      </c>
      <c r="E878" s="25" t="str">
        <f ca="1">+'Maestro infraestructura'!K877</f>
        <v>Activo</v>
      </c>
      <c r="F878" s="1" t="str">
        <f ca="1">+'Maestro infraestructura'!V877</f>
        <v>AL DÍA</v>
      </c>
      <c r="G878" s="1" t="str">
        <f>+'Maestro infraestructura'!X877</f>
        <v>SEGURIDAD</v>
      </c>
      <c r="H878" s="1">
        <f>+'Maestro infraestructura'!Y877</f>
        <v>2</v>
      </c>
      <c r="I878" s="1"/>
      <c r="J878" s="6">
        <f>+'Maestro infraestructura'!T877</f>
        <v>46563</v>
      </c>
      <c r="K878" s="6">
        <f t="shared" ca="1" si="33"/>
        <v>46563</v>
      </c>
      <c r="L878" s="6"/>
    </row>
    <row r="879" spans="1:12" x14ac:dyDescent="0.2">
      <c r="A879" s="1" t="str">
        <f>+'Maestro infraestructura'!A878</f>
        <v>NEUBAU</v>
      </c>
      <c r="B879" s="1" t="str">
        <f>+'Maestro infraestructura'!B878</f>
        <v>2° Piso</v>
      </c>
      <c r="C879" s="1" t="str">
        <f>+'Maestro infraestructura'!C878</f>
        <v>S11</v>
      </c>
      <c r="D879" s="1" t="str">
        <f>+'Maestro infraestructura'!F878</f>
        <v>Piso</v>
      </c>
      <c r="E879" s="25" t="str">
        <f ca="1">+'Maestro infraestructura'!K878</f>
        <v>Activo</v>
      </c>
      <c r="F879" s="1" t="str">
        <f ca="1">+'Maestro infraestructura'!V878</f>
        <v>AL DÍA</v>
      </c>
      <c r="G879" s="1" t="str">
        <f>+'Maestro infraestructura'!X878</f>
        <v>GENERAL</v>
      </c>
      <c r="H879" s="1">
        <f>+'Maestro infraestructura'!Y878</f>
        <v>2</v>
      </c>
      <c r="I879" s="1"/>
      <c r="J879" s="6">
        <f>+'Maestro infraestructura'!T878</f>
        <v>46563</v>
      </c>
      <c r="K879" s="6">
        <f t="shared" ca="1" si="33"/>
        <v>46563</v>
      </c>
      <c r="L879" s="6"/>
    </row>
    <row r="880" spans="1:12" x14ac:dyDescent="0.2">
      <c r="A880" s="1" t="str">
        <f>+'Maestro infraestructura'!A879</f>
        <v>NEUBAU</v>
      </c>
      <c r="B880" s="1" t="str">
        <f>+'Maestro infraestructura'!B879</f>
        <v>2° Piso</v>
      </c>
      <c r="C880" s="1" t="str">
        <f>+'Maestro infraestructura'!C879</f>
        <v>S11</v>
      </c>
      <c r="D880" s="1" t="str">
        <f>+'Maestro infraestructura'!F879</f>
        <v>Enchufes</v>
      </c>
      <c r="E880" s="25" t="str">
        <f ca="1">+'Maestro infraestructura'!K879</f>
        <v>Activo</v>
      </c>
      <c r="F880" s="1" t="str">
        <f ca="1">+'Maestro infraestructura'!V879</f>
        <v>AL DÍA</v>
      </c>
      <c r="G880" s="1" t="str">
        <f>+'Maestro infraestructura'!X879</f>
        <v>GENERAL</v>
      </c>
      <c r="H880" s="1">
        <f>+'Maestro infraestructura'!Y879</f>
        <v>2</v>
      </c>
      <c r="I880" s="1"/>
      <c r="J880" s="6">
        <f>+'Maestro infraestructura'!T879</f>
        <v>46563</v>
      </c>
      <c r="K880" s="6">
        <f t="shared" ca="1" si="33"/>
        <v>46563</v>
      </c>
      <c r="L880" s="6"/>
    </row>
    <row r="881" spans="1:12" x14ac:dyDescent="0.2">
      <c r="A881" s="1" t="str">
        <f>+'Maestro infraestructura'!A880</f>
        <v>NEUBAU</v>
      </c>
      <c r="B881" s="1" t="str">
        <f>+'Maestro infraestructura'!B880</f>
        <v>2° Piso</v>
      </c>
      <c r="C881" s="1" t="str">
        <f>+'Maestro infraestructura'!C880</f>
        <v>S11</v>
      </c>
      <c r="D881" s="1" t="str">
        <f>+'Maestro infraestructura'!F880</f>
        <v>TV</v>
      </c>
      <c r="E881" s="25" t="str">
        <f ca="1">+'Maestro infraestructura'!K880</f>
        <v>Activo</v>
      </c>
      <c r="F881" s="1" t="str">
        <f ca="1">+'Maestro infraestructura'!V880</f>
        <v>AL DÍA</v>
      </c>
      <c r="G881" s="1" t="str">
        <f>+'Maestro infraestructura'!X880</f>
        <v>OPERACIÓN</v>
      </c>
      <c r="H881" s="1">
        <f>+'Maestro infraestructura'!Y880</f>
        <v>2</v>
      </c>
      <c r="I881" s="1"/>
      <c r="J881" s="6">
        <f>+'Maestro infraestructura'!T880</f>
        <v>46563</v>
      </c>
      <c r="K881" s="6">
        <f t="shared" ca="1" si="33"/>
        <v>46563</v>
      </c>
      <c r="L881" s="6"/>
    </row>
    <row r="882" spans="1:12" x14ac:dyDescent="0.2">
      <c r="A882" s="1" t="str">
        <f>+'Maestro infraestructura'!A881</f>
        <v>NEUBAU</v>
      </c>
      <c r="B882" s="1" t="str">
        <f>+'Maestro infraestructura'!B881</f>
        <v>2° Piso</v>
      </c>
      <c r="C882" s="1" t="str">
        <f>+'Maestro infraestructura'!C881</f>
        <v>S11</v>
      </c>
      <c r="D882" s="1" t="str">
        <f>+'Maestro infraestructura'!F881</f>
        <v>Pizarra</v>
      </c>
      <c r="E882" s="25" t="str">
        <f ca="1">+'Maestro infraestructura'!K881</f>
        <v>Activo</v>
      </c>
      <c r="F882" s="1" t="str">
        <f ca="1">+'Maestro infraestructura'!V881</f>
        <v>AL DÍA</v>
      </c>
      <c r="G882" s="1" t="str">
        <f>+'Maestro infraestructura'!X881</f>
        <v>OPERACIÓN</v>
      </c>
      <c r="H882" s="1">
        <f>+'Maestro infraestructura'!Y881</f>
        <v>2</v>
      </c>
      <c r="I882" s="1"/>
      <c r="J882" s="6">
        <f>+'Maestro infraestructura'!T881</f>
        <v>46563</v>
      </c>
      <c r="K882" s="6">
        <f t="shared" ca="1" si="33"/>
        <v>46563</v>
      </c>
      <c r="L882" s="6"/>
    </row>
    <row r="883" spans="1:12" x14ac:dyDescent="0.2">
      <c r="A883" s="1" t="str">
        <f>+'Maestro infraestructura'!A882</f>
        <v>NEUBAU</v>
      </c>
      <c r="B883" s="1" t="str">
        <f>+'Maestro infraestructura'!B882</f>
        <v>2° Piso</v>
      </c>
      <c r="C883" s="1" t="str">
        <f>+'Maestro infraestructura'!C882</f>
        <v>S11</v>
      </c>
      <c r="D883" s="1" t="str">
        <f>+'Maestro infraestructura'!F882</f>
        <v>Puertas</v>
      </c>
      <c r="E883" s="25" t="str">
        <f ca="1">+'Maestro infraestructura'!K882</f>
        <v>Activo</v>
      </c>
      <c r="F883" s="1" t="str">
        <f ca="1">+'Maestro infraestructura'!V882</f>
        <v>AL DÍA</v>
      </c>
      <c r="G883" s="1" t="str">
        <f>+'Maestro infraestructura'!X882</f>
        <v>GENERAL</v>
      </c>
      <c r="H883" s="1">
        <f>+'Maestro infraestructura'!Y882</f>
        <v>2</v>
      </c>
      <c r="I883" s="1"/>
      <c r="J883" s="6">
        <f>+'Maestro infraestructura'!T882</f>
        <v>46563</v>
      </c>
      <c r="K883" s="6">
        <f t="shared" ca="1" si="33"/>
        <v>46563</v>
      </c>
      <c r="L883" s="6"/>
    </row>
    <row r="884" spans="1:12" x14ac:dyDescent="0.2">
      <c r="A884" s="1" t="str">
        <f>+'Maestro infraestructura'!A883</f>
        <v>NEUBAU</v>
      </c>
      <c r="B884" s="1" t="str">
        <f>+'Maestro infraestructura'!B883</f>
        <v>2° Piso</v>
      </c>
      <c r="C884" s="1" t="str">
        <f>+'Maestro infraestructura'!C883</f>
        <v>S12</v>
      </c>
      <c r="D884" s="1" t="str">
        <f>+'Maestro infraestructura'!F883</f>
        <v>Ventanas</v>
      </c>
      <c r="E884" s="25" t="str">
        <f ca="1">+'Maestro infraestructura'!K883</f>
        <v>Activo</v>
      </c>
      <c r="F884" s="1" t="str">
        <f ca="1">+'Maestro infraestructura'!V883</f>
        <v>AL DÍA</v>
      </c>
      <c r="G884" s="1" t="str">
        <f>+'Maestro infraestructura'!X883</f>
        <v>SEGURIDAD</v>
      </c>
      <c r="H884" s="1">
        <f>+'Maestro infraestructura'!Y883</f>
        <v>2</v>
      </c>
      <c r="I884" s="1"/>
      <c r="J884" s="6">
        <f>+'Maestro infraestructura'!T883</f>
        <v>46563</v>
      </c>
      <c r="K884" s="6">
        <f t="shared" ca="1" si="33"/>
        <v>46563</v>
      </c>
      <c r="L884" s="6"/>
    </row>
    <row r="885" spans="1:12" x14ac:dyDescent="0.2">
      <c r="A885" s="1" t="str">
        <f>+'Maestro infraestructura'!A884</f>
        <v>NEUBAU</v>
      </c>
      <c r="B885" s="1" t="str">
        <f>+'Maestro infraestructura'!B884</f>
        <v>2° Piso</v>
      </c>
      <c r="C885" s="1" t="str">
        <f>+'Maestro infraestructura'!C884</f>
        <v>S12</v>
      </c>
      <c r="D885" s="1" t="str">
        <f>+'Maestro infraestructura'!F884</f>
        <v>Piso</v>
      </c>
      <c r="E885" s="25" t="str">
        <f ca="1">+'Maestro infraestructura'!K884</f>
        <v>Activo</v>
      </c>
      <c r="F885" s="1" t="str">
        <f ca="1">+'Maestro infraestructura'!V884</f>
        <v>AL DÍA</v>
      </c>
      <c r="G885" s="1" t="str">
        <f>+'Maestro infraestructura'!X884</f>
        <v>GENERAL</v>
      </c>
      <c r="H885" s="1">
        <f>+'Maestro infraestructura'!Y884</f>
        <v>2</v>
      </c>
      <c r="I885" s="1"/>
      <c r="J885" s="6">
        <f>+'Maestro infraestructura'!T884</f>
        <v>46563</v>
      </c>
      <c r="K885" s="6">
        <f t="shared" ca="1" si="33"/>
        <v>46563</v>
      </c>
      <c r="L885" s="6"/>
    </row>
    <row r="886" spans="1:12" x14ac:dyDescent="0.2">
      <c r="A886" s="1" t="str">
        <f>+'Maestro infraestructura'!A885</f>
        <v>NEUBAU</v>
      </c>
      <c r="B886" s="1" t="str">
        <f>+'Maestro infraestructura'!B885</f>
        <v>2° Piso</v>
      </c>
      <c r="C886" s="1" t="str">
        <f>+'Maestro infraestructura'!C885</f>
        <v>S12</v>
      </c>
      <c r="D886" s="1" t="str">
        <f>+'Maestro infraestructura'!F885</f>
        <v>Enchufes</v>
      </c>
      <c r="E886" s="25" t="str">
        <f ca="1">+'Maestro infraestructura'!K885</f>
        <v>Activo</v>
      </c>
      <c r="F886" s="1" t="str">
        <f ca="1">+'Maestro infraestructura'!V885</f>
        <v>AL DÍA</v>
      </c>
      <c r="G886" s="1" t="str">
        <f>+'Maestro infraestructura'!X885</f>
        <v>GENERAL</v>
      </c>
      <c r="H886" s="1">
        <f>+'Maestro infraestructura'!Y885</f>
        <v>2</v>
      </c>
      <c r="I886" s="1"/>
      <c r="J886" s="6">
        <f>+'Maestro infraestructura'!T885</f>
        <v>46563</v>
      </c>
      <c r="K886" s="6">
        <f t="shared" ca="1" si="33"/>
        <v>46563</v>
      </c>
      <c r="L886" s="6"/>
    </row>
    <row r="887" spans="1:12" x14ac:dyDescent="0.2">
      <c r="A887" s="1" t="str">
        <f>+'Maestro infraestructura'!A886</f>
        <v>NEUBAU</v>
      </c>
      <c r="B887" s="1" t="str">
        <f>+'Maestro infraestructura'!B886</f>
        <v>2° Piso</v>
      </c>
      <c r="C887" s="1" t="str">
        <f>+'Maestro infraestructura'!C886</f>
        <v>S12</v>
      </c>
      <c r="D887" s="1" t="str">
        <f>+'Maestro infraestructura'!F886</f>
        <v>TV</v>
      </c>
      <c r="E887" s="25" t="str">
        <f ca="1">+'Maestro infraestructura'!K886</f>
        <v>Activo</v>
      </c>
      <c r="F887" s="1" t="str">
        <f ca="1">+'Maestro infraestructura'!V886</f>
        <v>AL DÍA</v>
      </c>
      <c r="G887" s="1" t="str">
        <f>+'Maestro infraestructura'!X886</f>
        <v>OPERACIÓN</v>
      </c>
      <c r="H887" s="1">
        <f>+'Maestro infraestructura'!Y886</f>
        <v>2</v>
      </c>
      <c r="I887" s="1"/>
      <c r="J887" s="6">
        <f>+'Maestro infraestructura'!T886</f>
        <v>46563</v>
      </c>
      <c r="K887" s="6">
        <f t="shared" ca="1" si="33"/>
        <v>46563</v>
      </c>
      <c r="L887" s="6"/>
    </row>
    <row r="888" spans="1:12" x14ac:dyDescent="0.2">
      <c r="A888" s="1" t="str">
        <f>+'Maestro infraestructura'!A887</f>
        <v>NEUBAU</v>
      </c>
      <c r="B888" s="1" t="str">
        <f>+'Maestro infraestructura'!B887</f>
        <v>2° Piso</v>
      </c>
      <c r="C888" s="1" t="str">
        <f>+'Maestro infraestructura'!C887</f>
        <v>S12</v>
      </c>
      <c r="D888" s="1" t="str">
        <f>+'Maestro infraestructura'!F887</f>
        <v>Pizarra</v>
      </c>
      <c r="E888" s="25" t="str">
        <f ca="1">+'Maestro infraestructura'!K887</f>
        <v>Activo</v>
      </c>
      <c r="F888" s="1" t="str">
        <f ca="1">+'Maestro infraestructura'!V887</f>
        <v>AL DÍA</v>
      </c>
      <c r="G888" s="1" t="str">
        <f>+'Maestro infraestructura'!X887</f>
        <v>OPERACIÓN</v>
      </c>
      <c r="H888" s="1">
        <f>+'Maestro infraestructura'!Y887</f>
        <v>2</v>
      </c>
      <c r="I888" s="1"/>
      <c r="J888" s="6">
        <f>+'Maestro infraestructura'!T887</f>
        <v>46563</v>
      </c>
      <c r="K888" s="6">
        <f t="shared" ca="1" si="33"/>
        <v>46563</v>
      </c>
      <c r="L888" s="6"/>
    </row>
    <row r="889" spans="1:12" x14ac:dyDescent="0.2">
      <c r="A889" s="1" t="str">
        <f>+'Maestro infraestructura'!A888</f>
        <v>NEUBAU</v>
      </c>
      <c r="B889" s="1" t="str">
        <f>+'Maestro infraestructura'!B888</f>
        <v>2° Piso</v>
      </c>
      <c r="C889" s="1" t="str">
        <f>+'Maestro infraestructura'!C888</f>
        <v>S12</v>
      </c>
      <c r="D889" s="1" t="str">
        <f>+'Maestro infraestructura'!F888</f>
        <v>Puertas</v>
      </c>
      <c r="E889" s="25" t="str">
        <f ca="1">+'Maestro infraestructura'!K888</f>
        <v>Activo</v>
      </c>
      <c r="F889" s="1" t="str">
        <f ca="1">+'Maestro infraestructura'!V888</f>
        <v>AL DÍA</v>
      </c>
      <c r="G889" s="1" t="str">
        <f>+'Maestro infraestructura'!X888</f>
        <v>GENERAL</v>
      </c>
      <c r="H889" s="1">
        <f>+'Maestro infraestructura'!Y888</f>
        <v>2</v>
      </c>
      <c r="I889" s="1"/>
      <c r="J889" s="6">
        <f>+'Maestro infraestructura'!T888</f>
        <v>46563</v>
      </c>
      <c r="K889" s="6">
        <f t="shared" ca="1" si="33"/>
        <v>46563</v>
      </c>
      <c r="L889" s="6"/>
    </row>
    <row r="890" spans="1:12" x14ac:dyDescent="0.2">
      <c r="A890" s="1" t="str">
        <f>+'Maestro infraestructura'!A889</f>
        <v>NEUBAU</v>
      </c>
      <c r="B890" s="1" t="str">
        <f>+'Maestro infraestructura'!B889</f>
        <v>2° Piso</v>
      </c>
      <c r="C890" s="1" t="str">
        <f>+'Maestro infraestructura'!C889</f>
        <v>S13</v>
      </c>
      <c r="D890" s="1" t="str">
        <f>+'Maestro infraestructura'!F889</f>
        <v>Ventanas</v>
      </c>
      <c r="E890" s="25" t="str">
        <f ca="1">+'Maestro infraestructura'!K889</f>
        <v>Activo</v>
      </c>
      <c r="F890" s="1" t="str">
        <f ca="1">+'Maestro infraestructura'!V889</f>
        <v>AL DÍA</v>
      </c>
      <c r="G890" s="1" t="str">
        <f>+'Maestro infraestructura'!X889</f>
        <v>SEGURIDAD</v>
      </c>
      <c r="H890" s="1">
        <f>+'Maestro infraestructura'!Y889</f>
        <v>2</v>
      </c>
      <c r="I890" s="1"/>
      <c r="J890" s="6">
        <f>+'Maestro infraestructura'!T889</f>
        <v>46563</v>
      </c>
      <c r="K890" s="6">
        <f t="shared" ca="1" si="33"/>
        <v>46563</v>
      </c>
      <c r="L890" s="6"/>
    </row>
    <row r="891" spans="1:12" x14ac:dyDescent="0.2">
      <c r="A891" s="1" t="str">
        <f>+'Maestro infraestructura'!A890</f>
        <v>NEUBAU</v>
      </c>
      <c r="B891" s="1" t="str">
        <f>+'Maestro infraestructura'!B890</f>
        <v>2° Piso</v>
      </c>
      <c r="C891" s="1" t="str">
        <f>+'Maestro infraestructura'!C890</f>
        <v>S13</v>
      </c>
      <c r="D891" s="1" t="str">
        <f>+'Maestro infraestructura'!F890</f>
        <v>Piso</v>
      </c>
      <c r="E891" s="25" t="str">
        <f ca="1">+'Maestro infraestructura'!K890</f>
        <v>Activo</v>
      </c>
      <c r="F891" s="1" t="str">
        <f ca="1">+'Maestro infraestructura'!V890</f>
        <v>AL DÍA</v>
      </c>
      <c r="G891" s="1" t="str">
        <f>+'Maestro infraestructura'!X890</f>
        <v>GENERAL</v>
      </c>
      <c r="H891" s="1">
        <f>+'Maestro infraestructura'!Y890</f>
        <v>2</v>
      </c>
      <c r="I891" s="1"/>
      <c r="J891" s="6">
        <f>+'Maestro infraestructura'!T890</f>
        <v>46563</v>
      </c>
      <c r="K891" s="6">
        <f t="shared" ca="1" si="33"/>
        <v>46563</v>
      </c>
      <c r="L891" s="6"/>
    </row>
    <row r="892" spans="1:12" x14ac:dyDescent="0.2">
      <c r="A892" s="1" t="str">
        <f>+'Maestro infraestructura'!A891</f>
        <v>NEUBAU</v>
      </c>
      <c r="B892" s="1" t="str">
        <f>+'Maestro infraestructura'!B891</f>
        <v>2° Piso</v>
      </c>
      <c r="C892" s="1" t="str">
        <f>+'Maestro infraestructura'!C891</f>
        <v>S13</v>
      </c>
      <c r="D892" s="1" t="str">
        <f>+'Maestro infraestructura'!F891</f>
        <v>Enchufes</v>
      </c>
      <c r="E892" s="25" t="str">
        <f ca="1">+'Maestro infraestructura'!K891</f>
        <v>Activo</v>
      </c>
      <c r="F892" s="1" t="str">
        <f ca="1">+'Maestro infraestructura'!V891</f>
        <v>AL DÍA</v>
      </c>
      <c r="G892" s="1" t="str">
        <f>+'Maestro infraestructura'!X891</f>
        <v>GENERAL</v>
      </c>
      <c r="H892" s="1">
        <f>+'Maestro infraestructura'!Y891</f>
        <v>2</v>
      </c>
      <c r="I892" s="1"/>
      <c r="J892" s="6">
        <f>+'Maestro infraestructura'!T891</f>
        <v>46563</v>
      </c>
      <c r="K892" s="6">
        <f t="shared" ca="1" si="33"/>
        <v>46563</v>
      </c>
      <c r="L892" s="6"/>
    </row>
    <row r="893" spans="1:12" x14ac:dyDescent="0.2">
      <c r="A893" s="1" t="str">
        <f>+'Maestro infraestructura'!A892</f>
        <v>NEUBAU</v>
      </c>
      <c r="B893" s="1" t="str">
        <f>+'Maestro infraestructura'!B892</f>
        <v>2° Piso</v>
      </c>
      <c r="C893" s="1" t="str">
        <f>+'Maestro infraestructura'!C892</f>
        <v>S13</v>
      </c>
      <c r="D893" s="1" t="str">
        <f>+'Maestro infraestructura'!F892</f>
        <v>TV</v>
      </c>
      <c r="E893" s="25" t="str">
        <f ca="1">+'Maestro infraestructura'!K892</f>
        <v>Activo</v>
      </c>
      <c r="F893" s="1" t="str">
        <f ca="1">+'Maestro infraestructura'!V892</f>
        <v>AL DÍA</v>
      </c>
      <c r="G893" s="1" t="str">
        <f>+'Maestro infraestructura'!X892</f>
        <v>OPERACIÓN</v>
      </c>
      <c r="H893" s="1">
        <f>+'Maestro infraestructura'!Y892</f>
        <v>2</v>
      </c>
      <c r="I893" s="1"/>
      <c r="J893" s="6">
        <f>+'Maestro infraestructura'!T892</f>
        <v>46563</v>
      </c>
      <c r="K893" s="6">
        <f t="shared" ca="1" si="33"/>
        <v>46563</v>
      </c>
      <c r="L893" s="6"/>
    </row>
    <row r="894" spans="1:12" x14ac:dyDescent="0.2">
      <c r="A894" s="1" t="str">
        <f>+'Maestro infraestructura'!A893</f>
        <v>NEUBAU</v>
      </c>
      <c r="B894" s="1" t="str">
        <f>+'Maestro infraestructura'!B893</f>
        <v>2° Piso</v>
      </c>
      <c r="C894" s="1" t="str">
        <f>+'Maestro infraestructura'!C893</f>
        <v>S13</v>
      </c>
      <c r="D894" s="1" t="str">
        <f>+'Maestro infraestructura'!F893</f>
        <v>Pizarra</v>
      </c>
      <c r="E894" s="25" t="str">
        <f ca="1">+'Maestro infraestructura'!K893</f>
        <v>Activo</v>
      </c>
      <c r="F894" s="1" t="str">
        <f ca="1">+'Maestro infraestructura'!V893</f>
        <v>AL DÍA</v>
      </c>
      <c r="G894" s="1" t="str">
        <f>+'Maestro infraestructura'!X893</f>
        <v>OPERACIÓN</v>
      </c>
      <c r="H894" s="1">
        <f>+'Maestro infraestructura'!Y893</f>
        <v>2</v>
      </c>
      <c r="I894" s="1"/>
      <c r="J894" s="6">
        <f>+'Maestro infraestructura'!T893</f>
        <v>46563</v>
      </c>
      <c r="K894" s="6">
        <f t="shared" ca="1" si="33"/>
        <v>46563</v>
      </c>
      <c r="L894" s="6"/>
    </row>
    <row r="895" spans="1:12" x14ac:dyDescent="0.2">
      <c r="A895" s="1" t="str">
        <f>+'Maestro infraestructura'!A894</f>
        <v>NEUBAU</v>
      </c>
      <c r="B895" s="1" t="str">
        <f>+'Maestro infraestructura'!B894</f>
        <v>2° Piso</v>
      </c>
      <c r="C895" s="1" t="str">
        <f>+'Maestro infraestructura'!C894</f>
        <v>S13</v>
      </c>
      <c r="D895" s="1" t="str">
        <f>+'Maestro infraestructura'!F894</f>
        <v>Puertas</v>
      </c>
      <c r="E895" s="25" t="str">
        <f ca="1">+'Maestro infraestructura'!K894</f>
        <v>Activo</v>
      </c>
      <c r="F895" s="1" t="str">
        <f ca="1">+'Maestro infraestructura'!V894</f>
        <v>AL DÍA</v>
      </c>
      <c r="G895" s="1" t="str">
        <f>+'Maestro infraestructura'!X894</f>
        <v>GENERAL</v>
      </c>
      <c r="H895" s="1">
        <f>+'Maestro infraestructura'!Y894</f>
        <v>2</v>
      </c>
      <c r="I895" s="1"/>
      <c r="J895" s="6">
        <f>+'Maestro infraestructura'!T894</f>
        <v>46563</v>
      </c>
      <c r="K895" s="6">
        <f t="shared" ca="1" si="33"/>
        <v>46563</v>
      </c>
      <c r="L895" s="6"/>
    </row>
    <row r="896" spans="1:12" x14ac:dyDescent="0.2">
      <c r="A896" s="1" t="str">
        <f>+'Maestro infraestructura'!A895</f>
        <v>NEUBAU</v>
      </c>
      <c r="B896" s="1" t="str">
        <f>+'Maestro infraestructura'!B895</f>
        <v>2° Piso</v>
      </c>
      <c r="C896" s="1" t="str">
        <f>+'Maestro infraestructura'!C895</f>
        <v>S14</v>
      </c>
      <c r="D896" s="1" t="str">
        <f>+'Maestro infraestructura'!F895</f>
        <v>Ventanas</v>
      </c>
      <c r="E896" s="25" t="str">
        <f ca="1">+'Maestro infraestructura'!K895</f>
        <v>Activo</v>
      </c>
      <c r="F896" s="1" t="str">
        <f ca="1">+'Maestro infraestructura'!V895</f>
        <v>AL DÍA</v>
      </c>
      <c r="G896" s="1" t="str">
        <f>+'Maestro infraestructura'!X895</f>
        <v>SEGURIDAD</v>
      </c>
      <c r="H896" s="1">
        <f>+'Maestro infraestructura'!Y895</f>
        <v>2</v>
      </c>
      <c r="I896" s="1"/>
      <c r="J896" s="6">
        <f>+'Maestro infraestructura'!T895</f>
        <v>46563</v>
      </c>
      <c r="K896" s="6">
        <f t="shared" ca="1" si="33"/>
        <v>46563</v>
      </c>
      <c r="L896" s="6"/>
    </row>
    <row r="897" spans="1:12" x14ac:dyDescent="0.2">
      <c r="A897" s="1" t="str">
        <f>+'Maestro infraestructura'!A896</f>
        <v>NEUBAU</v>
      </c>
      <c r="B897" s="1" t="str">
        <f>+'Maestro infraestructura'!B896</f>
        <v>2° Piso</v>
      </c>
      <c r="C897" s="1" t="str">
        <f>+'Maestro infraestructura'!C896</f>
        <v>S14</v>
      </c>
      <c r="D897" s="1" t="str">
        <f>+'Maestro infraestructura'!F896</f>
        <v>Piso</v>
      </c>
      <c r="E897" s="25" t="str">
        <f ca="1">+'Maestro infraestructura'!K896</f>
        <v>Activo</v>
      </c>
      <c r="F897" s="1" t="str">
        <f ca="1">+'Maestro infraestructura'!V896</f>
        <v>AL DÍA</v>
      </c>
      <c r="G897" s="1" t="str">
        <f>+'Maestro infraestructura'!X896</f>
        <v>GENERAL</v>
      </c>
      <c r="H897" s="1">
        <f>+'Maestro infraestructura'!Y896</f>
        <v>2</v>
      </c>
      <c r="I897" s="1"/>
      <c r="J897" s="6">
        <f>+'Maestro infraestructura'!T896</f>
        <v>46563</v>
      </c>
      <c r="K897" s="6">
        <f t="shared" ca="1" si="33"/>
        <v>46563</v>
      </c>
      <c r="L897" s="6"/>
    </row>
    <row r="898" spans="1:12" x14ac:dyDescent="0.2">
      <c r="A898" s="1" t="str">
        <f>+'Maestro infraestructura'!A897</f>
        <v>NEUBAU</v>
      </c>
      <c r="B898" s="1" t="str">
        <f>+'Maestro infraestructura'!B897</f>
        <v>2° Piso</v>
      </c>
      <c r="C898" s="1" t="str">
        <f>+'Maestro infraestructura'!C897</f>
        <v>S14</v>
      </c>
      <c r="D898" s="1" t="str">
        <f>+'Maestro infraestructura'!F897</f>
        <v>Enchufes</v>
      </c>
      <c r="E898" s="25" t="str">
        <f ca="1">+'Maestro infraestructura'!K897</f>
        <v>Activo</v>
      </c>
      <c r="F898" s="1" t="str">
        <f ca="1">+'Maestro infraestructura'!V897</f>
        <v>AL DÍA</v>
      </c>
      <c r="G898" s="1" t="str">
        <f>+'Maestro infraestructura'!X897</f>
        <v>GENERAL</v>
      </c>
      <c r="H898" s="1">
        <f>+'Maestro infraestructura'!Y897</f>
        <v>2</v>
      </c>
      <c r="I898" s="1"/>
      <c r="J898" s="6">
        <f>+'Maestro infraestructura'!T897</f>
        <v>46563</v>
      </c>
      <c r="K898" s="6">
        <f t="shared" ca="1" si="33"/>
        <v>46563</v>
      </c>
      <c r="L898" s="6"/>
    </row>
    <row r="899" spans="1:12" x14ac:dyDescent="0.2">
      <c r="A899" s="1" t="str">
        <f>+'Maestro infraestructura'!A898</f>
        <v>NEUBAU</v>
      </c>
      <c r="B899" s="1" t="str">
        <f>+'Maestro infraestructura'!B898</f>
        <v>2° Piso</v>
      </c>
      <c r="C899" s="1" t="str">
        <f>+'Maestro infraestructura'!C898</f>
        <v>S14</v>
      </c>
      <c r="D899" s="1" t="str">
        <f>+'Maestro infraestructura'!F898</f>
        <v>TV</v>
      </c>
      <c r="E899" s="25" t="str">
        <f ca="1">+'Maestro infraestructura'!K898</f>
        <v>Activo</v>
      </c>
      <c r="F899" s="1" t="str">
        <f ca="1">+'Maestro infraestructura'!V898</f>
        <v>AL DÍA</v>
      </c>
      <c r="G899" s="1" t="str">
        <f>+'Maestro infraestructura'!X898</f>
        <v>OPERACIÓN</v>
      </c>
      <c r="H899" s="1">
        <f>+'Maestro infraestructura'!Y898</f>
        <v>2</v>
      </c>
      <c r="I899" s="1"/>
      <c r="J899" s="6">
        <f>+'Maestro infraestructura'!T898</f>
        <v>46563</v>
      </c>
      <c r="K899" s="6">
        <f t="shared" ca="1" si="33"/>
        <v>46563</v>
      </c>
      <c r="L899" s="6"/>
    </row>
    <row r="900" spans="1:12" x14ac:dyDescent="0.2">
      <c r="A900" s="1" t="str">
        <f>+'Maestro infraestructura'!A899</f>
        <v>NEUBAU</v>
      </c>
      <c r="B900" s="1" t="str">
        <f>+'Maestro infraestructura'!B899</f>
        <v>2° Piso</v>
      </c>
      <c r="C900" s="1" t="str">
        <f>+'Maestro infraestructura'!C899</f>
        <v>S14</v>
      </c>
      <c r="D900" s="1" t="str">
        <f>+'Maestro infraestructura'!F899</f>
        <v>Pizarra</v>
      </c>
      <c r="E900" s="25" t="str">
        <f ca="1">+'Maestro infraestructura'!K899</f>
        <v>Activo</v>
      </c>
      <c r="F900" s="1" t="str">
        <f ca="1">+'Maestro infraestructura'!V899</f>
        <v>AL DÍA</v>
      </c>
      <c r="G900" s="1" t="str">
        <f>+'Maestro infraestructura'!X899</f>
        <v>OPERACIÓN</v>
      </c>
      <c r="H900" s="1">
        <f>+'Maestro infraestructura'!Y899</f>
        <v>2</v>
      </c>
      <c r="I900" s="1"/>
      <c r="J900" s="6">
        <f>+'Maestro infraestructura'!T899</f>
        <v>46563</v>
      </c>
      <c r="K900" s="6">
        <f t="shared" ref="K900:K963" ca="1" si="34">IF(E900="Cambiar o Inspección externa",1/1/2027,IF(E900="cambiar",1/1/2027,J900))</f>
        <v>46563</v>
      </c>
      <c r="L900" s="6"/>
    </row>
    <row r="901" spans="1:12" x14ac:dyDescent="0.2">
      <c r="A901" s="1" t="str">
        <f>+'Maestro infraestructura'!A900</f>
        <v>NEUBAU</v>
      </c>
      <c r="B901" s="1" t="str">
        <f>+'Maestro infraestructura'!B900</f>
        <v>2° Piso</v>
      </c>
      <c r="C901" s="1" t="str">
        <f>+'Maestro infraestructura'!C900</f>
        <v>S14</v>
      </c>
      <c r="D901" s="1" t="str">
        <f>+'Maestro infraestructura'!F900</f>
        <v>Puertas</v>
      </c>
      <c r="E901" s="25" t="str">
        <f ca="1">+'Maestro infraestructura'!K900</f>
        <v>Activo</v>
      </c>
      <c r="F901" s="1" t="str">
        <f ca="1">+'Maestro infraestructura'!V900</f>
        <v>AL DÍA</v>
      </c>
      <c r="G901" s="1" t="str">
        <f>+'Maestro infraestructura'!X900</f>
        <v>GENERAL</v>
      </c>
      <c r="H901" s="1">
        <f>+'Maestro infraestructura'!Y900</f>
        <v>2</v>
      </c>
      <c r="I901" s="1"/>
      <c r="J901" s="6">
        <f>+'Maestro infraestructura'!T900</f>
        <v>46563</v>
      </c>
      <c r="K901" s="6">
        <f t="shared" ca="1" si="34"/>
        <v>46563</v>
      </c>
      <c r="L901" s="6"/>
    </row>
    <row r="902" spans="1:12" x14ac:dyDescent="0.2">
      <c r="A902" s="1" t="str">
        <f>+'Maestro infraestructura'!A901</f>
        <v>NEUBAU</v>
      </c>
      <c r="B902" s="1" t="str">
        <f>+'Maestro infraestructura'!B901</f>
        <v>2° Piso</v>
      </c>
      <c r="C902" s="1" t="str">
        <f>+'Maestro infraestructura'!C901</f>
        <v>S15</v>
      </c>
      <c r="D902" s="1" t="str">
        <f>+'Maestro infraestructura'!F901</f>
        <v>Ventanas</v>
      </c>
      <c r="E902" s="25" t="str">
        <f ca="1">+'Maestro infraestructura'!K901</f>
        <v>Activo</v>
      </c>
      <c r="F902" s="1" t="str">
        <f ca="1">+'Maestro infraestructura'!V901</f>
        <v>AL DÍA</v>
      </c>
      <c r="G902" s="1" t="str">
        <f>+'Maestro infraestructura'!X901</f>
        <v>SEGURIDAD</v>
      </c>
      <c r="H902" s="1">
        <f>+'Maestro infraestructura'!Y901</f>
        <v>2</v>
      </c>
      <c r="I902" s="1"/>
      <c r="J902" s="6">
        <f>+'Maestro infraestructura'!T901</f>
        <v>46563</v>
      </c>
      <c r="K902" s="6">
        <f t="shared" ca="1" si="34"/>
        <v>46563</v>
      </c>
      <c r="L902" s="6"/>
    </row>
    <row r="903" spans="1:12" x14ac:dyDescent="0.2">
      <c r="A903" s="1" t="str">
        <f>+'Maestro infraestructura'!A902</f>
        <v>NEUBAU</v>
      </c>
      <c r="B903" s="1" t="str">
        <f>+'Maestro infraestructura'!B902</f>
        <v>2° Piso</v>
      </c>
      <c r="C903" s="1" t="str">
        <f>+'Maestro infraestructura'!C902</f>
        <v>S15</v>
      </c>
      <c r="D903" s="1" t="str">
        <f>+'Maestro infraestructura'!F902</f>
        <v>Piso</v>
      </c>
      <c r="E903" s="25" t="str">
        <f ca="1">+'Maestro infraestructura'!K902</f>
        <v>Activo</v>
      </c>
      <c r="F903" s="1" t="str">
        <f ca="1">+'Maestro infraestructura'!V902</f>
        <v>AL DÍA</v>
      </c>
      <c r="G903" s="1" t="str">
        <f>+'Maestro infraestructura'!X902</f>
        <v>GENERAL</v>
      </c>
      <c r="H903" s="1">
        <f>+'Maestro infraestructura'!Y902</f>
        <v>2</v>
      </c>
      <c r="I903" s="1"/>
      <c r="J903" s="6">
        <f>+'Maestro infraestructura'!T902</f>
        <v>46563</v>
      </c>
      <c r="K903" s="6">
        <f t="shared" ca="1" si="34"/>
        <v>46563</v>
      </c>
      <c r="L903" s="6"/>
    </row>
    <row r="904" spans="1:12" x14ac:dyDescent="0.2">
      <c r="A904" s="1" t="str">
        <f>+'Maestro infraestructura'!A903</f>
        <v>NEUBAU</v>
      </c>
      <c r="B904" s="1" t="str">
        <f>+'Maestro infraestructura'!B903</f>
        <v>2° Piso</v>
      </c>
      <c r="C904" s="1" t="str">
        <f>+'Maestro infraestructura'!C903</f>
        <v>S15</v>
      </c>
      <c r="D904" s="1" t="str">
        <f>+'Maestro infraestructura'!F903</f>
        <v>Enchufes</v>
      </c>
      <c r="E904" s="25" t="str">
        <f ca="1">+'Maestro infraestructura'!K903</f>
        <v>Activo</v>
      </c>
      <c r="F904" s="1" t="str">
        <f ca="1">+'Maestro infraestructura'!V903</f>
        <v>AL DÍA</v>
      </c>
      <c r="G904" s="1" t="str">
        <f>+'Maestro infraestructura'!X903</f>
        <v>GENERAL</v>
      </c>
      <c r="H904" s="1">
        <f>+'Maestro infraestructura'!Y903</f>
        <v>2</v>
      </c>
      <c r="I904" s="1"/>
      <c r="J904" s="6">
        <f>+'Maestro infraestructura'!T903</f>
        <v>46563</v>
      </c>
      <c r="K904" s="6">
        <f t="shared" ca="1" si="34"/>
        <v>46563</v>
      </c>
      <c r="L904" s="6"/>
    </row>
    <row r="905" spans="1:12" x14ac:dyDescent="0.2">
      <c r="A905" s="1" t="str">
        <f>+'Maestro infraestructura'!A904</f>
        <v>NEUBAU</v>
      </c>
      <c r="B905" s="1" t="str">
        <f>+'Maestro infraestructura'!B904</f>
        <v>2° Piso</v>
      </c>
      <c r="C905" s="1" t="str">
        <f>+'Maestro infraestructura'!C904</f>
        <v>S15</v>
      </c>
      <c r="D905" s="1" t="str">
        <f>+'Maestro infraestructura'!F904</f>
        <v>TV</v>
      </c>
      <c r="E905" s="25" t="str">
        <f ca="1">+'Maestro infraestructura'!K904</f>
        <v>Activo</v>
      </c>
      <c r="F905" s="1" t="str">
        <f ca="1">+'Maestro infraestructura'!V904</f>
        <v>AL DÍA</v>
      </c>
      <c r="G905" s="1" t="str">
        <f>+'Maestro infraestructura'!X904</f>
        <v>OPERACIÓN</v>
      </c>
      <c r="H905" s="1">
        <f>+'Maestro infraestructura'!Y904</f>
        <v>2</v>
      </c>
      <c r="I905" s="1"/>
      <c r="J905" s="6">
        <f>+'Maestro infraestructura'!T904</f>
        <v>46563</v>
      </c>
      <c r="K905" s="6">
        <f t="shared" ca="1" si="34"/>
        <v>46563</v>
      </c>
      <c r="L905" s="6"/>
    </row>
    <row r="906" spans="1:12" x14ac:dyDescent="0.2">
      <c r="A906" s="1" t="str">
        <f>+'Maestro infraestructura'!A905</f>
        <v>NEUBAU</v>
      </c>
      <c r="B906" s="1" t="str">
        <f>+'Maestro infraestructura'!B905</f>
        <v>2° Piso</v>
      </c>
      <c r="C906" s="1" t="str">
        <f>+'Maestro infraestructura'!C905</f>
        <v>S15</v>
      </c>
      <c r="D906" s="1" t="str">
        <f>+'Maestro infraestructura'!F905</f>
        <v>Pizarra</v>
      </c>
      <c r="E906" s="25" t="str">
        <f ca="1">+'Maestro infraestructura'!K905</f>
        <v>Activo</v>
      </c>
      <c r="F906" s="1" t="str">
        <f ca="1">+'Maestro infraestructura'!V905</f>
        <v>AL DÍA</v>
      </c>
      <c r="G906" s="1" t="str">
        <f>+'Maestro infraestructura'!X905</f>
        <v>OPERACIÓN</v>
      </c>
      <c r="H906" s="1">
        <f>+'Maestro infraestructura'!Y905</f>
        <v>2</v>
      </c>
      <c r="I906" s="1"/>
      <c r="J906" s="6">
        <f>+'Maestro infraestructura'!T905</f>
        <v>46563</v>
      </c>
      <c r="K906" s="6">
        <f t="shared" ca="1" si="34"/>
        <v>46563</v>
      </c>
      <c r="L906" s="6"/>
    </row>
    <row r="907" spans="1:12" x14ac:dyDescent="0.2">
      <c r="A907" s="1" t="str">
        <f>+'Maestro infraestructura'!A906</f>
        <v>NEUBAU</v>
      </c>
      <c r="B907" s="1" t="str">
        <f>+'Maestro infraestructura'!B906</f>
        <v>2° Piso</v>
      </c>
      <c r="C907" s="1" t="str">
        <f>+'Maestro infraestructura'!C906</f>
        <v>S15</v>
      </c>
      <c r="D907" s="1" t="str">
        <f>+'Maestro infraestructura'!F906</f>
        <v>Puertas</v>
      </c>
      <c r="E907" s="25" t="str">
        <f ca="1">+'Maestro infraestructura'!K906</f>
        <v>Activo</v>
      </c>
      <c r="F907" s="1" t="str">
        <f ca="1">+'Maestro infraestructura'!V906</f>
        <v>AL DÍA</v>
      </c>
      <c r="G907" s="1" t="str">
        <f>+'Maestro infraestructura'!X906</f>
        <v>GENERAL</v>
      </c>
      <c r="H907" s="1">
        <f>+'Maestro infraestructura'!Y906</f>
        <v>2</v>
      </c>
      <c r="I907" s="1"/>
      <c r="J907" s="6">
        <f>+'Maestro infraestructura'!T906</f>
        <v>46563</v>
      </c>
      <c r="K907" s="6">
        <f t="shared" ca="1" si="34"/>
        <v>46563</v>
      </c>
      <c r="L907" s="6"/>
    </row>
    <row r="908" spans="1:12" x14ac:dyDescent="0.2">
      <c r="A908" s="1" t="str">
        <f>+'Maestro infraestructura'!A907</f>
        <v>NEUBAU</v>
      </c>
      <c r="B908" s="1" t="str">
        <f>+'Maestro infraestructura'!B907</f>
        <v>2° Piso</v>
      </c>
      <c r="C908" s="1" t="str">
        <f>+'Maestro infraestructura'!C907</f>
        <v>S16</v>
      </c>
      <c r="D908" s="1" t="str">
        <f>+'Maestro infraestructura'!F907</f>
        <v>Ventanas</v>
      </c>
      <c r="E908" s="25" t="str">
        <f ca="1">+'Maestro infraestructura'!K907</f>
        <v>Activo</v>
      </c>
      <c r="F908" s="1" t="str">
        <f ca="1">+'Maestro infraestructura'!V907</f>
        <v>AL DÍA</v>
      </c>
      <c r="G908" s="1" t="str">
        <f>+'Maestro infraestructura'!X907</f>
        <v>SEGURIDAD</v>
      </c>
      <c r="H908" s="1">
        <f>+'Maestro infraestructura'!Y907</f>
        <v>2</v>
      </c>
      <c r="I908" s="1"/>
      <c r="J908" s="6">
        <f>+'Maestro infraestructura'!T907</f>
        <v>46563</v>
      </c>
      <c r="K908" s="6">
        <f t="shared" ca="1" si="34"/>
        <v>46563</v>
      </c>
      <c r="L908" s="6"/>
    </row>
    <row r="909" spans="1:12" x14ac:dyDescent="0.2">
      <c r="A909" s="1" t="str">
        <f>+'Maestro infraestructura'!A908</f>
        <v>NEUBAU</v>
      </c>
      <c r="B909" s="1" t="str">
        <f>+'Maestro infraestructura'!B908</f>
        <v>2° Piso</v>
      </c>
      <c r="C909" s="1" t="str">
        <f>+'Maestro infraestructura'!C908</f>
        <v>S16</v>
      </c>
      <c r="D909" s="1" t="str">
        <f>+'Maestro infraestructura'!F908</f>
        <v>Piso</v>
      </c>
      <c r="E909" s="25" t="str">
        <f ca="1">+'Maestro infraestructura'!K908</f>
        <v>Activo</v>
      </c>
      <c r="F909" s="1" t="str">
        <f ca="1">+'Maestro infraestructura'!V908</f>
        <v>AL DÍA</v>
      </c>
      <c r="G909" s="1" t="str">
        <f>+'Maestro infraestructura'!X908</f>
        <v>GENERAL</v>
      </c>
      <c r="H909" s="1">
        <f>+'Maestro infraestructura'!Y908</f>
        <v>2</v>
      </c>
      <c r="I909" s="1"/>
      <c r="J909" s="6">
        <f>+'Maestro infraestructura'!T908</f>
        <v>46563</v>
      </c>
      <c r="K909" s="6">
        <f t="shared" ca="1" si="34"/>
        <v>46563</v>
      </c>
      <c r="L909" s="6"/>
    </row>
    <row r="910" spans="1:12" x14ac:dyDescent="0.2">
      <c r="A910" s="1" t="str">
        <f>+'Maestro infraestructura'!A909</f>
        <v>NEUBAU</v>
      </c>
      <c r="B910" s="1" t="str">
        <f>+'Maestro infraestructura'!B909</f>
        <v>2° Piso</v>
      </c>
      <c r="C910" s="1" t="str">
        <f>+'Maestro infraestructura'!C909</f>
        <v>S16</v>
      </c>
      <c r="D910" s="1" t="str">
        <f>+'Maestro infraestructura'!F909</f>
        <v>Enchufes</v>
      </c>
      <c r="E910" s="25" t="str">
        <f ca="1">+'Maestro infraestructura'!K909</f>
        <v>Activo</v>
      </c>
      <c r="F910" s="1" t="str">
        <f ca="1">+'Maestro infraestructura'!V909</f>
        <v>AL DÍA</v>
      </c>
      <c r="G910" s="1" t="str">
        <f>+'Maestro infraestructura'!X909</f>
        <v>GENERAL</v>
      </c>
      <c r="H910" s="1">
        <f>+'Maestro infraestructura'!Y909</f>
        <v>2</v>
      </c>
      <c r="I910" s="1"/>
      <c r="J910" s="6">
        <f>+'Maestro infraestructura'!T909</f>
        <v>46563</v>
      </c>
      <c r="K910" s="6">
        <f t="shared" ca="1" si="34"/>
        <v>46563</v>
      </c>
      <c r="L910" s="6"/>
    </row>
    <row r="911" spans="1:12" x14ac:dyDescent="0.2">
      <c r="A911" s="1" t="str">
        <f>+'Maestro infraestructura'!A910</f>
        <v>NEUBAU</v>
      </c>
      <c r="B911" s="1" t="str">
        <f>+'Maestro infraestructura'!B910</f>
        <v>2° Piso</v>
      </c>
      <c r="C911" s="1" t="str">
        <f>+'Maestro infraestructura'!C910</f>
        <v>S16</v>
      </c>
      <c r="D911" s="1" t="str">
        <f>+'Maestro infraestructura'!F910</f>
        <v>TV</v>
      </c>
      <c r="E911" s="25" t="str">
        <f ca="1">+'Maestro infraestructura'!K910</f>
        <v>Activo</v>
      </c>
      <c r="F911" s="1" t="str">
        <f ca="1">+'Maestro infraestructura'!V910</f>
        <v>AL DÍA</v>
      </c>
      <c r="G911" s="1" t="str">
        <f>+'Maestro infraestructura'!X910</f>
        <v>OPERACIÓN</v>
      </c>
      <c r="H911" s="1">
        <f>+'Maestro infraestructura'!Y910</f>
        <v>2</v>
      </c>
      <c r="I911" s="1"/>
      <c r="J911" s="6">
        <f>+'Maestro infraestructura'!T910</f>
        <v>46563</v>
      </c>
      <c r="K911" s="6">
        <f t="shared" ca="1" si="34"/>
        <v>46563</v>
      </c>
      <c r="L911" s="6"/>
    </row>
    <row r="912" spans="1:12" x14ac:dyDescent="0.2">
      <c r="A912" s="1" t="str">
        <f>+'Maestro infraestructura'!A911</f>
        <v>NEUBAU</v>
      </c>
      <c r="B912" s="1" t="str">
        <f>+'Maestro infraestructura'!B911</f>
        <v>2° Piso</v>
      </c>
      <c r="C912" s="1" t="str">
        <f>+'Maestro infraestructura'!C911</f>
        <v>S16</v>
      </c>
      <c r="D912" s="1" t="str">
        <f>+'Maestro infraestructura'!F911</f>
        <v>Pizarra</v>
      </c>
      <c r="E912" s="25" t="str">
        <f ca="1">+'Maestro infraestructura'!K911</f>
        <v>Activo</v>
      </c>
      <c r="F912" s="1" t="str">
        <f ca="1">+'Maestro infraestructura'!V911</f>
        <v>AL DÍA</v>
      </c>
      <c r="G912" s="1" t="str">
        <f>+'Maestro infraestructura'!X911</f>
        <v>OPERACIÓN</v>
      </c>
      <c r="H912" s="1">
        <f>+'Maestro infraestructura'!Y911</f>
        <v>2</v>
      </c>
      <c r="I912" s="1"/>
      <c r="J912" s="6">
        <f>+'Maestro infraestructura'!T911</f>
        <v>46563</v>
      </c>
      <c r="K912" s="6">
        <f t="shared" ca="1" si="34"/>
        <v>46563</v>
      </c>
      <c r="L912" s="6"/>
    </row>
    <row r="913" spans="1:12" x14ac:dyDescent="0.2">
      <c r="A913" s="1" t="str">
        <f>+'Maestro infraestructura'!A912</f>
        <v>NEUBAU</v>
      </c>
      <c r="B913" s="1" t="str">
        <f>+'Maestro infraestructura'!B912</f>
        <v>2° Piso</v>
      </c>
      <c r="C913" s="1" t="str">
        <f>+'Maestro infraestructura'!C912</f>
        <v>S16</v>
      </c>
      <c r="D913" s="1" t="str">
        <f>+'Maestro infraestructura'!F912</f>
        <v>Puertas</v>
      </c>
      <c r="E913" s="25" t="str">
        <f ca="1">+'Maestro infraestructura'!K912</f>
        <v>Activo</v>
      </c>
      <c r="F913" s="1" t="str">
        <f ca="1">+'Maestro infraestructura'!V912</f>
        <v>AL DÍA</v>
      </c>
      <c r="G913" s="1" t="str">
        <f>+'Maestro infraestructura'!X912</f>
        <v>GENERAL</v>
      </c>
      <c r="H913" s="1">
        <f>+'Maestro infraestructura'!Y912</f>
        <v>2</v>
      </c>
      <c r="I913" s="1"/>
      <c r="J913" s="6">
        <f>+'Maestro infraestructura'!T912</f>
        <v>46563</v>
      </c>
      <c r="K913" s="6">
        <f t="shared" ca="1" si="34"/>
        <v>46563</v>
      </c>
      <c r="L913" s="6"/>
    </row>
    <row r="914" spans="1:12" x14ac:dyDescent="0.2">
      <c r="A914" s="1" t="str">
        <f>+'Maestro infraestructura'!A913</f>
        <v>NEUBAU</v>
      </c>
      <c r="B914" s="1" t="str">
        <f>+'Maestro infraestructura'!B913</f>
        <v>1° Piso</v>
      </c>
      <c r="C914" s="1" t="str">
        <f>+'Maestro infraestructura'!C913</f>
        <v>S01</v>
      </c>
      <c r="D914" s="1" t="str">
        <f>+'Maestro infraestructura'!F913</f>
        <v>Sillas alumnos</v>
      </c>
      <c r="E914" s="25" t="str">
        <f ca="1">+'Maestro infraestructura'!K913</f>
        <v>Activo</v>
      </c>
      <c r="F914" s="1" t="str">
        <f ca="1">+'Maestro infraestructura'!V913</f>
        <v>AL DÍA</v>
      </c>
      <c r="G914" s="1" t="str">
        <f>+'Maestro infraestructura'!X913</f>
        <v>OPERACIÓN</v>
      </c>
      <c r="H914" s="1">
        <f>+'Maestro infraestructura'!Y913</f>
        <v>2</v>
      </c>
      <c r="I914" s="1"/>
      <c r="J914" s="6">
        <f>+'Maestro infraestructura'!T913</f>
        <v>46378</v>
      </c>
      <c r="K914" s="6">
        <f t="shared" ca="1" si="34"/>
        <v>46378</v>
      </c>
      <c r="L914" s="6"/>
    </row>
    <row r="915" spans="1:12" x14ac:dyDescent="0.2">
      <c r="A915" s="1" t="str">
        <f>+'Maestro infraestructura'!A914</f>
        <v>NEUBAU</v>
      </c>
      <c r="B915" s="1" t="str">
        <f>+'Maestro infraestructura'!B914</f>
        <v>1° Piso</v>
      </c>
      <c r="C915" s="1" t="str">
        <f>+'Maestro infraestructura'!C914</f>
        <v>S02</v>
      </c>
      <c r="D915" s="1" t="str">
        <f>+'Maestro infraestructura'!F914</f>
        <v>Sillas alumnos</v>
      </c>
      <c r="E915" s="25" t="str">
        <f ca="1">+'Maestro infraestructura'!K914</f>
        <v>Activo</v>
      </c>
      <c r="F915" s="1" t="str">
        <f ca="1">+'Maestro infraestructura'!V914</f>
        <v>AL DÍA</v>
      </c>
      <c r="G915" s="1" t="str">
        <f>+'Maestro infraestructura'!X914</f>
        <v>OPERACIÓN</v>
      </c>
      <c r="H915" s="1">
        <f>+'Maestro infraestructura'!Y914</f>
        <v>2</v>
      </c>
      <c r="I915" s="1"/>
      <c r="J915" s="6">
        <f>+'Maestro infraestructura'!T914</f>
        <v>46378</v>
      </c>
      <c r="K915" s="6">
        <f t="shared" ca="1" si="34"/>
        <v>46378</v>
      </c>
      <c r="L915" s="6"/>
    </row>
    <row r="916" spans="1:12" x14ac:dyDescent="0.2">
      <c r="A916" s="1" t="str">
        <f>+'Maestro infraestructura'!A915</f>
        <v>NEUBAU</v>
      </c>
      <c r="B916" s="1" t="str">
        <f>+'Maestro infraestructura'!B915</f>
        <v>1° Piso</v>
      </c>
      <c r="C916" s="1" t="str">
        <f>+'Maestro infraestructura'!C915</f>
        <v>S03</v>
      </c>
      <c r="D916" s="1" t="str">
        <f>+'Maestro infraestructura'!F915</f>
        <v>Sillas alumnos</v>
      </c>
      <c r="E916" s="25" t="str">
        <f ca="1">+'Maestro infraestructura'!K915</f>
        <v>Activo</v>
      </c>
      <c r="F916" s="1" t="str">
        <f ca="1">+'Maestro infraestructura'!V915</f>
        <v>AL DÍA</v>
      </c>
      <c r="G916" s="1" t="str">
        <f>+'Maestro infraestructura'!X915</f>
        <v>OPERACIÓN</v>
      </c>
      <c r="H916" s="1">
        <f>+'Maestro infraestructura'!Y915</f>
        <v>2</v>
      </c>
      <c r="I916" s="1"/>
      <c r="J916" s="6">
        <f>+'Maestro infraestructura'!T915</f>
        <v>46378</v>
      </c>
      <c r="K916" s="6">
        <f t="shared" ca="1" si="34"/>
        <v>46378</v>
      </c>
      <c r="L916" s="6"/>
    </row>
    <row r="917" spans="1:12" x14ac:dyDescent="0.2">
      <c r="A917" s="1" t="str">
        <f>+'Maestro infraestructura'!A916</f>
        <v>NEUBAU</v>
      </c>
      <c r="B917" s="1" t="str">
        <f>+'Maestro infraestructura'!B916</f>
        <v>1° Piso</v>
      </c>
      <c r="C917" s="1" t="str">
        <f>+'Maestro infraestructura'!C916</f>
        <v>S04</v>
      </c>
      <c r="D917" s="1" t="str">
        <f>+'Maestro infraestructura'!F916</f>
        <v>Sillas alumnos</v>
      </c>
      <c r="E917" s="25" t="str">
        <f ca="1">+'Maestro infraestructura'!K916</f>
        <v>Activo</v>
      </c>
      <c r="F917" s="1" t="str">
        <f ca="1">+'Maestro infraestructura'!V916</f>
        <v>AL DÍA</v>
      </c>
      <c r="G917" s="1" t="str">
        <f>+'Maestro infraestructura'!X916</f>
        <v>OPERACIÓN</v>
      </c>
      <c r="H917" s="1">
        <f>+'Maestro infraestructura'!Y916</f>
        <v>2</v>
      </c>
      <c r="I917" s="1"/>
      <c r="J917" s="6">
        <f>+'Maestro infraestructura'!T916</f>
        <v>46378</v>
      </c>
      <c r="K917" s="6">
        <f t="shared" ca="1" si="34"/>
        <v>46378</v>
      </c>
      <c r="L917" s="6"/>
    </row>
    <row r="918" spans="1:12" x14ac:dyDescent="0.2">
      <c r="A918" s="1" t="str">
        <f>+'Maestro infraestructura'!A917</f>
        <v>NEUBAU</v>
      </c>
      <c r="B918" s="1" t="str">
        <f>+'Maestro infraestructura'!B917</f>
        <v>1° Piso</v>
      </c>
      <c r="C918" s="1" t="str">
        <f>+'Maestro infraestructura'!C917</f>
        <v>S07</v>
      </c>
      <c r="D918" s="1" t="str">
        <f>+'Maestro infraestructura'!F917</f>
        <v>Sillas alumnos</v>
      </c>
      <c r="E918" s="25" t="str">
        <f ca="1">+'Maestro infraestructura'!K917</f>
        <v>Activo</v>
      </c>
      <c r="F918" s="1" t="str">
        <f ca="1">+'Maestro infraestructura'!V917</f>
        <v>AL DÍA</v>
      </c>
      <c r="G918" s="1" t="str">
        <f>+'Maestro infraestructura'!X917</f>
        <v>OPERACIÓN</v>
      </c>
      <c r="H918" s="1">
        <f>+'Maestro infraestructura'!Y917</f>
        <v>2</v>
      </c>
      <c r="I918" s="1"/>
      <c r="J918" s="6">
        <f>+'Maestro infraestructura'!T917</f>
        <v>46378</v>
      </c>
      <c r="K918" s="6">
        <f t="shared" ca="1" si="34"/>
        <v>46378</v>
      </c>
      <c r="L918" s="6"/>
    </row>
    <row r="919" spans="1:12" x14ac:dyDescent="0.2">
      <c r="A919" s="1" t="str">
        <f>+'Maestro infraestructura'!A918</f>
        <v>NEUBAU</v>
      </c>
      <c r="B919" s="1" t="str">
        <f>+'Maestro infraestructura'!B918</f>
        <v>1° Piso</v>
      </c>
      <c r="C919" s="1" t="str">
        <f>+'Maestro infraestructura'!C918</f>
        <v>S08</v>
      </c>
      <c r="D919" s="1" t="str">
        <f>+'Maestro infraestructura'!F918</f>
        <v>Sillas alumnos</v>
      </c>
      <c r="E919" s="25" t="str">
        <f ca="1">+'Maestro infraestructura'!K918</f>
        <v>Activo</v>
      </c>
      <c r="F919" s="1" t="str">
        <f ca="1">+'Maestro infraestructura'!V918</f>
        <v>AL DÍA</v>
      </c>
      <c r="G919" s="1" t="str">
        <f>+'Maestro infraestructura'!X918</f>
        <v>OPERACIÓN</v>
      </c>
      <c r="H919" s="1">
        <f>+'Maestro infraestructura'!Y918</f>
        <v>2</v>
      </c>
      <c r="I919" s="1"/>
      <c r="J919" s="6">
        <f>+'Maestro infraestructura'!T918</f>
        <v>46378</v>
      </c>
      <c r="K919" s="6">
        <f t="shared" ca="1" si="34"/>
        <v>46378</v>
      </c>
      <c r="L919" s="6"/>
    </row>
    <row r="920" spans="1:12" x14ac:dyDescent="0.2">
      <c r="A920" s="1" t="str">
        <f>+'Maestro infraestructura'!A919</f>
        <v>NEUBAU</v>
      </c>
      <c r="B920" s="1" t="str">
        <f>+'Maestro infraestructura'!B919</f>
        <v>2° Piso</v>
      </c>
      <c r="C920" s="1" t="str">
        <f>+'Maestro infraestructura'!C919</f>
        <v>S09</v>
      </c>
      <c r="D920" s="1" t="str">
        <f>+'Maestro infraestructura'!F919</f>
        <v>Sillas alumnos</v>
      </c>
      <c r="E920" s="25" t="str">
        <f ca="1">+'Maestro infraestructura'!K919</f>
        <v>Activo</v>
      </c>
      <c r="F920" s="1" t="str">
        <f ca="1">+'Maestro infraestructura'!V919</f>
        <v>AL DÍA</v>
      </c>
      <c r="G920" s="1" t="str">
        <f>+'Maestro infraestructura'!X919</f>
        <v>OPERACIÓN</v>
      </c>
      <c r="H920" s="1">
        <f>+'Maestro infraestructura'!Y919</f>
        <v>2</v>
      </c>
      <c r="I920" s="1"/>
      <c r="J920" s="6">
        <f>+'Maestro infraestructura'!T919</f>
        <v>46378</v>
      </c>
      <c r="K920" s="6">
        <f t="shared" ca="1" si="34"/>
        <v>46378</v>
      </c>
      <c r="L920" s="6"/>
    </row>
    <row r="921" spans="1:12" x14ac:dyDescent="0.2">
      <c r="A921" s="1" t="str">
        <f>+'Maestro infraestructura'!A920</f>
        <v>NEUBAU</v>
      </c>
      <c r="B921" s="1" t="str">
        <f>+'Maestro infraestructura'!B920</f>
        <v>2° Piso</v>
      </c>
      <c r="C921" s="1" t="str">
        <f>+'Maestro infraestructura'!C920</f>
        <v>S10</v>
      </c>
      <c r="D921" s="1" t="str">
        <f>+'Maestro infraestructura'!F920</f>
        <v>Sillas alumnos</v>
      </c>
      <c r="E921" s="25" t="str">
        <f ca="1">+'Maestro infraestructura'!K920</f>
        <v>Activo</v>
      </c>
      <c r="F921" s="1" t="str">
        <f ca="1">+'Maestro infraestructura'!V920</f>
        <v>AL DÍA</v>
      </c>
      <c r="G921" s="1" t="str">
        <f>+'Maestro infraestructura'!X920</f>
        <v>OPERACIÓN</v>
      </c>
      <c r="H921" s="1">
        <f>+'Maestro infraestructura'!Y920</f>
        <v>2</v>
      </c>
      <c r="I921" s="1"/>
      <c r="J921" s="6">
        <f>+'Maestro infraestructura'!T920</f>
        <v>46378</v>
      </c>
      <c r="K921" s="6">
        <f t="shared" ca="1" si="34"/>
        <v>46378</v>
      </c>
      <c r="L921" s="6"/>
    </row>
    <row r="922" spans="1:12" x14ac:dyDescent="0.2">
      <c r="A922" s="1" t="str">
        <f>+'Maestro infraestructura'!A921</f>
        <v>NEUBAU</v>
      </c>
      <c r="B922" s="1" t="str">
        <f>+'Maestro infraestructura'!B921</f>
        <v>2° Piso</v>
      </c>
      <c r="C922" s="1" t="str">
        <f>+'Maestro infraestructura'!C921</f>
        <v>S11</v>
      </c>
      <c r="D922" s="1" t="str">
        <f>+'Maestro infraestructura'!F921</f>
        <v>Sillas alumnos</v>
      </c>
      <c r="E922" s="25" t="str">
        <f ca="1">+'Maestro infraestructura'!K921</f>
        <v>Activo</v>
      </c>
      <c r="F922" s="1" t="str">
        <f ca="1">+'Maestro infraestructura'!V921</f>
        <v>AL DÍA</v>
      </c>
      <c r="G922" s="1" t="str">
        <f>+'Maestro infraestructura'!X921</f>
        <v>OPERACIÓN</v>
      </c>
      <c r="H922" s="1">
        <f>+'Maestro infraestructura'!Y921</f>
        <v>2</v>
      </c>
      <c r="I922" s="1"/>
      <c r="J922" s="6">
        <f>+'Maestro infraestructura'!T921</f>
        <v>46378</v>
      </c>
      <c r="K922" s="6">
        <f t="shared" ca="1" si="34"/>
        <v>46378</v>
      </c>
      <c r="L922" s="6"/>
    </row>
    <row r="923" spans="1:12" x14ac:dyDescent="0.2">
      <c r="A923" s="1" t="str">
        <f>+'Maestro infraestructura'!A922</f>
        <v>NEUBAU</v>
      </c>
      <c r="B923" s="1" t="str">
        <f>+'Maestro infraestructura'!B922</f>
        <v>2° Piso</v>
      </c>
      <c r="C923" s="1" t="str">
        <f>+'Maestro infraestructura'!C922</f>
        <v>S12</v>
      </c>
      <c r="D923" s="1" t="str">
        <f>+'Maestro infraestructura'!F922</f>
        <v>Sillas alumnos</v>
      </c>
      <c r="E923" s="25" t="str">
        <f ca="1">+'Maestro infraestructura'!K922</f>
        <v>Activo</v>
      </c>
      <c r="F923" s="1" t="str">
        <f ca="1">+'Maestro infraestructura'!V922</f>
        <v>AL DÍA</v>
      </c>
      <c r="G923" s="1" t="str">
        <f>+'Maestro infraestructura'!X922</f>
        <v>OPERACIÓN</v>
      </c>
      <c r="H923" s="1">
        <f>+'Maestro infraestructura'!Y922</f>
        <v>2</v>
      </c>
      <c r="I923" s="1"/>
      <c r="J923" s="6">
        <f>+'Maestro infraestructura'!T922</f>
        <v>46378</v>
      </c>
      <c r="K923" s="6">
        <f t="shared" ca="1" si="34"/>
        <v>46378</v>
      </c>
      <c r="L923" s="6"/>
    </row>
    <row r="924" spans="1:12" x14ac:dyDescent="0.2">
      <c r="A924" s="1" t="str">
        <f>+'Maestro infraestructura'!A923</f>
        <v>NEUBAU</v>
      </c>
      <c r="B924" s="1" t="str">
        <f>+'Maestro infraestructura'!B923</f>
        <v>2° Piso</v>
      </c>
      <c r="C924" s="1" t="str">
        <f>+'Maestro infraestructura'!C923</f>
        <v>S13</v>
      </c>
      <c r="D924" s="1" t="str">
        <f>+'Maestro infraestructura'!F923</f>
        <v>Sillas alumnos</v>
      </c>
      <c r="E924" s="25" t="str">
        <f ca="1">+'Maestro infraestructura'!K923</f>
        <v>Activo</v>
      </c>
      <c r="F924" s="1" t="str">
        <f ca="1">+'Maestro infraestructura'!V923</f>
        <v>AL DÍA</v>
      </c>
      <c r="G924" s="1" t="str">
        <f>+'Maestro infraestructura'!X923</f>
        <v>OPERACIÓN</v>
      </c>
      <c r="H924" s="1">
        <f>+'Maestro infraestructura'!Y923</f>
        <v>2</v>
      </c>
      <c r="I924" s="1"/>
      <c r="J924" s="6">
        <f>+'Maestro infraestructura'!T923</f>
        <v>46378</v>
      </c>
      <c r="K924" s="6">
        <f t="shared" ca="1" si="34"/>
        <v>46378</v>
      </c>
      <c r="L924" s="6"/>
    </row>
    <row r="925" spans="1:12" x14ac:dyDescent="0.2">
      <c r="A925" s="1" t="str">
        <f>+'Maestro infraestructura'!A924</f>
        <v>NEUBAU</v>
      </c>
      <c r="B925" s="1" t="str">
        <f>+'Maestro infraestructura'!B924</f>
        <v>2° Piso</v>
      </c>
      <c r="C925" s="1" t="str">
        <f>+'Maestro infraestructura'!C924</f>
        <v>S14</v>
      </c>
      <c r="D925" s="1" t="str">
        <f>+'Maestro infraestructura'!F924</f>
        <v>Sillas alumnos</v>
      </c>
      <c r="E925" s="25" t="str">
        <f ca="1">+'Maestro infraestructura'!K924</f>
        <v>Activo</v>
      </c>
      <c r="F925" s="1" t="str">
        <f ca="1">+'Maestro infraestructura'!V924</f>
        <v>AL DÍA</v>
      </c>
      <c r="G925" s="1" t="str">
        <f>+'Maestro infraestructura'!X924</f>
        <v>OPERACIÓN</v>
      </c>
      <c r="H925" s="1">
        <f>+'Maestro infraestructura'!Y924</f>
        <v>2</v>
      </c>
      <c r="I925" s="1"/>
      <c r="J925" s="6">
        <f>+'Maestro infraestructura'!T924</f>
        <v>46378</v>
      </c>
      <c r="K925" s="6">
        <f t="shared" ca="1" si="34"/>
        <v>46378</v>
      </c>
      <c r="L925" s="6"/>
    </row>
    <row r="926" spans="1:12" x14ac:dyDescent="0.2">
      <c r="A926" s="1" t="str">
        <f>+'Maestro infraestructura'!A925</f>
        <v>NEUBAU</v>
      </c>
      <c r="B926" s="1" t="str">
        <f>+'Maestro infraestructura'!B925</f>
        <v>2° Piso</v>
      </c>
      <c r="C926" s="1" t="str">
        <f>+'Maestro infraestructura'!C925</f>
        <v>S15</v>
      </c>
      <c r="D926" s="1" t="str">
        <f>+'Maestro infraestructura'!F925</f>
        <v>Sillas alumnos</v>
      </c>
      <c r="E926" s="25" t="str">
        <f ca="1">+'Maestro infraestructura'!K925</f>
        <v>Activo</v>
      </c>
      <c r="F926" s="1" t="str">
        <f ca="1">+'Maestro infraestructura'!V925</f>
        <v>AL DÍA</v>
      </c>
      <c r="G926" s="1" t="str">
        <f>+'Maestro infraestructura'!X925</f>
        <v>OPERACIÓN</v>
      </c>
      <c r="H926" s="1">
        <f>+'Maestro infraestructura'!Y925</f>
        <v>2</v>
      </c>
      <c r="I926" s="1"/>
      <c r="J926" s="6">
        <f>+'Maestro infraestructura'!T925</f>
        <v>46378</v>
      </c>
      <c r="K926" s="6">
        <f t="shared" ca="1" si="34"/>
        <v>46378</v>
      </c>
      <c r="L926" s="6"/>
    </row>
    <row r="927" spans="1:12" x14ac:dyDescent="0.2">
      <c r="A927" s="1" t="str">
        <f>+'Maestro infraestructura'!A926</f>
        <v>NEUBAU</v>
      </c>
      <c r="B927" s="1" t="str">
        <f>+'Maestro infraestructura'!B926</f>
        <v>2° Piso</v>
      </c>
      <c r="C927" s="1" t="str">
        <f>+'Maestro infraestructura'!C926</f>
        <v>S16</v>
      </c>
      <c r="D927" s="1" t="str">
        <f>+'Maestro infraestructura'!F926</f>
        <v>Sillas alumnos</v>
      </c>
      <c r="E927" s="25" t="str">
        <f ca="1">+'Maestro infraestructura'!K926</f>
        <v>Activo</v>
      </c>
      <c r="F927" s="1" t="str">
        <f ca="1">+'Maestro infraestructura'!V926</f>
        <v>AL DÍA</v>
      </c>
      <c r="G927" s="1" t="str">
        <f>+'Maestro infraestructura'!X926</f>
        <v>OPERACIÓN</v>
      </c>
      <c r="H927" s="1">
        <f>+'Maestro infraestructura'!Y926</f>
        <v>2</v>
      </c>
      <c r="I927" s="1"/>
      <c r="J927" s="6">
        <f>+'Maestro infraestructura'!T926</f>
        <v>46378</v>
      </c>
      <c r="K927" s="6">
        <f t="shared" ca="1" si="34"/>
        <v>46378</v>
      </c>
      <c r="L927" s="6"/>
    </row>
    <row r="928" spans="1:12" x14ac:dyDescent="0.2">
      <c r="A928" s="1" t="str">
        <f>+'Maestro infraestructura'!A927</f>
        <v>NEUBAU</v>
      </c>
      <c r="B928" s="1" t="str">
        <f>+'Maestro infraestructura'!B927</f>
        <v>1° Piso</v>
      </c>
      <c r="C928" s="1" t="str">
        <f>+'Maestro infraestructura'!C927</f>
        <v>S01</v>
      </c>
      <c r="D928" s="1" t="str">
        <f>+'Maestro infraestructura'!F927</f>
        <v>Pupitre</v>
      </c>
      <c r="E928" s="25" t="str">
        <f ca="1">+'Maestro infraestructura'!K927</f>
        <v>Activo</v>
      </c>
      <c r="F928" s="1" t="str">
        <f ca="1">+'Maestro infraestructura'!V927</f>
        <v>AL DÍA</v>
      </c>
      <c r="G928" s="1" t="str">
        <f>+'Maestro infraestructura'!X927</f>
        <v>OPERACIÓN</v>
      </c>
      <c r="H928" s="1">
        <f>+'Maestro infraestructura'!Y927</f>
        <v>2</v>
      </c>
      <c r="I928" s="1"/>
      <c r="J928" s="6">
        <f>+'Maestro infraestructura'!T927</f>
        <v>46378</v>
      </c>
      <c r="K928" s="6">
        <f t="shared" ca="1" si="34"/>
        <v>46378</v>
      </c>
      <c r="L928" s="6"/>
    </row>
    <row r="929" spans="1:12" x14ac:dyDescent="0.2">
      <c r="A929" s="1" t="str">
        <f>+'Maestro infraestructura'!A928</f>
        <v>NEUBAU</v>
      </c>
      <c r="B929" s="1" t="str">
        <f>+'Maestro infraestructura'!B928</f>
        <v>1° Piso</v>
      </c>
      <c r="C929" s="1" t="str">
        <f>+'Maestro infraestructura'!C928</f>
        <v>S02</v>
      </c>
      <c r="D929" s="1" t="str">
        <f>+'Maestro infraestructura'!F928</f>
        <v>Pupitre</v>
      </c>
      <c r="E929" s="25" t="str">
        <f ca="1">+'Maestro infraestructura'!K928</f>
        <v>Activo</v>
      </c>
      <c r="F929" s="1" t="str">
        <f ca="1">+'Maestro infraestructura'!V928</f>
        <v>AL DÍA</v>
      </c>
      <c r="G929" s="1" t="str">
        <f>+'Maestro infraestructura'!X928</f>
        <v>OPERACIÓN</v>
      </c>
      <c r="H929" s="1">
        <f>+'Maestro infraestructura'!Y928</f>
        <v>2</v>
      </c>
      <c r="I929" s="1"/>
      <c r="J929" s="6">
        <f>+'Maestro infraestructura'!T928</f>
        <v>46378</v>
      </c>
      <c r="K929" s="6">
        <f t="shared" ca="1" si="34"/>
        <v>46378</v>
      </c>
      <c r="L929" s="6"/>
    </row>
    <row r="930" spans="1:12" x14ac:dyDescent="0.2">
      <c r="A930" s="1" t="str">
        <f>+'Maestro infraestructura'!A929</f>
        <v>NEUBAU</v>
      </c>
      <c r="B930" s="1" t="str">
        <f>+'Maestro infraestructura'!B929</f>
        <v>1° Piso</v>
      </c>
      <c r="C930" s="1" t="str">
        <f>+'Maestro infraestructura'!C929</f>
        <v>S03</v>
      </c>
      <c r="D930" s="1" t="str">
        <f>+'Maestro infraestructura'!F929</f>
        <v>Pupitre</v>
      </c>
      <c r="E930" s="25" t="str">
        <f ca="1">+'Maestro infraestructura'!K929</f>
        <v>Activo</v>
      </c>
      <c r="F930" s="1" t="str">
        <f ca="1">+'Maestro infraestructura'!V929</f>
        <v>AL DÍA</v>
      </c>
      <c r="G930" s="1" t="str">
        <f>+'Maestro infraestructura'!X929</f>
        <v>OPERACIÓN</v>
      </c>
      <c r="H930" s="1">
        <f>+'Maestro infraestructura'!Y929</f>
        <v>2</v>
      </c>
      <c r="I930" s="1"/>
      <c r="J930" s="6">
        <f>+'Maestro infraestructura'!T929</f>
        <v>46378</v>
      </c>
      <c r="K930" s="6">
        <f t="shared" ca="1" si="34"/>
        <v>46378</v>
      </c>
      <c r="L930" s="6"/>
    </row>
    <row r="931" spans="1:12" x14ac:dyDescent="0.2">
      <c r="A931" s="1" t="str">
        <f>+'Maestro infraestructura'!A930</f>
        <v>NEUBAU</v>
      </c>
      <c r="B931" s="1" t="str">
        <f>+'Maestro infraestructura'!B930</f>
        <v>1° Piso</v>
      </c>
      <c r="C931" s="1" t="str">
        <f>+'Maestro infraestructura'!C930</f>
        <v>S04</v>
      </c>
      <c r="D931" s="1" t="str">
        <f>+'Maestro infraestructura'!F930</f>
        <v>Pupitre</v>
      </c>
      <c r="E931" s="25" t="str">
        <f ca="1">+'Maestro infraestructura'!K930</f>
        <v>Activo</v>
      </c>
      <c r="F931" s="1" t="str">
        <f ca="1">+'Maestro infraestructura'!V930</f>
        <v>AL DÍA</v>
      </c>
      <c r="G931" s="1" t="str">
        <f>+'Maestro infraestructura'!X930</f>
        <v>OPERACIÓN</v>
      </c>
      <c r="H931" s="1">
        <f>+'Maestro infraestructura'!Y930</f>
        <v>2</v>
      </c>
      <c r="I931" s="1"/>
      <c r="J931" s="6">
        <f>+'Maestro infraestructura'!T930</f>
        <v>46378</v>
      </c>
      <c r="K931" s="6">
        <f t="shared" ca="1" si="34"/>
        <v>46378</v>
      </c>
      <c r="L931" s="6"/>
    </row>
    <row r="932" spans="1:12" x14ac:dyDescent="0.2">
      <c r="A932" s="1" t="str">
        <f>+'Maestro infraestructura'!A931</f>
        <v>NEUBAU</v>
      </c>
      <c r="B932" s="1" t="str">
        <f>+'Maestro infraestructura'!B931</f>
        <v>1° Piso</v>
      </c>
      <c r="C932" s="1" t="str">
        <f>+'Maestro infraestructura'!C931</f>
        <v>S07</v>
      </c>
      <c r="D932" s="1" t="str">
        <f>+'Maestro infraestructura'!F931</f>
        <v>Pupitre</v>
      </c>
      <c r="E932" s="25" t="str">
        <f ca="1">+'Maestro infraestructura'!K931</f>
        <v>Activo</v>
      </c>
      <c r="F932" s="1" t="str">
        <f ca="1">+'Maestro infraestructura'!V931</f>
        <v>AL DÍA</v>
      </c>
      <c r="G932" s="1" t="str">
        <f>+'Maestro infraestructura'!X931</f>
        <v>OPERACIÓN</v>
      </c>
      <c r="H932" s="1">
        <f>+'Maestro infraestructura'!Y931</f>
        <v>2</v>
      </c>
      <c r="I932" s="1"/>
      <c r="J932" s="6">
        <f>+'Maestro infraestructura'!T931</f>
        <v>46378</v>
      </c>
      <c r="K932" s="6">
        <f t="shared" ca="1" si="34"/>
        <v>46378</v>
      </c>
      <c r="L932" s="6"/>
    </row>
    <row r="933" spans="1:12" x14ac:dyDescent="0.2">
      <c r="A933" s="1" t="str">
        <f>+'Maestro infraestructura'!A932</f>
        <v>NEUBAU</v>
      </c>
      <c r="B933" s="1" t="str">
        <f>+'Maestro infraestructura'!B932</f>
        <v>1° Piso</v>
      </c>
      <c r="C933" s="1" t="str">
        <f>+'Maestro infraestructura'!C932</f>
        <v>S08</v>
      </c>
      <c r="D933" s="1" t="str">
        <f>+'Maestro infraestructura'!F932</f>
        <v>Pupitre</v>
      </c>
      <c r="E933" s="25" t="str">
        <f ca="1">+'Maestro infraestructura'!K932</f>
        <v>Activo</v>
      </c>
      <c r="F933" s="1" t="str">
        <f ca="1">+'Maestro infraestructura'!V932</f>
        <v>AL DÍA</v>
      </c>
      <c r="G933" s="1" t="str">
        <f>+'Maestro infraestructura'!X932</f>
        <v>OPERACIÓN</v>
      </c>
      <c r="H933" s="1">
        <f>+'Maestro infraestructura'!Y932</f>
        <v>2</v>
      </c>
      <c r="I933" s="1"/>
      <c r="J933" s="6">
        <f>+'Maestro infraestructura'!T932</f>
        <v>46378</v>
      </c>
      <c r="K933" s="6">
        <f t="shared" ca="1" si="34"/>
        <v>46378</v>
      </c>
      <c r="L933" s="6"/>
    </row>
    <row r="934" spans="1:12" x14ac:dyDescent="0.2">
      <c r="A934" s="1" t="str">
        <f>+'Maestro infraestructura'!A933</f>
        <v>NEUBAU</v>
      </c>
      <c r="B934" s="1" t="str">
        <f>+'Maestro infraestructura'!B933</f>
        <v>2° Piso</v>
      </c>
      <c r="C934" s="1" t="str">
        <f>+'Maestro infraestructura'!C933</f>
        <v>S09</v>
      </c>
      <c r="D934" s="1" t="str">
        <f>+'Maestro infraestructura'!F933</f>
        <v>Pupitre</v>
      </c>
      <c r="E934" s="25" t="str">
        <f ca="1">+'Maestro infraestructura'!K933</f>
        <v>Activo</v>
      </c>
      <c r="F934" s="1" t="str">
        <f ca="1">+'Maestro infraestructura'!V933</f>
        <v>AL DÍA</v>
      </c>
      <c r="G934" s="1" t="str">
        <f>+'Maestro infraestructura'!X933</f>
        <v>OPERACIÓN</v>
      </c>
      <c r="H934" s="1">
        <f>+'Maestro infraestructura'!Y933</f>
        <v>2</v>
      </c>
      <c r="I934" s="1"/>
      <c r="J934" s="6">
        <f>+'Maestro infraestructura'!T933</f>
        <v>46378</v>
      </c>
      <c r="K934" s="6">
        <f t="shared" ca="1" si="34"/>
        <v>46378</v>
      </c>
      <c r="L934" s="6"/>
    </row>
    <row r="935" spans="1:12" x14ac:dyDescent="0.2">
      <c r="A935" s="1" t="str">
        <f>+'Maestro infraestructura'!A934</f>
        <v>NEUBAU</v>
      </c>
      <c r="B935" s="1" t="str">
        <f>+'Maestro infraestructura'!B934</f>
        <v>2° Piso</v>
      </c>
      <c r="C935" s="1" t="str">
        <f>+'Maestro infraestructura'!C934</f>
        <v>S10</v>
      </c>
      <c r="D935" s="1" t="str">
        <f>+'Maestro infraestructura'!F934</f>
        <v>Pupitre</v>
      </c>
      <c r="E935" s="25" t="str">
        <f ca="1">+'Maestro infraestructura'!K934</f>
        <v>Activo</v>
      </c>
      <c r="F935" s="1" t="str">
        <f ca="1">+'Maestro infraestructura'!V934</f>
        <v>AL DÍA</v>
      </c>
      <c r="G935" s="1" t="str">
        <f>+'Maestro infraestructura'!X934</f>
        <v>OPERACIÓN</v>
      </c>
      <c r="H935" s="1">
        <f>+'Maestro infraestructura'!Y934</f>
        <v>2</v>
      </c>
      <c r="I935" s="1"/>
      <c r="J935" s="6">
        <f>+'Maestro infraestructura'!T934</f>
        <v>46378</v>
      </c>
      <c r="K935" s="6">
        <f t="shared" ca="1" si="34"/>
        <v>46378</v>
      </c>
      <c r="L935" s="6"/>
    </row>
    <row r="936" spans="1:12" x14ac:dyDescent="0.2">
      <c r="A936" s="1" t="str">
        <f>+'Maestro infraestructura'!A935</f>
        <v>NEUBAU</v>
      </c>
      <c r="B936" s="1" t="str">
        <f>+'Maestro infraestructura'!B935</f>
        <v>2° Piso</v>
      </c>
      <c r="C936" s="1" t="str">
        <f>+'Maestro infraestructura'!C935</f>
        <v>S11</v>
      </c>
      <c r="D936" s="1" t="str">
        <f>+'Maestro infraestructura'!F935</f>
        <v>Pupitre</v>
      </c>
      <c r="E936" s="25" t="str">
        <f ca="1">+'Maestro infraestructura'!K935</f>
        <v>Activo</v>
      </c>
      <c r="F936" s="1" t="str">
        <f ca="1">+'Maestro infraestructura'!V935</f>
        <v>AL DÍA</v>
      </c>
      <c r="G936" s="1" t="str">
        <f>+'Maestro infraestructura'!X935</f>
        <v>OPERACIÓN</v>
      </c>
      <c r="H936" s="1">
        <f>+'Maestro infraestructura'!Y935</f>
        <v>2</v>
      </c>
      <c r="I936" s="1"/>
      <c r="J936" s="6">
        <f>+'Maestro infraestructura'!T935</f>
        <v>46378</v>
      </c>
      <c r="K936" s="6">
        <f t="shared" ca="1" si="34"/>
        <v>46378</v>
      </c>
      <c r="L936" s="6"/>
    </row>
    <row r="937" spans="1:12" x14ac:dyDescent="0.2">
      <c r="A937" s="1" t="str">
        <f>+'Maestro infraestructura'!A936</f>
        <v>NEUBAU</v>
      </c>
      <c r="B937" s="1" t="str">
        <f>+'Maestro infraestructura'!B936</f>
        <v>2° Piso</v>
      </c>
      <c r="C937" s="1" t="str">
        <f>+'Maestro infraestructura'!C936</f>
        <v>S12</v>
      </c>
      <c r="D937" s="1" t="str">
        <f>+'Maestro infraestructura'!F936</f>
        <v>Pupitre</v>
      </c>
      <c r="E937" s="25" t="str">
        <f ca="1">+'Maestro infraestructura'!K936</f>
        <v>Activo</v>
      </c>
      <c r="F937" s="1" t="str">
        <f ca="1">+'Maestro infraestructura'!V936</f>
        <v>AL DÍA</v>
      </c>
      <c r="G937" s="1" t="str">
        <f>+'Maestro infraestructura'!X936</f>
        <v>OPERACIÓN</v>
      </c>
      <c r="H937" s="1">
        <f>+'Maestro infraestructura'!Y936</f>
        <v>2</v>
      </c>
      <c r="I937" s="1"/>
      <c r="J937" s="6">
        <f>+'Maestro infraestructura'!T936</f>
        <v>46378</v>
      </c>
      <c r="K937" s="6">
        <f t="shared" ca="1" si="34"/>
        <v>46378</v>
      </c>
      <c r="L937" s="6"/>
    </row>
    <row r="938" spans="1:12" x14ac:dyDescent="0.2">
      <c r="A938" s="1" t="str">
        <f>+'Maestro infraestructura'!A937</f>
        <v>NEUBAU</v>
      </c>
      <c r="B938" s="1" t="str">
        <f>+'Maestro infraestructura'!B937</f>
        <v>2° Piso</v>
      </c>
      <c r="C938" s="1" t="str">
        <f>+'Maestro infraestructura'!C937</f>
        <v>S13</v>
      </c>
      <c r="D938" s="1" t="str">
        <f>+'Maestro infraestructura'!F937</f>
        <v>Pupitre</v>
      </c>
      <c r="E938" s="25" t="str">
        <f ca="1">+'Maestro infraestructura'!K937</f>
        <v>Activo</v>
      </c>
      <c r="F938" s="1" t="str">
        <f ca="1">+'Maestro infraestructura'!V937</f>
        <v>AL DÍA</v>
      </c>
      <c r="G938" s="1" t="str">
        <f>+'Maestro infraestructura'!X937</f>
        <v>OPERACIÓN</v>
      </c>
      <c r="H938" s="1">
        <f>+'Maestro infraestructura'!Y937</f>
        <v>2</v>
      </c>
      <c r="I938" s="1"/>
      <c r="J938" s="6">
        <f>+'Maestro infraestructura'!T937</f>
        <v>46378</v>
      </c>
      <c r="K938" s="6">
        <f t="shared" ca="1" si="34"/>
        <v>46378</v>
      </c>
      <c r="L938" s="6"/>
    </row>
    <row r="939" spans="1:12" x14ac:dyDescent="0.2">
      <c r="A939" s="1" t="str">
        <f>+'Maestro infraestructura'!A938</f>
        <v>NEUBAU</v>
      </c>
      <c r="B939" s="1" t="str">
        <f>+'Maestro infraestructura'!B938</f>
        <v>2° Piso</v>
      </c>
      <c r="C939" s="1" t="str">
        <f>+'Maestro infraestructura'!C938</f>
        <v>S14</v>
      </c>
      <c r="D939" s="1" t="str">
        <f>+'Maestro infraestructura'!F938</f>
        <v>Pupitre</v>
      </c>
      <c r="E939" s="25" t="str">
        <f ca="1">+'Maestro infraestructura'!K938</f>
        <v>Activo</v>
      </c>
      <c r="F939" s="1" t="str">
        <f ca="1">+'Maestro infraestructura'!V938</f>
        <v>AL DÍA</v>
      </c>
      <c r="G939" s="1" t="str">
        <f>+'Maestro infraestructura'!X938</f>
        <v>OPERACIÓN</v>
      </c>
      <c r="H939" s="1">
        <f>+'Maestro infraestructura'!Y938</f>
        <v>2</v>
      </c>
      <c r="I939" s="1"/>
      <c r="J939" s="6">
        <f>+'Maestro infraestructura'!T938</f>
        <v>46378</v>
      </c>
      <c r="K939" s="6">
        <f t="shared" ca="1" si="34"/>
        <v>46378</v>
      </c>
      <c r="L939" s="6"/>
    </row>
    <row r="940" spans="1:12" x14ac:dyDescent="0.2">
      <c r="A940" s="1" t="str">
        <f>+'Maestro infraestructura'!A939</f>
        <v>NEUBAU</v>
      </c>
      <c r="B940" s="1" t="str">
        <f>+'Maestro infraestructura'!B939</f>
        <v>2° Piso</v>
      </c>
      <c r="C940" s="1" t="str">
        <f>+'Maestro infraestructura'!C939</f>
        <v>S15</v>
      </c>
      <c r="D940" s="1" t="str">
        <f>+'Maestro infraestructura'!F939</f>
        <v>Pupitre</v>
      </c>
      <c r="E940" s="25" t="str">
        <f ca="1">+'Maestro infraestructura'!K939</f>
        <v>Activo</v>
      </c>
      <c r="F940" s="1" t="str">
        <f ca="1">+'Maestro infraestructura'!V939</f>
        <v>AL DÍA</v>
      </c>
      <c r="G940" s="1" t="str">
        <f>+'Maestro infraestructura'!X939</f>
        <v>OPERACIÓN</v>
      </c>
      <c r="H940" s="1">
        <f>+'Maestro infraestructura'!Y939</f>
        <v>2</v>
      </c>
      <c r="I940" s="1"/>
      <c r="J940" s="6">
        <f>+'Maestro infraestructura'!T939</f>
        <v>46378</v>
      </c>
      <c r="K940" s="6">
        <f t="shared" ca="1" si="34"/>
        <v>46378</v>
      </c>
      <c r="L940" s="6"/>
    </row>
    <row r="941" spans="1:12" x14ac:dyDescent="0.2">
      <c r="A941" s="1" t="str">
        <f>+'Maestro infraestructura'!A940</f>
        <v>NEUBAU</v>
      </c>
      <c r="B941" s="1" t="str">
        <f>+'Maestro infraestructura'!B940</f>
        <v>2° Piso</v>
      </c>
      <c r="C941" s="1" t="str">
        <f>+'Maestro infraestructura'!C940</f>
        <v>S16</v>
      </c>
      <c r="D941" s="1" t="str">
        <f>+'Maestro infraestructura'!F940</f>
        <v>Pupitre</v>
      </c>
      <c r="E941" s="25" t="str">
        <f ca="1">+'Maestro infraestructura'!K940</f>
        <v>Activo</v>
      </c>
      <c r="F941" s="1" t="str">
        <f ca="1">+'Maestro infraestructura'!V940</f>
        <v>AL DÍA</v>
      </c>
      <c r="G941" s="1" t="str">
        <f>+'Maestro infraestructura'!X940</f>
        <v>OPERACIÓN</v>
      </c>
      <c r="H941" s="1">
        <f>+'Maestro infraestructura'!Y940</f>
        <v>2</v>
      </c>
      <c r="I941" s="1"/>
      <c r="J941" s="6">
        <f>+'Maestro infraestructura'!T940</f>
        <v>46378</v>
      </c>
      <c r="K941" s="6">
        <f t="shared" ca="1" si="34"/>
        <v>46378</v>
      </c>
      <c r="L941" s="6"/>
    </row>
    <row r="942" spans="1:12" x14ac:dyDescent="0.2">
      <c r="A942" s="1" t="str">
        <f>+'Maestro infraestructura'!A941</f>
        <v>NEUBAU</v>
      </c>
      <c r="B942" s="1" t="str">
        <f>+'Maestro infraestructura'!B941</f>
        <v>1° Piso</v>
      </c>
      <c r="C942" s="1" t="str">
        <f>+'Maestro infraestructura'!C941</f>
        <v>S01</v>
      </c>
      <c r="D942" s="1" t="str">
        <f>+'Maestro infraestructura'!F941</f>
        <v>Mesa Profesor</v>
      </c>
      <c r="E942" s="25" t="str">
        <f ca="1">+'Maestro infraestructura'!K941</f>
        <v>Activo</v>
      </c>
      <c r="F942" s="1" t="str">
        <f ca="1">+'Maestro infraestructura'!V941</f>
        <v>AL DÍA</v>
      </c>
      <c r="G942" s="1" t="str">
        <f>+'Maestro infraestructura'!X941</f>
        <v>OPERACIÓN</v>
      </c>
      <c r="H942" s="1">
        <f>+'Maestro infraestructura'!Y941</f>
        <v>2</v>
      </c>
      <c r="I942" s="1"/>
      <c r="J942" s="6">
        <f>+'Maestro infraestructura'!T941</f>
        <v>46378</v>
      </c>
      <c r="K942" s="6">
        <f t="shared" ca="1" si="34"/>
        <v>46378</v>
      </c>
      <c r="L942" s="6"/>
    </row>
    <row r="943" spans="1:12" x14ac:dyDescent="0.2">
      <c r="A943" s="1" t="str">
        <f>+'Maestro infraestructura'!A942</f>
        <v>NEUBAU</v>
      </c>
      <c r="B943" s="1" t="str">
        <f>+'Maestro infraestructura'!B942</f>
        <v>1° Piso</v>
      </c>
      <c r="C943" s="1" t="str">
        <f>+'Maestro infraestructura'!C942</f>
        <v>S02</v>
      </c>
      <c r="D943" s="1" t="str">
        <f>+'Maestro infraestructura'!F942</f>
        <v>Mesa Profesor</v>
      </c>
      <c r="E943" s="25" t="str">
        <f ca="1">+'Maestro infraestructura'!K942</f>
        <v>Activo</v>
      </c>
      <c r="F943" s="1" t="str">
        <f ca="1">+'Maestro infraestructura'!V942</f>
        <v>AL DÍA</v>
      </c>
      <c r="G943" s="1" t="str">
        <f>+'Maestro infraestructura'!X942</f>
        <v>OPERACIÓN</v>
      </c>
      <c r="H943" s="1">
        <f>+'Maestro infraestructura'!Y942</f>
        <v>2</v>
      </c>
      <c r="I943" s="1"/>
      <c r="J943" s="6">
        <f>+'Maestro infraestructura'!T942</f>
        <v>46378</v>
      </c>
      <c r="K943" s="6">
        <f t="shared" ca="1" si="34"/>
        <v>46378</v>
      </c>
      <c r="L943" s="6"/>
    </row>
    <row r="944" spans="1:12" x14ac:dyDescent="0.2">
      <c r="A944" s="1" t="str">
        <f>+'Maestro infraestructura'!A943</f>
        <v>NEUBAU</v>
      </c>
      <c r="B944" s="1" t="str">
        <f>+'Maestro infraestructura'!B943</f>
        <v>1° Piso</v>
      </c>
      <c r="C944" s="1" t="str">
        <f>+'Maestro infraestructura'!C943</f>
        <v>S03</v>
      </c>
      <c r="D944" s="1" t="str">
        <f>+'Maestro infraestructura'!F943</f>
        <v>Mesa Profesor</v>
      </c>
      <c r="E944" s="25" t="str">
        <f ca="1">+'Maestro infraestructura'!K943</f>
        <v>Activo</v>
      </c>
      <c r="F944" s="1" t="str">
        <f ca="1">+'Maestro infraestructura'!V943</f>
        <v>AL DÍA</v>
      </c>
      <c r="G944" s="1" t="str">
        <f>+'Maestro infraestructura'!X943</f>
        <v>OPERACIÓN</v>
      </c>
      <c r="H944" s="1">
        <f>+'Maestro infraestructura'!Y943</f>
        <v>2</v>
      </c>
      <c r="I944" s="1"/>
      <c r="J944" s="6">
        <f>+'Maestro infraestructura'!T943</f>
        <v>46378</v>
      </c>
      <c r="K944" s="6">
        <f t="shared" ca="1" si="34"/>
        <v>46378</v>
      </c>
      <c r="L944" s="6"/>
    </row>
    <row r="945" spans="1:12" x14ac:dyDescent="0.2">
      <c r="A945" s="1" t="str">
        <f>+'Maestro infraestructura'!A944</f>
        <v>NEUBAU</v>
      </c>
      <c r="B945" s="1" t="str">
        <f>+'Maestro infraestructura'!B944</f>
        <v>1° Piso</v>
      </c>
      <c r="C945" s="1" t="str">
        <f>+'Maestro infraestructura'!C944</f>
        <v>S04</v>
      </c>
      <c r="D945" s="1" t="str">
        <f>+'Maestro infraestructura'!F944</f>
        <v>Mesa Profesor</v>
      </c>
      <c r="E945" s="25" t="str">
        <f ca="1">+'Maestro infraestructura'!K944</f>
        <v>Activo</v>
      </c>
      <c r="F945" s="1" t="str">
        <f ca="1">+'Maestro infraestructura'!V944</f>
        <v>AL DÍA</v>
      </c>
      <c r="G945" s="1" t="str">
        <f>+'Maestro infraestructura'!X944</f>
        <v>OPERACIÓN</v>
      </c>
      <c r="H945" s="1">
        <f>+'Maestro infraestructura'!Y944</f>
        <v>2</v>
      </c>
      <c r="I945" s="1"/>
      <c r="J945" s="6">
        <f>+'Maestro infraestructura'!T944</f>
        <v>46378</v>
      </c>
      <c r="K945" s="6">
        <f t="shared" ca="1" si="34"/>
        <v>46378</v>
      </c>
      <c r="L945" s="6"/>
    </row>
    <row r="946" spans="1:12" x14ac:dyDescent="0.2">
      <c r="A946" s="1" t="str">
        <f>+'Maestro infraestructura'!A945</f>
        <v>NEUBAU</v>
      </c>
      <c r="B946" s="1" t="str">
        <f>+'Maestro infraestructura'!B945</f>
        <v>1° Piso</v>
      </c>
      <c r="C946" s="1" t="str">
        <f>+'Maestro infraestructura'!C945</f>
        <v>S07</v>
      </c>
      <c r="D946" s="1" t="str">
        <f>+'Maestro infraestructura'!F945</f>
        <v>Mesa Profesor</v>
      </c>
      <c r="E946" s="25" t="str">
        <f ca="1">+'Maestro infraestructura'!K945</f>
        <v>Activo</v>
      </c>
      <c r="F946" s="1" t="str">
        <f ca="1">+'Maestro infraestructura'!V945</f>
        <v>AL DÍA</v>
      </c>
      <c r="G946" s="1" t="str">
        <f>+'Maestro infraestructura'!X945</f>
        <v>OPERACIÓN</v>
      </c>
      <c r="H946" s="1">
        <f>+'Maestro infraestructura'!Y945</f>
        <v>2</v>
      </c>
      <c r="I946" s="1"/>
      <c r="J946" s="6">
        <f>+'Maestro infraestructura'!T945</f>
        <v>46378</v>
      </c>
      <c r="K946" s="6">
        <f t="shared" ca="1" si="34"/>
        <v>46378</v>
      </c>
      <c r="L946" s="6"/>
    </row>
    <row r="947" spans="1:12" x14ac:dyDescent="0.2">
      <c r="A947" s="1" t="str">
        <f>+'Maestro infraestructura'!A946</f>
        <v>NEUBAU</v>
      </c>
      <c r="B947" s="1" t="str">
        <f>+'Maestro infraestructura'!B946</f>
        <v>1° Piso</v>
      </c>
      <c r="C947" s="1" t="str">
        <f>+'Maestro infraestructura'!C946</f>
        <v>S08</v>
      </c>
      <c r="D947" s="1" t="str">
        <f>+'Maestro infraestructura'!F946</f>
        <v>Mesa Profesor</v>
      </c>
      <c r="E947" s="25" t="str">
        <f ca="1">+'Maestro infraestructura'!K946</f>
        <v>Activo</v>
      </c>
      <c r="F947" s="1" t="str">
        <f ca="1">+'Maestro infraestructura'!V946</f>
        <v>AL DÍA</v>
      </c>
      <c r="G947" s="1" t="str">
        <f>+'Maestro infraestructura'!X946</f>
        <v>OPERACIÓN</v>
      </c>
      <c r="H947" s="1">
        <f>+'Maestro infraestructura'!Y946</f>
        <v>2</v>
      </c>
      <c r="I947" s="1"/>
      <c r="J947" s="6">
        <f>+'Maestro infraestructura'!T946</f>
        <v>46378</v>
      </c>
      <c r="K947" s="6">
        <f t="shared" ca="1" si="34"/>
        <v>46378</v>
      </c>
      <c r="L947" s="6"/>
    </row>
    <row r="948" spans="1:12" x14ac:dyDescent="0.2">
      <c r="A948" s="1" t="str">
        <f>+'Maestro infraestructura'!A947</f>
        <v>NEUBAU</v>
      </c>
      <c r="B948" s="1" t="str">
        <f>+'Maestro infraestructura'!B947</f>
        <v>2° Piso</v>
      </c>
      <c r="C948" s="1" t="str">
        <f>+'Maestro infraestructura'!C947</f>
        <v>S09</v>
      </c>
      <c r="D948" s="1" t="str">
        <f>+'Maestro infraestructura'!F947</f>
        <v>Mesa Profesor</v>
      </c>
      <c r="E948" s="25" t="str">
        <f ca="1">+'Maestro infraestructura'!K947</f>
        <v>Activo</v>
      </c>
      <c r="F948" s="1" t="str">
        <f ca="1">+'Maestro infraestructura'!V947</f>
        <v>AL DÍA</v>
      </c>
      <c r="G948" s="1" t="str">
        <f>+'Maestro infraestructura'!X947</f>
        <v>OPERACIÓN</v>
      </c>
      <c r="H948" s="1">
        <f>+'Maestro infraestructura'!Y947</f>
        <v>2</v>
      </c>
      <c r="I948" s="1"/>
      <c r="J948" s="6">
        <f>+'Maestro infraestructura'!T947</f>
        <v>46378</v>
      </c>
      <c r="K948" s="6">
        <f t="shared" ca="1" si="34"/>
        <v>46378</v>
      </c>
      <c r="L948" s="6"/>
    </row>
    <row r="949" spans="1:12" x14ac:dyDescent="0.2">
      <c r="A949" s="1" t="str">
        <f>+'Maestro infraestructura'!A948</f>
        <v>NEUBAU</v>
      </c>
      <c r="B949" s="1" t="str">
        <f>+'Maestro infraestructura'!B948</f>
        <v>2° Piso</v>
      </c>
      <c r="C949" s="1" t="str">
        <f>+'Maestro infraestructura'!C948</f>
        <v>S10</v>
      </c>
      <c r="D949" s="1" t="str">
        <f>+'Maestro infraestructura'!F948</f>
        <v>Mesa Profesor</v>
      </c>
      <c r="E949" s="25" t="str">
        <f ca="1">+'Maestro infraestructura'!K948</f>
        <v>Activo</v>
      </c>
      <c r="F949" s="1" t="str">
        <f ca="1">+'Maestro infraestructura'!V948</f>
        <v>AL DÍA</v>
      </c>
      <c r="G949" s="1" t="str">
        <f>+'Maestro infraestructura'!X948</f>
        <v>OPERACIÓN</v>
      </c>
      <c r="H949" s="1">
        <f>+'Maestro infraestructura'!Y948</f>
        <v>2</v>
      </c>
      <c r="I949" s="1"/>
      <c r="J949" s="6">
        <f>+'Maestro infraestructura'!T948</f>
        <v>46378</v>
      </c>
      <c r="K949" s="6">
        <f t="shared" ca="1" si="34"/>
        <v>46378</v>
      </c>
      <c r="L949" s="6"/>
    </row>
    <row r="950" spans="1:12" x14ac:dyDescent="0.2">
      <c r="A950" s="1" t="str">
        <f>+'Maestro infraestructura'!A949</f>
        <v>NEUBAU</v>
      </c>
      <c r="B950" s="1" t="str">
        <f>+'Maestro infraestructura'!B949</f>
        <v>2° Piso</v>
      </c>
      <c r="C950" s="1" t="str">
        <f>+'Maestro infraestructura'!C949</f>
        <v>S11</v>
      </c>
      <c r="D950" s="1" t="str">
        <f>+'Maestro infraestructura'!F949</f>
        <v>Mesa Profesor</v>
      </c>
      <c r="E950" s="25" t="str">
        <f ca="1">+'Maestro infraestructura'!K949</f>
        <v>Activo</v>
      </c>
      <c r="F950" s="1" t="str">
        <f ca="1">+'Maestro infraestructura'!V949</f>
        <v>AL DÍA</v>
      </c>
      <c r="G950" s="1" t="str">
        <f>+'Maestro infraestructura'!X949</f>
        <v>OPERACIÓN</v>
      </c>
      <c r="H950" s="1">
        <f>+'Maestro infraestructura'!Y949</f>
        <v>2</v>
      </c>
      <c r="I950" s="1"/>
      <c r="J950" s="6">
        <f>+'Maestro infraestructura'!T949</f>
        <v>46378</v>
      </c>
      <c r="K950" s="6">
        <f t="shared" ca="1" si="34"/>
        <v>46378</v>
      </c>
      <c r="L950" s="6"/>
    </row>
    <row r="951" spans="1:12" x14ac:dyDescent="0.2">
      <c r="A951" s="1" t="str">
        <f>+'Maestro infraestructura'!A950</f>
        <v>NEUBAU</v>
      </c>
      <c r="B951" s="1" t="str">
        <f>+'Maestro infraestructura'!B950</f>
        <v>2° Piso</v>
      </c>
      <c r="C951" s="1" t="str">
        <f>+'Maestro infraestructura'!C950</f>
        <v>S12</v>
      </c>
      <c r="D951" s="1" t="str">
        <f>+'Maestro infraestructura'!F950</f>
        <v>Mesa Profesor</v>
      </c>
      <c r="E951" s="25" t="str">
        <f ca="1">+'Maestro infraestructura'!K950</f>
        <v>Activo</v>
      </c>
      <c r="F951" s="1" t="str">
        <f ca="1">+'Maestro infraestructura'!V950</f>
        <v>AL DÍA</v>
      </c>
      <c r="G951" s="1" t="str">
        <f>+'Maestro infraestructura'!X950</f>
        <v>OPERACIÓN</v>
      </c>
      <c r="H951" s="1">
        <f>+'Maestro infraestructura'!Y950</f>
        <v>2</v>
      </c>
      <c r="I951" s="1"/>
      <c r="J951" s="6">
        <f>+'Maestro infraestructura'!T950</f>
        <v>46378</v>
      </c>
      <c r="K951" s="6">
        <f t="shared" ca="1" si="34"/>
        <v>46378</v>
      </c>
      <c r="L951" s="6"/>
    </row>
    <row r="952" spans="1:12" x14ac:dyDescent="0.2">
      <c r="A952" s="1" t="str">
        <f>+'Maestro infraestructura'!A951</f>
        <v>NEUBAU</v>
      </c>
      <c r="B952" s="1" t="str">
        <f>+'Maestro infraestructura'!B951</f>
        <v>2° Piso</v>
      </c>
      <c r="C952" s="1" t="str">
        <f>+'Maestro infraestructura'!C951</f>
        <v>S13</v>
      </c>
      <c r="D952" s="1" t="str">
        <f>+'Maestro infraestructura'!F951</f>
        <v>Mesa Profesor</v>
      </c>
      <c r="E952" s="25" t="str">
        <f ca="1">+'Maestro infraestructura'!K951</f>
        <v>Activo</v>
      </c>
      <c r="F952" s="1" t="str">
        <f ca="1">+'Maestro infraestructura'!V951</f>
        <v>AL DÍA</v>
      </c>
      <c r="G952" s="1" t="str">
        <f>+'Maestro infraestructura'!X951</f>
        <v>OPERACIÓN</v>
      </c>
      <c r="H952" s="1">
        <f>+'Maestro infraestructura'!Y951</f>
        <v>2</v>
      </c>
      <c r="I952" s="1"/>
      <c r="J952" s="6">
        <f>+'Maestro infraestructura'!T951</f>
        <v>46378</v>
      </c>
      <c r="K952" s="6">
        <f t="shared" ca="1" si="34"/>
        <v>46378</v>
      </c>
      <c r="L952" s="6"/>
    </row>
    <row r="953" spans="1:12" x14ac:dyDescent="0.2">
      <c r="A953" s="1" t="str">
        <f>+'Maestro infraestructura'!A952</f>
        <v>NEUBAU</v>
      </c>
      <c r="B953" s="1" t="str">
        <f>+'Maestro infraestructura'!B952</f>
        <v>2° Piso</v>
      </c>
      <c r="C953" s="1" t="str">
        <f>+'Maestro infraestructura'!C952</f>
        <v>S14</v>
      </c>
      <c r="D953" s="1" t="str">
        <f>+'Maestro infraestructura'!F952</f>
        <v>Mesa Profesor</v>
      </c>
      <c r="E953" s="25" t="str">
        <f ca="1">+'Maestro infraestructura'!K952</f>
        <v>Activo</v>
      </c>
      <c r="F953" s="1" t="str">
        <f ca="1">+'Maestro infraestructura'!V952</f>
        <v>AL DÍA</v>
      </c>
      <c r="G953" s="1" t="str">
        <f>+'Maestro infraestructura'!X952</f>
        <v>OPERACIÓN</v>
      </c>
      <c r="H953" s="1">
        <f>+'Maestro infraestructura'!Y952</f>
        <v>2</v>
      </c>
      <c r="I953" s="1"/>
      <c r="J953" s="6">
        <f>+'Maestro infraestructura'!T952</f>
        <v>46378</v>
      </c>
      <c r="K953" s="6">
        <f t="shared" ca="1" si="34"/>
        <v>46378</v>
      </c>
      <c r="L953" s="6"/>
    </row>
    <row r="954" spans="1:12" x14ac:dyDescent="0.2">
      <c r="A954" s="1" t="str">
        <f>+'Maestro infraestructura'!A953</f>
        <v>NEUBAU</v>
      </c>
      <c r="B954" s="1" t="str">
        <f>+'Maestro infraestructura'!B953</f>
        <v>2° Piso</v>
      </c>
      <c r="C954" s="1" t="str">
        <f>+'Maestro infraestructura'!C953</f>
        <v>S15</v>
      </c>
      <c r="D954" s="1" t="str">
        <f>+'Maestro infraestructura'!F953</f>
        <v>Mesa Profesor</v>
      </c>
      <c r="E954" s="25" t="str">
        <f ca="1">+'Maestro infraestructura'!K953</f>
        <v>Activo</v>
      </c>
      <c r="F954" s="1" t="str">
        <f ca="1">+'Maestro infraestructura'!V953</f>
        <v>AL DÍA</v>
      </c>
      <c r="G954" s="1" t="str">
        <f>+'Maestro infraestructura'!X953</f>
        <v>OPERACIÓN</v>
      </c>
      <c r="H954" s="1">
        <f>+'Maestro infraestructura'!Y953</f>
        <v>2</v>
      </c>
      <c r="I954" s="1"/>
      <c r="J954" s="6">
        <f>+'Maestro infraestructura'!T953</f>
        <v>46378</v>
      </c>
      <c r="K954" s="6">
        <f t="shared" ca="1" si="34"/>
        <v>46378</v>
      </c>
      <c r="L954" s="6"/>
    </row>
    <row r="955" spans="1:12" x14ac:dyDescent="0.2">
      <c r="A955" s="1" t="str">
        <f>+'Maestro infraestructura'!A954</f>
        <v>NEUBAU</v>
      </c>
      <c r="B955" s="1" t="str">
        <f>+'Maestro infraestructura'!B954</f>
        <v>2° Piso</v>
      </c>
      <c r="C955" s="1" t="str">
        <f>+'Maestro infraestructura'!C954</f>
        <v>S16</v>
      </c>
      <c r="D955" s="1" t="str">
        <f>+'Maestro infraestructura'!F954</f>
        <v>Mesa Profesor</v>
      </c>
      <c r="E955" s="25" t="str">
        <f ca="1">+'Maestro infraestructura'!K954</f>
        <v>Activo</v>
      </c>
      <c r="F955" s="1" t="str">
        <f ca="1">+'Maestro infraestructura'!V954</f>
        <v>AL DÍA</v>
      </c>
      <c r="G955" s="1" t="str">
        <f>+'Maestro infraestructura'!X954</f>
        <v>OPERACIÓN</v>
      </c>
      <c r="H955" s="1">
        <f>+'Maestro infraestructura'!Y954</f>
        <v>2</v>
      </c>
      <c r="I955" s="1"/>
      <c r="J955" s="6">
        <f>+'Maestro infraestructura'!T954</f>
        <v>46378</v>
      </c>
      <c r="K955" s="6">
        <f t="shared" ca="1" si="34"/>
        <v>46378</v>
      </c>
      <c r="L955" s="6"/>
    </row>
    <row r="956" spans="1:12" x14ac:dyDescent="0.2">
      <c r="A956" s="1" t="str">
        <f>+'Maestro infraestructura'!A955</f>
        <v>NEUBAU</v>
      </c>
      <c r="B956" s="1" t="str">
        <f>+'Maestro infraestructura'!B955</f>
        <v>1° Piso</v>
      </c>
      <c r="C956" s="1" t="str">
        <f>+'Maestro infraestructura'!C955</f>
        <v>S01</v>
      </c>
      <c r="D956" s="1" t="str">
        <f>+'Maestro infraestructura'!F955</f>
        <v>Silla Profesor</v>
      </c>
      <c r="E956" s="25" t="str">
        <f ca="1">+'Maestro infraestructura'!K955</f>
        <v>Activo</v>
      </c>
      <c r="F956" s="1" t="str">
        <f ca="1">+'Maestro infraestructura'!V955</f>
        <v>AL DÍA</v>
      </c>
      <c r="G956" s="1" t="str">
        <f>+'Maestro infraestructura'!X955</f>
        <v>OPERACIÓN</v>
      </c>
      <c r="H956" s="1">
        <f>+'Maestro infraestructura'!Y955</f>
        <v>2</v>
      </c>
      <c r="I956" s="1"/>
      <c r="J956" s="6">
        <f>+'Maestro infraestructura'!T955</f>
        <v>46378</v>
      </c>
      <c r="K956" s="6">
        <f t="shared" ca="1" si="34"/>
        <v>46378</v>
      </c>
      <c r="L956" s="6"/>
    </row>
    <row r="957" spans="1:12" x14ac:dyDescent="0.2">
      <c r="A957" s="1" t="str">
        <f>+'Maestro infraestructura'!A956</f>
        <v>NEUBAU</v>
      </c>
      <c r="B957" s="1" t="str">
        <f>+'Maestro infraestructura'!B956</f>
        <v>1° Piso</v>
      </c>
      <c r="C957" s="1" t="str">
        <f>+'Maestro infraestructura'!C956</f>
        <v>S02</v>
      </c>
      <c r="D957" s="1" t="str">
        <f>+'Maestro infraestructura'!F956</f>
        <v>Silla Profesor</v>
      </c>
      <c r="E957" s="25" t="str">
        <f ca="1">+'Maestro infraestructura'!K956</f>
        <v>Activo</v>
      </c>
      <c r="F957" s="1" t="str">
        <f ca="1">+'Maestro infraestructura'!V956</f>
        <v>AL DÍA</v>
      </c>
      <c r="G957" s="1" t="str">
        <f>+'Maestro infraestructura'!X956</f>
        <v>OPERACIÓN</v>
      </c>
      <c r="H957" s="1">
        <f>+'Maestro infraestructura'!Y956</f>
        <v>2</v>
      </c>
      <c r="I957" s="1"/>
      <c r="J957" s="6">
        <f>+'Maestro infraestructura'!T956</f>
        <v>46378</v>
      </c>
      <c r="K957" s="6">
        <f t="shared" ca="1" si="34"/>
        <v>46378</v>
      </c>
      <c r="L957" s="6"/>
    </row>
    <row r="958" spans="1:12" x14ac:dyDescent="0.2">
      <c r="A958" s="1" t="str">
        <f>+'Maestro infraestructura'!A957</f>
        <v>NEUBAU</v>
      </c>
      <c r="B958" s="1" t="str">
        <f>+'Maestro infraestructura'!B957</f>
        <v>1° Piso</v>
      </c>
      <c r="C958" s="1" t="str">
        <f>+'Maestro infraestructura'!C957</f>
        <v>S03</v>
      </c>
      <c r="D958" s="1" t="str">
        <f>+'Maestro infraestructura'!F957</f>
        <v>Silla Profesor</v>
      </c>
      <c r="E958" s="25" t="str">
        <f ca="1">+'Maestro infraestructura'!K957</f>
        <v>Activo</v>
      </c>
      <c r="F958" s="1" t="str">
        <f ca="1">+'Maestro infraestructura'!V957</f>
        <v>AL DÍA</v>
      </c>
      <c r="G958" s="1" t="str">
        <f>+'Maestro infraestructura'!X957</f>
        <v>OPERACIÓN</v>
      </c>
      <c r="H958" s="1">
        <f>+'Maestro infraestructura'!Y957</f>
        <v>2</v>
      </c>
      <c r="I958" s="1"/>
      <c r="J958" s="6">
        <f>+'Maestro infraestructura'!T957</f>
        <v>46378</v>
      </c>
      <c r="K958" s="6">
        <f t="shared" ca="1" si="34"/>
        <v>46378</v>
      </c>
      <c r="L958" s="6"/>
    </row>
    <row r="959" spans="1:12" x14ac:dyDescent="0.2">
      <c r="A959" s="1" t="str">
        <f>+'Maestro infraestructura'!A958</f>
        <v>NEUBAU</v>
      </c>
      <c r="B959" s="1" t="str">
        <f>+'Maestro infraestructura'!B958</f>
        <v>1° Piso</v>
      </c>
      <c r="C959" s="1" t="str">
        <f>+'Maestro infraestructura'!C958</f>
        <v>S04</v>
      </c>
      <c r="D959" s="1" t="str">
        <f>+'Maestro infraestructura'!F958</f>
        <v>Silla Profesor</v>
      </c>
      <c r="E959" s="25" t="str">
        <f ca="1">+'Maestro infraestructura'!K958</f>
        <v>Activo</v>
      </c>
      <c r="F959" s="1" t="str">
        <f ca="1">+'Maestro infraestructura'!V958</f>
        <v>AL DÍA</v>
      </c>
      <c r="G959" s="1" t="str">
        <f>+'Maestro infraestructura'!X958</f>
        <v>OPERACIÓN</v>
      </c>
      <c r="H959" s="1">
        <f>+'Maestro infraestructura'!Y958</f>
        <v>2</v>
      </c>
      <c r="I959" s="1"/>
      <c r="J959" s="6">
        <f>+'Maestro infraestructura'!T958</f>
        <v>46378</v>
      </c>
      <c r="K959" s="6">
        <f t="shared" ca="1" si="34"/>
        <v>46378</v>
      </c>
      <c r="L959" s="6"/>
    </row>
    <row r="960" spans="1:12" x14ac:dyDescent="0.2">
      <c r="A960" s="1" t="str">
        <f>+'Maestro infraestructura'!A959</f>
        <v>NEUBAU</v>
      </c>
      <c r="B960" s="1" t="str">
        <f>+'Maestro infraestructura'!B959</f>
        <v>1° Piso</v>
      </c>
      <c r="C960" s="1" t="str">
        <f>+'Maestro infraestructura'!C959</f>
        <v>S07</v>
      </c>
      <c r="D960" s="1" t="str">
        <f>+'Maestro infraestructura'!F959</f>
        <v>Silla Profesor</v>
      </c>
      <c r="E960" s="25" t="str">
        <f ca="1">+'Maestro infraestructura'!K959</f>
        <v>Activo</v>
      </c>
      <c r="F960" s="1" t="str">
        <f ca="1">+'Maestro infraestructura'!V959</f>
        <v>AL DÍA</v>
      </c>
      <c r="G960" s="1" t="str">
        <f>+'Maestro infraestructura'!X959</f>
        <v>OPERACIÓN</v>
      </c>
      <c r="H960" s="1">
        <f>+'Maestro infraestructura'!Y959</f>
        <v>2</v>
      </c>
      <c r="I960" s="1"/>
      <c r="J960" s="6">
        <f>+'Maestro infraestructura'!T959</f>
        <v>46378</v>
      </c>
      <c r="K960" s="6">
        <f t="shared" ca="1" si="34"/>
        <v>46378</v>
      </c>
      <c r="L960" s="6"/>
    </row>
    <row r="961" spans="1:12" x14ac:dyDescent="0.2">
      <c r="A961" s="1" t="str">
        <f>+'Maestro infraestructura'!A960</f>
        <v>NEUBAU</v>
      </c>
      <c r="B961" s="1" t="str">
        <f>+'Maestro infraestructura'!B960</f>
        <v>1° Piso</v>
      </c>
      <c r="C961" s="1" t="str">
        <f>+'Maestro infraestructura'!C960</f>
        <v>S08</v>
      </c>
      <c r="D961" s="1" t="str">
        <f>+'Maestro infraestructura'!F960</f>
        <v>Silla Profesor</v>
      </c>
      <c r="E961" s="25" t="str">
        <f ca="1">+'Maestro infraestructura'!K960</f>
        <v>Activo</v>
      </c>
      <c r="F961" s="1" t="str">
        <f ca="1">+'Maestro infraestructura'!V960</f>
        <v>AL DÍA</v>
      </c>
      <c r="G961" s="1" t="str">
        <f>+'Maestro infraestructura'!X960</f>
        <v>OPERACIÓN</v>
      </c>
      <c r="H961" s="1">
        <f>+'Maestro infraestructura'!Y960</f>
        <v>2</v>
      </c>
      <c r="I961" s="1"/>
      <c r="J961" s="6">
        <f>+'Maestro infraestructura'!T960</f>
        <v>46378</v>
      </c>
      <c r="K961" s="6">
        <f t="shared" ca="1" si="34"/>
        <v>46378</v>
      </c>
      <c r="L961" s="6"/>
    </row>
    <row r="962" spans="1:12" x14ac:dyDescent="0.2">
      <c r="A962" s="1" t="str">
        <f>+'Maestro infraestructura'!A961</f>
        <v>NEUBAU</v>
      </c>
      <c r="B962" s="1" t="str">
        <f>+'Maestro infraestructura'!B961</f>
        <v>2° Piso</v>
      </c>
      <c r="C962" s="1" t="str">
        <f>+'Maestro infraestructura'!C961</f>
        <v>S09</v>
      </c>
      <c r="D962" s="1" t="str">
        <f>+'Maestro infraestructura'!F961</f>
        <v>Silla Profesor</v>
      </c>
      <c r="E962" s="25" t="str">
        <f ca="1">+'Maestro infraestructura'!K961</f>
        <v>Activo</v>
      </c>
      <c r="F962" s="1" t="str">
        <f ca="1">+'Maestro infraestructura'!V961</f>
        <v>AL DÍA</v>
      </c>
      <c r="G962" s="1" t="str">
        <f>+'Maestro infraestructura'!X961</f>
        <v>OPERACIÓN</v>
      </c>
      <c r="H962" s="1">
        <f>+'Maestro infraestructura'!Y961</f>
        <v>2</v>
      </c>
      <c r="I962" s="1"/>
      <c r="J962" s="6">
        <f>+'Maestro infraestructura'!T961</f>
        <v>46378</v>
      </c>
      <c r="K962" s="6">
        <f t="shared" ca="1" si="34"/>
        <v>46378</v>
      </c>
      <c r="L962" s="6"/>
    </row>
    <row r="963" spans="1:12" x14ac:dyDescent="0.2">
      <c r="A963" s="1" t="str">
        <f>+'Maestro infraestructura'!A962</f>
        <v>NEUBAU</v>
      </c>
      <c r="B963" s="1" t="str">
        <f>+'Maestro infraestructura'!B962</f>
        <v>2° Piso</v>
      </c>
      <c r="C963" s="1" t="str">
        <f>+'Maestro infraestructura'!C962</f>
        <v>S10</v>
      </c>
      <c r="D963" s="1" t="str">
        <f>+'Maestro infraestructura'!F962</f>
        <v>Silla Profesor</v>
      </c>
      <c r="E963" s="25" t="str">
        <f ca="1">+'Maestro infraestructura'!K962</f>
        <v>Activo</v>
      </c>
      <c r="F963" s="1" t="str">
        <f ca="1">+'Maestro infraestructura'!V962</f>
        <v>AL DÍA</v>
      </c>
      <c r="G963" s="1" t="str">
        <f>+'Maestro infraestructura'!X962</f>
        <v>OPERACIÓN</v>
      </c>
      <c r="H963" s="1">
        <f>+'Maestro infraestructura'!Y962</f>
        <v>2</v>
      </c>
      <c r="I963" s="1"/>
      <c r="J963" s="6">
        <f>+'Maestro infraestructura'!T962</f>
        <v>46378</v>
      </c>
      <c r="K963" s="6">
        <f t="shared" ca="1" si="34"/>
        <v>46378</v>
      </c>
      <c r="L963" s="6"/>
    </row>
    <row r="964" spans="1:12" x14ac:dyDescent="0.2">
      <c r="A964" s="1" t="str">
        <f>+'Maestro infraestructura'!A963</f>
        <v>NEUBAU</v>
      </c>
      <c r="B964" s="1" t="str">
        <f>+'Maestro infraestructura'!B963</f>
        <v>2° Piso</v>
      </c>
      <c r="C964" s="1" t="str">
        <f>+'Maestro infraestructura'!C963</f>
        <v>S11</v>
      </c>
      <c r="D964" s="1" t="str">
        <f>+'Maestro infraestructura'!F963</f>
        <v>Silla Profesor</v>
      </c>
      <c r="E964" s="25" t="str">
        <f ca="1">+'Maestro infraestructura'!K963</f>
        <v>Activo</v>
      </c>
      <c r="F964" s="1" t="str">
        <f ca="1">+'Maestro infraestructura'!V963</f>
        <v>AL DÍA</v>
      </c>
      <c r="G964" s="1" t="str">
        <f>+'Maestro infraestructura'!X963</f>
        <v>OPERACIÓN</v>
      </c>
      <c r="H964" s="1">
        <f>+'Maestro infraestructura'!Y963</f>
        <v>2</v>
      </c>
      <c r="I964" s="1"/>
      <c r="J964" s="6">
        <f>+'Maestro infraestructura'!T963</f>
        <v>46378</v>
      </c>
      <c r="K964" s="6">
        <f t="shared" ref="K964:K1027" ca="1" si="35">IF(E964="Cambiar o Inspección externa",1/1/2027,IF(E964="cambiar",1/1/2027,J964))</f>
        <v>46378</v>
      </c>
      <c r="L964" s="6"/>
    </row>
    <row r="965" spans="1:12" x14ac:dyDescent="0.2">
      <c r="A965" s="1" t="str">
        <f>+'Maestro infraestructura'!A964</f>
        <v>NEUBAU</v>
      </c>
      <c r="B965" s="1" t="str">
        <f>+'Maestro infraestructura'!B964</f>
        <v>2° Piso</v>
      </c>
      <c r="C965" s="1" t="str">
        <f>+'Maestro infraestructura'!C964</f>
        <v>S12</v>
      </c>
      <c r="D965" s="1" t="str">
        <f>+'Maestro infraestructura'!F964</f>
        <v>Silla Profesor</v>
      </c>
      <c r="E965" s="25" t="str">
        <f ca="1">+'Maestro infraestructura'!K964</f>
        <v>Activo</v>
      </c>
      <c r="F965" s="1" t="str">
        <f ca="1">+'Maestro infraestructura'!V964</f>
        <v>AL DÍA</v>
      </c>
      <c r="G965" s="1" t="str">
        <f>+'Maestro infraestructura'!X964</f>
        <v>OPERACIÓN</v>
      </c>
      <c r="H965" s="1">
        <f>+'Maestro infraestructura'!Y964</f>
        <v>2</v>
      </c>
      <c r="I965" s="1"/>
      <c r="J965" s="6">
        <f>+'Maestro infraestructura'!T964</f>
        <v>46378</v>
      </c>
      <c r="K965" s="6">
        <f t="shared" ca="1" si="35"/>
        <v>46378</v>
      </c>
      <c r="L965" s="6"/>
    </row>
    <row r="966" spans="1:12" x14ac:dyDescent="0.2">
      <c r="A966" s="1" t="str">
        <f>+'Maestro infraestructura'!A965</f>
        <v>NEUBAU</v>
      </c>
      <c r="B966" s="1" t="str">
        <f>+'Maestro infraestructura'!B965</f>
        <v>2° Piso</v>
      </c>
      <c r="C966" s="1" t="str">
        <f>+'Maestro infraestructura'!C965</f>
        <v>S13</v>
      </c>
      <c r="D966" s="1" t="str">
        <f>+'Maestro infraestructura'!F965</f>
        <v>Silla Profesor</v>
      </c>
      <c r="E966" s="25" t="str">
        <f ca="1">+'Maestro infraestructura'!K965</f>
        <v>Activo</v>
      </c>
      <c r="F966" s="1" t="str">
        <f ca="1">+'Maestro infraestructura'!V965</f>
        <v>AL DÍA</v>
      </c>
      <c r="G966" s="1" t="str">
        <f>+'Maestro infraestructura'!X965</f>
        <v>OPERACIÓN</v>
      </c>
      <c r="H966" s="1">
        <f>+'Maestro infraestructura'!Y965</f>
        <v>2</v>
      </c>
      <c r="I966" s="1"/>
      <c r="J966" s="6">
        <f>+'Maestro infraestructura'!T965</f>
        <v>46378</v>
      </c>
      <c r="K966" s="6">
        <f t="shared" ca="1" si="35"/>
        <v>46378</v>
      </c>
      <c r="L966" s="6"/>
    </row>
    <row r="967" spans="1:12" x14ac:dyDescent="0.2">
      <c r="A967" s="1" t="str">
        <f>+'Maestro infraestructura'!A966</f>
        <v>NEUBAU</v>
      </c>
      <c r="B967" s="1" t="str">
        <f>+'Maestro infraestructura'!B966</f>
        <v>2° Piso</v>
      </c>
      <c r="C967" s="1" t="str">
        <f>+'Maestro infraestructura'!C966</f>
        <v>S14</v>
      </c>
      <c r="D967" s="1" t="str">
        <f>+'Maestro infraestructura'!F966</f>
        <v>Silla Profesor</v>
      </c>
      <c r="E967" s="25" t="str">
        <f ca="1">+'Maestro infraestructura'!K966</f>
        <v>Activo</v>
      </c>
      <c r="F967" s="1" t="str">
        <f ca="1">+'Maestro infraestructura'!V966</f>
        <v>AL DÍA</v>
      </c>
      <c r="G967" s="1" t="str">
        <f>+'Maestro infraestructura'!X966</f>
        <v>OPERACIÓN</v>
      </c>
      <c r="H967" s="1">
        <f>+'Maestro infraestructura'!Y966</f>
        <v>2</v>
      </c>
      <c r="I967" s="1"/>
      <c r="J967" s="6">
        <f>+'Maestro infraestructura'!T966</f>
        <v>46378</v>
      </c>
      <c r="K967" s="6">
        <f t="shared" ca="1" si="35"/>
        <v>46378</v>
      </c>
      <c r="L967" s="6"/>
    </row>
    <row r="968" spans="1:12" x14ac:dyDescent="0.2">
      <c r="A968" s="1" t="str">
        <f>+'Maestro infraestructura'!A967</f>
        <v>NEUBAU</v>
      </c>
      <c r="B968" s="1" t="str">
        <f>+'Maestro infraestructura'!B967</f>
        <v>2° Piso</v>
      </c>
      <c r="C968" s="1" t="str">
        <f>+'Maestro infraestructura'!C967</f>
        <v>S15</v>
      </c>
      <c r="D968" s="1" t="str">
        <f>+'Maestro infraestructura'!F967</f>
        <v>Silla Profesor</v>
      </c>
      <c r="E968" s="25" t="str">
        <f ca="1">+'Maestro infraestructura'!K967</f>
        <v>Activo</v>
      </c>
      <c r="F968" s="1" t="str">
        <f ca="1">+'Maestro infraestructura'!V967</f>
        <v>AL DÍA</v>
      </c>
      <c r="G968" s="1" t="str">
        <f>+'Maestro infraestructura'!X967</f>
        <v>OPERACIÓN</v>
      </c>
      <c r="H968" s="1">
        <f>+'Maestro infraestructura'!Y967</f>
        <v>2</v>
      </c>
      <c r="I968" s="1"/>
      <c r="J968" s="6">
        <f>+'Maestro infraestructura'!T967</f>
        <v>46378</v>
      </c>
      <c r="K968" s="6">
        <f t="shared" ca="1" si="35"/>
        <v>46378</v>
      </c>
      <c r="L968" s="6"/>
    </row>
    <row r="969" spans="1:12" x14ac:dyDescent="0.2">
      <c r="A969" s="1" t="str">
        <f>+'Maestro infraestructura'!A968</f>
        <v>NEUBAU</v>
      </c>
      <c r="B969" s="1" t="str">
        <f>+'Maestro infraestructura'!B968</f>
        <v>2° Piso</v>
      </c>
      <c r="C969" s="1" t="str">
        <f>+'Maestro infraestructura'!C968</f>
        <v>S16</v>
      </c>
      <c r="D969" s="1" t="str">
        <f>+'Maestro infraestructura'!F968</f>
        <v>Silla Profesor</v>
      </c>
      <c r="E969" s="25" t="str">
        <f ca="1">+'Maestro infraestructura'!K968</f>
        <v>Activo</v>
      </c>
      <c r="F969" s="1" t="str">
        <f ca="1">+'Maestro infraestructura'!V968</f>
        <v>AL DÍA</v>
      </c>
      <c r="G969" s="1" t="str">
        <f>+'Maestro infraestructura'!X968</f>
        <v>OPERACIÓN</v>
      </c>
      <c r="H969" s="1">
        <f>+'Maestro infraestructura'!Y968</f>
        <v>2</v>
      </c>
      <c r="I969" s="1"/>
      <c r="J969" s="6">
        <f>+'Maestro infraestructura'!T968</f>
        <v>46378</v>
      </c>
      <c r="K969" s="6">
        <f t="shared" ca="1" si="35"/>
        <v>46378</v>
      </c>
      <c r="L969" s="6"/>
    </row>
    <row r="970" spans="1:12" x14ac:dyDescent="0.2">
      <c r="A970" s="1" t="str">
        <f>+'Maestro infraestructura'!A969</f>
        <v>NEUBAU</v>
      </c>
      <c r="B970" s="1" t="str">
        <f>+'Maestro infraestructura'!B969</f>
        <v>1° Piso</v>
      </c>
      <c r="C970" s="1" t="str">
        <f>+'Maestro infraestructura'!C969</f>
        <v>S01</v>
      </c>
      <c r="D970" s="1" t="str">
        <f>+'Maestro infraestructura'!F969</f>
        <v>Radiadores</v>
      </c>
      <c r="E970" s="25" t="str">
        <f ca="1">+'Maestro infraestructura'!K969</f>
        <v>Activo</v>
      </c>
      <c r="F970" s="1" t="str">
        <f ca="1">+'Maestro infraestructura'!V969</f>
        <v>AL DÍA</v>
      </c>
      <c r="G970" s="1" t="str">
        <f>+'Maestro infraestructura'!X969</f>
        <v>GENERAL</v>
      </c>
      <c r="H970" s="1">
        <f>+'Maestro infraestructura'!Y969</f>
        <v>1</v>
      </c>
      <c r="I970" s="1"/>
      <c r="J970" s="6">
        <f>+'Maestro infraestructura'!T969</f>
        <v>46563</v>
      </c>
      <c r="K970" s="6">
        <f t="shared" ca="1" si="35"/>
        <v>46563</v>
      </c>
      <c r="L970" s="6"/>
    </row>
    <row r="971" spans="1:12" x14ac:dyDescent="0.2">
      <c r="A971" s="1" t="str">
        <f>+'Maestro infraestructura'!A970</f>
        <v>NEUBAU</v>
      </c>
      <c r="B971" s="1" t="str">
        <f>+'Maestro infraestructura'!B970</f>
        <v>1° Piso</v>
      </c>
      <c r="C971" s="1" t="str">
        <f>+'Maestro infraestructura'!C970</f>
        <v>S02</v>
      </c>
      <c r="D971" s="1" t="str">
        <f>+'Maestro infraestructura'!F970</f>
        <v>Radiadores</v>
      </c>
      <c r="E971" s="25" t="str">
        <f ca="1">+'Maestro infraestructura'!K970</f>
        <v>Activo</v>
      </c>
      <c r="F971" s="1" t="str">
        <f ca="1">+'Maestro infraestructura'!V970</f>
        <v>AL DÍA</v>
      </c>
      <c r="G971" s="1" t="str">
        <f>+'Maestro infraestructura'!X970</f>
        <v>GENERAL</v>
      </c>
      <c r="H971" s="1">
        <f>+'Maestro infraestructura'!Y970</f>
        <v>1</v>
      </c>
      <c r="I971" s="1"/>
      <c r="J971" s="6">
        <f>+'Maestro infraestructura'!T970</f>
        <v>46563</v>
      </c>
      <c r="K971" s="6">
        <f t="shared" ca="1" si="35"/>
        <v>46563</v>
      </c>
      <c r="L971" s="6"/>
    </row>
    <row r="972" spans="1:12" x14ac:dyDescent="0.2">
      <c r="A972" s="1" t="str">
        <f>+'Maestro infraestructura'!A971</f>
        <v>NEUBAU</v>
      </c>
      <c r="B972" s="1" t="str">
        <f>+'Maestro infraestructura'!B971</f>
        <v>1° Piso</v>
      </c>
      <c r="C972" s="1" t="str">
        <f>+'Maestro infraestructura'!C971</f>
        <v>S03</v>
      </c>
      <c r="D972" s="1" t="str">
        <f>+'Maestro infraestructura'!F971</f>
        <v>Radiadores</v>
      </c>
      <c r="E972" s="25" t="str">
        <f ca="1">+'Maestro infraestructura'!K971</f>
        <v>Activo</v>
      </c>
      <c r="F972" s="1" t="str">
        <f ca="1">+'Maestro infraestructura'!V971</f>
        <v>AL DÍA</v>
      </c>
      <c r="G972" s="1" t="str">
        <f>+'Maestro infraestructura'!X971</f>
        <v>GENERAL</v>
      </c>
      <c r="H972" s="1">
        <f>+'Maestro infraestructura'!Y971</f>
        <v>1</v>
      </c>
      <c r="I972" s="1"/>
      <c r="J972" s="6">
        <f>+'Maestro infraestructura'!T971</f>
        <v>46563</v>
      </c>
      <c r="K972" s="6">
        <f t="shared" ca="1" si="35"/>
        <v>46563</v>
      </c>
      <c r="L972" s="6"/>
    </row>
    <row r="973" spans="1:12" x14ac:dyDescent="0.2">
      <c r="A973" s="1" t="str">
        <f>+'Maestro infraestructura'!A972</f>
        <v>NEUBAU</v>
      </c>
      <c r="B973" s="1" t="str">
        <f>+'Maestro infraestructura'!B972</f>
        <v>1° Piso</v>
      </c>
      <c r="C973" s="1" t="str">
        <f>+'Maestro infraestructura'!C972</f>
        <v>S04</v>
      </c>
      <c r="D973" s="1" t="str">
        <f>+'Maestro infraestructura'!F972</f>
        <v>Radiadores</v>
      </c>
      <c r="E973" s="25" t="str">
        <f ca="1">+'Maestro infraestructura'!K972</f>
        <v>Activo</v>
      </c>
      <c r="F973" s="1" t="str">
        <f ca="1">+'Maestro infraestructura'!V972</f>
        <v>AL DÍA</v>
      </c>
      <c r="G973" s="1" t="str">
        <f>+'Maestro infraestructura'!X972</f>
        <v>GENERAL</v>
      </c>
      <c r="H973" s="1">
        <f>+'Maestro infraestructura'!Y972</f>
        <v>1</v>
      </c>
      <c r="I973" s="1"/>
      <c r="J973" s="6">
        <f>+'Maestro infraestructura'!T972</f>
        <v>46563</v>
      </c>
      <c r="K973" s="6">
        <f t="shared" ca="1" si="35"/>
        <v>46563</v>
      </c>
      <c r="L973" s="6"/>
    </row>
    <row r="974" spans="1:12" x14ac:dyDescent="0.2">
      <c r="A974" s="1" t="str">
        <f>+'Maestro infraestructura'!A973</f>
        <v>NEUBAU</v>
      </c>
      <c r="B974" s="1" t="str">
        <f>+'Maestro infraestructura'!B973</f>
        <v>1° Piso</v>
      </c>
      <c r="C974" s="1" t="str">
        <f>+'Maestro infraestructura'!C973</f>
        <v>S07</v>
      </c>
      <c r="D974" s="1" t="str">
        <f>+'Maestro infraestructura'!F973</f>
        <v>Radiadores</v>
      </c>
      <c r="E974" s="25" t="str">
        <f ca="1">+'Maestro infraestructura'!K973</f>
        <v>Activo</v>
      </c>
      <c r="F974" s="1" t="str">
        <f ca="1">+'Maestro infraestructura'!V973</f>
        <v>AL DÍA</v>
      </c>
      <c r="G974" s="1" t="str">
        <f>+'Maestro infraestructura'!X973</f>
        <v>GENERAL</v>
      </c>
      <c r="H974" s="1">
        <f>+'Maestro infraestructura'!Y973</f>
        <v>1</v>
      </c>
      <c r="I974" s="1"/>
      <c r="J974" s="6">
        <f>+'Maestro infraestructura'!T973</f>
        <v>46563</v>
      </c>
      <c r="K974" s="6">
        <f t="shared" ca="1" si="35"/>
        <v>46563</v>
      </c>
      <c r="L974" s="6"/>
    </row>
    <row r="975" spans="1:12" x14ac:dyDescent="0.2">
      <c r="A975" s="1" t="str">
        <f>+'Maestro infraestructura'!A974</f>
        <v>NEUBAU</v>
      </c>
      <c r="B975" s="1" t="str">
        <f>+'Maestro infraestructura'!B974</f>
        <v>1° Piso</v>
      </c>
      <c r="C975" s="1" t="str">
        <f>+'Maestro infraestructura'!C974</f>
        <v>S08</v>
      </c>
      <c r="D975" s="1" t="str">
        <f>+'Maestro infraestructura'!F974</f>
        <v>Radiadores</v>
      </c>
      <c r="E975" s="25" t="str">
        <f ca="1">+'Maestro infraestructura'!K974</f>
        <v>Activo</v>
      </c>
      <c r="F975" s="1" t="str">
        <f ca="1">+'Maestro infraestructura'!V974</f>
        <v>AL DÍA</v>
      </c>
      <c r="G975" s="1" t="str">
        <f>+'Maestro infraestructura'!X974</f>
        <v>GENERAL</v>
      </c>
      <c r="H975" s="1">
        <f>+'Maestro infraestructura'!Y974</f>
        <v>1</v>
      </c>
      <c r="I975" s="1"/>
      <c r="J975" s="6">
        <f>+'Maestro infraestructura'!T974</f>
        <v>46563</v>
      </c>
      <c r="K975" s="6">
        <f t="shared" ca="1" si="35"/>
        <v>46563</v>
      </c>
      <c r="L975" s="6"/>
    </row>
    <row r="976" spans="1:12" x14ac:dyDescent="0.2">
      <c r="A976" s="1" t="str">
        <f>+'Maestro infraestructura'!A975</f>
        <v>NEUBAU</v>
      </c>
      <c r="B976" s="1" t="str">
        <f>+'Maestro infraestructura'!B975</f>
        <v>1° Piso</v>
      </c>
      <c r="C976" s="1" t="str">
        <f>+'Maestro infraestructura'!C975</f>
        <v>S09</v>
      </c>
      <c r="D976" s="1" t="str">
        <f>+'Maestro infraestructura'!F975</f>
        <v>Radiadores</v>
      </c>
      <c r="E976" s="25" t="str">
        <f ca="1">+'Maestro infraestructura'!K975</f>
        <v>Activo</v>
      </c>
      <c r="F976" s="1" t="str">
        <f ca="1">+'Maestro infraestructura'!V975</f>
        <v>AL DÍA</v>
      </c>
      <c r="G976" s="1" t="str">
        <f>+'Maestro infraestructura'!X975</f>
        <v>GENERAL</v>
      </c>
      <c r="H976" s="1">
        <f>+'Maestro infraestructura'!Y975</f>
        <v>1</v>
      </c>
      <c r="I976" s="1"/>
      <c r="J976" s="6">
        <f>+'Maestro infraestructura'!T975</f>
        <v>46563</v>
      </c>
      <c r="K976" s="6">
        <f t="shared" ca="1" si="35"/>
        <v>46563</v>
      </c>
      <c r="L976" s="6"/>
    </row>
    <row r="977" spans="1:12" x14ac:dyDescent="0.2">
      <c r="A977" s="1" t="str">
        <f>+'Maestro infraestructura'!A976</f>
        <v>NEUBAU</v>
      </c>
      <c r="B977" s="1" t="str">
        <f>+'Maestro infraestructura'!B976</f>
        <v>1° Piso</v>
      </c>
      <c r="C977" s="1" t="str">
        <f>+'Maestro infraestructura'!C976</f>
        <v>S10</v>
      </c>
      <c r="D977" s="1" t="str">
        <f>+'Maestro infraestructura'!F976</f>
        <v>Radiadores</v>
      </c>
      <c r="E977" s="25" t="str">
        <f ca="1">+'Maestro infraestructura'!K976</f>
        <v>Activo</v>
      </c>
      <c r="F977" s="1" t="str">
        <f ca="1">+'Maestro infraestructura'!V976</f>
        <v>AL DÍA</v>
      </c>
      <c r="G977" s="1" t="str">
        <f>+'Maestro infraestructura'!X976</f>
        <v>GENERAL</v>
      </c>
      <c r="H977" s="1">
        <f>+'Maestro infraestructura'!Y976</f>
        <v>1</v>
      </c>
      <c r="I977" s="1"/>
      <c r="J977" s="6">
        <f>+'Maestro infraestructura'!T976</f>
        <v>46563</v>
      </c>
      <c r="K977" s="6">
        <f t="shared" ca="1" si="35"/>
        <v>46563</v>
      </c>
      <c r="L977" s="6"/>
    </row>
    <row r="978" spans="1:12" x14ac:dyDescent="0.2">
      <c r="A978" s="1" t="str">
        <f>+'Maestro infraestructura'!A977</f>
        <v>NEUBAU</v>
      </c>
      <c r="B978" s="1" t="str">
        <f>+'Maestro infraestructura'!B977</f>
        <v>6° Piso</v>
      </c>
      <c r="C978" s="1" t="str">
        <f>+'Maestro infraestructura'!C977</f>
        <v>S11</v>
      </c>
      <c r="D978" s="1" t="str">
        <f>+'Maestro infraestructura'!F977</f>
        <v>Radiadores</v>
      </c>
      <c r="E978" s="25" t="str">
        <f ca="1">+'Maestro infraestructura'!K977</f>
        <v>Activo</v>
      </c>
      <c r="F978" s="1" t="str">
        <f ca="1">+'Maestro infraestructura'!V977</f>
        <v>AL DÍA</v>
      </c>
      <c r="G978" s="1" t="str">
        <f>+'Maestro infraestructura'!X977</f>
        <v>GENERAL</v>
      </c>
      <c r="H978" s="1">
        <f>+'Maestro infraestructura'!Y977</f>
        <v>1</v>
      </c>
      <c r="I978" s="1"/>
      <c r="J978" s="6">
        <f>+'Maestro infraestructura'!T977</f>
        <v>46563</v>
      </c>
      <c r="K978" s="6">
        <f t="shared" ca="1" si="35"/>
        <v>46563</v>
      </c>
      <c r="L978" s="6"/>
    </row>
    <row r="979" spans="1:12" x14ac:dyDescent="0.2">
      <c r="A979" s="1" t="str">
        <f>+'Maestro infraestructura'!A978</f>
        <v>NEUBAU</v>
      </c>
      <c r="B979" s="1" t="str">
        <f>+'Maestro infraestructura'!B978</f>
        <v>6° Piso</v>
      </c>
      <c r="C979" s="1" t="str">
        <f>+'Maestro infraestructura'!C978</f>
        <v>S12</v>
      </c>
      <c r="D979" s="1" t="str">
        <f>+'Maestro infraestructura'!F978</f>
        <v>Radiadores</v>
      </c>
      <c r="E979" s="25" t="str">
        <f ca="1">+'Maestro infraestructura'!K978</f>
        <v>Activo</v>
      </c>
      <c r="F979" s="1" t="str">
        <f ca="1">+'Maestro infraestructura'!V978</f>
        <v>AL DÍA</v>
      </c>
      <c r="G979" s="1" t="str">
        <f>+'Maestro infraestructura'!X978</f>
        <v>GENERAL</v>
      </c>
      <c r="H979" s="1">
        <f>+'Maestro infraestructura'!Y978</f>
        <v>1</v>
      </c>
      <c r="I979" s="1"/>
      <c r="J979" s="6">
        <f>+'Maestro infraestructura'!T978</f>
        <v>46563</v>
      </c>
      <c r="K979" s="6">
        <f t="shared" ca="1" si="35"/>
        <v>46563</v>
      </c>
      <c r="L979" s="6"/>
    </row>
    <row r="980" spans="1:12" x14ac:dyDescent="0.2">
      <c r="A980" s="1" t="str">
        <f>+'Maestro infraestructura'!A979</f>
        <v>NEUBAU</v>
      </c>
      <c r="B980" s="1" t="str">
        <f>+'Maestro infraestructura'!B979</f>
        <v>6° Piso</v>
      </c>
      <c r="C980" s="1" t="str">
        <f>+'Maestro infraestructura'!C979</f>
        <v>S13</v>
      </c>
      <c r="D980" s="1" t="str">
        <f>+'Maestro infraestructura'!F979</f>
        <v>Radiadores</v>
      </c>
      <c r="E980" s="25" t="str">
        <f ca="1">+'Maestro infraestructura'!K979</f>
        <v>Activo</v>
      </c>
      <c r="F980" s="1" t="str">
        <f ca="1">+'Maestro infraestructura'!V979</f>
        <v>AL DÍA</v>
      </c>
      <c r="G980" s="1" t="str">
        <f>+'Maestro infraestructura'!X979</f>
        <v>GENERAL</v>
      </c>
      <c r="H980" s="1">
        <f>+'Maestro infraestructura'!Y979</f>
        <v>1</v>
      </c>
      <c r="I980" s="1"/>
      <c r="J980" s="6">
        <f>+'Maestro infraestructura'!T979</f>
        <v>46563</v>
      </c>
      <c r="K980" s="6">
        <f t="shared" ca="1" si="35"/>
        <v>46563</v>
      </c>
      <c r="L980" s="6"/>
    </row>
    <row r="981" spans="1:12" x14ac:dyDescent="0.2">
      <c r="A981" s="1" t="str">
        <f>+'Maestro infraestructura'!A980</f>
        <v>NEUBAU</v>
      </c>
      <c r="B981" s="1" t="str">
        <f>+'Maestro infraestructura'!B980</f>
        <v>6° Piso</v>
      </c>
      <c r="C981" s="1" t="str">
        <f>+'Maestro infraestructura'!C980</f>
        <v>S14</v>
      </c>
      <c r="D981" s="1" t="str">
        <f>+'Maestro infraestructura'!F980</f>
        <v>Radiadores</v>
      </c>
      <c r="E981" s="25" t="str">
        <f ca="1">+'Maestro infraestructura'!K980</f>
        <v>Activo</v>
      </c>
      <c r="F981" s="1" t="str">
        <f ca="1">+'Maestro infraestructura'!V980</f>
        <v>AL DÍA</v>
      </c>
      <c r="G981" s="1" t="str">
        <f>+'Maestro infraestructura'!X980</f>
        <v>GENERAL</v>
      </c>
      <c r="H981" s="1">
        <f>+'Maestro infraestructura'!Y980</f>
        <v>1</v>
      </c>
      <c r="I981" s="1"/>
      <c r="J981" s="6">
        <f>+'Maestro infraestructura'!T980</f>
        <v>46563</v>
      </c>
      <c r="K981" s="6">
        <f t="shared" ca="1" si="35"/>
        <v>46563</v>
      </c>
      <c r="L981" s="6"/>
    </row>
    <row r="982" spans="1:12" x14ac:dyDescent="0.2">
      <c r="A982" s="1" t="str">
        <f>+'Maestro infraestructura'!A981</f>
        <v>NEUBAU</v>
      </c>
      <c r="B982" s="1" t="str">
        <f>+'Maestro infraestructura'!B981</f>
        <v>6° Piso</v>
      </c>
      <c r="C982" s="1" t="str">
        <f>+'Maestro infraestructura'!C981</f>
        <v>S15</v>
      </c>
      <c r="D982" s="1" t="str">
        <f>+'Maestro infraestructura'!F981</f>
        <v>Radiadores</v>
      </c>
      <c r="E982" s="25" t="str">
        <f ca="1">+'Maestro infraestructura'!K981</f>
        <v>Activo</v>
      </c>
      <c r="F982" s="1" t="str">
        <f ca="1">+'Maestro infraestructura'!V981</f>
        <v>AL DÍA</v>
      </c>
      <c r="G982" s="1" t="str">
        <f>+'Maestro infraestructura'!X981</f>
        <v>GENERAL</v>
      </c>
      <c r="H982" s="1">
        <f>+'Maestro infraestructura'!Y981</f>
        <v>1</v>
      </c>
      <c r="I982" s="1"/>
      <c r="J982" s="6">
        <f>+'Maestro infraestructura'!T981</f>
        <v>46563</v>
      </c>
      <c r="K982" s="6">
        <f t="shared" ca="1" si="35"/>
        <v>46563</v>
      </c>
      <c r="L982" s="6"/>
    </row>
    <row r="983" spans="1:12" x14ac:dyDescent="0.2">
      <c r="A983" s="1" t="str">
        <f>+'Maestro infraestructura'!A982</f>
        <v>NEUBAU</v>
      </c>
      <c r="B983" s="1" t="str">
        <f>+'Maestro infraestructura'!B982</f>
        <v>6° Piso</v>
      </c>
      <c r="C983" s="1" t="str">
        <f>+'Maestro infraestructura'!C982</f>
        <v>S16</v>
      </c>
      <c r="D983" s="1" t="str">
        <f>+'Maestro infraestructura'!F982</f>
        <v>Radiadores</v>
      </c>
      <c r="E983" s="25" t="str">
        <f ca="1">+'Maestro infraestructura'!K982</f>
        <v>Activo</v>
      </c>
      <c r="F983" s="1" t="str">
        <f ca="1">+'Maestro infraestructura'!V982</f>
        <v>AL DÍA</v>
      </c>
      <c r="G983" s="1" t="str">
        <f>+'Maestro infraestructura'!X982</f>
        <v>GENERAL</v>
      </c>
      <c r="H983" s="1">
        <f>+'Maestro infraestructura'!Y982</f>
        <v>1</v>
      </c>
      <c r="I983" s="1"/>
      <c r="J983" s="6">
        <f>+'Maestro infraestructura'!T982</f>
        <v>46563</v>
      </c>
      <c r="K983" s="6">
        <f t="shared" ca="1" si="35"/>
        <v>46563</v>
      </c>
      <c r="L983" s="6"/>
    </row>
    <row r="984" spans="1:12" x14ac:dyDescent="0.2">
      <c r="A984" s="1" t="str">
        <f>+'Maestro infraestructura'!A983</f>
        <v>PISCINA</v>
      </c>
      <c r="B984" s="1" t="str">
        <f>+'Maestro infraestructura'!B983</f>
        <v>1° Piso / Piscina</v>
      </c>
      <c r="C984" s="1" t="str">
        <f>+'Maestro infraestructura'!C983</f>
        <v>Área piscina</v>
      </c>
      <c r="D984" s="1" t="str">
        <f>+'Maestro infraestructura'!F983</f>
        <v>Camarín Hombre deportistas</v>
      </c>
      <c r="E984" s="25" t="str">
        <f ca="1">+'Maestro infraestructura'!K983</f>
        <v>Activo</v>
      </c>
      <c r="F984" s="1" t="str">
        <f ca="1">+'Maestro infraestructura'!V983</f>
        <v>VENCIDO</v>
      </c>
      <c r="G984" s="1" t="str">
        <f>+'Maestro infraestructura'!X983</f>
        <v>LEGAL</v>
      </c>
      <c r="H984" s="1">
        <f>+'Maestro infraestructura'!Y983</f>
        <v>1</v>
      </c>
      <c r="I984" s="1"/>
      <c r="J984" s="6">
        <f>+'Maestro infraestructura'!T983</f>
        <v>46258</v>
      </c>
      <c r="K984" s="6">
        <f t="shared" ca="1" si="35"/>
        <v>46258</v>
      </c>
      <c r="L984" s="6"/>
    </row>
    <row r="985" spans="1:12" x14ac:dyDescent="0.2">
      <c r="A985" s="1" t="str">
        <f>+'Maestro infraestructura'!A984</f>
        <v>PISCINA</v>
      </c>
      <c r="B985" s="1" t="str">
        <f>+'Maestro infraestructura'!B984</f>
        <v>1° Piso / Piscina</v>
      </c>
      <c r="C985" s="1" t="str">
        <f>+'Maestro infraestructura'!C984</f>
        <v>Área piscina</v>
      </c>
      <c r="D985" s="1" t="str">
        <f>+'Maestro infraestructura'!F984</f>
        <v>Camarín Mujeres deportistas</v>
      </c>
      <c r="E985" s="25" t="str">
        <f ca="1">+'Maestro infraestructura'!K984</f>
        <v>Activo</v>
      </c>
      <c r="F985" s="1" t="str">
        <f ca="1">+'Maestro infraestructura'!V984</f>
        <v>VENCIDO</v>
      </c>
      <c r="G985" s="1" t="str">
        <f>+'Maestro infraestructura'!X984</f>
        <v>LEGAL</v>
      </c>
      <c r="H985" s="1">
        <f>+'Maestro infraestructura'!Y984</f>
        <v>1</v>
      </c>
      <c r="I985" s="1"/>
      <c r="J985" s="6">
        <f>+'Maestro infraestructura'!T984</f>
        <v>46258</v>
      </c>
      <c r="K985" s="6">
        <f t="shared" ca="1" si="35"/>
        <v>46258</v>
      </c>
      <c r="L985" s="6"/>
    </row>
    <row r="986" spans="1:12" x14ac:dyDescent="0.2">
      <c r="A986" s="1" t="str">
        <f>+'Maestro infraestructura'!A985</f>
        <v>PISCINA</v>
      </c>
      <c r="B986" s="1" t="str">
        <f>+'Maestro infraestructura'!B985</f>
        <v>1° Piso / Piscina</v>
      </c>
      <c r="C986" s="1" t="str">
        <f>+'Maestro infraestructura'!C985</f>
        <v>Área piscina</v>
      </c>
      <c r="D986" s="1" t="str">
        <f>+'Maestro infraestructura'!F985</f>
        <v>Piscina Temperada (limpieza)</v>
      </c>
      <c r="E986" s="25" t="str">
        <f ca="1">+'Maestro infraestructura'!K985</f>
        <v>Activo</v>
      </c>
      <c r="F986" s="1" t="str">
        <f ca="1">+'Maestro infraestructura'!V985</f>
        <v>VENCIDO</v>
      </c>
      <c r="G986" s="1" t="str">
        <f>+'Maestro infraestructura'!X985</f>
        <v>LEGAL</v>
      </c>
      <c r="H986" s="1">
        <f>+'Maestro infraestructura'!Y985</f>
        <v>1</v>
      </c>
      <c r="I986" s="1"/>
      <c r="J986" s="6">
        <f>+'Maestro infraestructura'!T985</f>
        <v>46258</v>
      </c>
      <c r="K986" s="6">
        <f t="shared" ca="1" si="35"/>
        <v>46258</v>
      </c>
      <c r="L986" s="6"/>
    </row>
    <row r="987" spans="1:12" x14ac:dyDescent="0.2">
      <c r="A987" s="1" t="str">
        <f>+'Maestro infraestructura'!A986</f>
        <v>PISCINA</v>
      </c>
      <c r="B987" s="1" t="str">
        <f>+'Maestro infraestructura'!B986</f>
        <v>1° Piso / Piscina</v>
      </c>
      <c r="C987" s="1" t="str">
        <f>+'Maestro infraestructura'!C986</f>
        <v>Área piscina</v>
      </c>
      <c r="D987" s="1" t="str">
        <f>+'Maestro infraestructura'!F986</f>
        <v>Techumbre vigas IP acero Piscina</v>
      </c>
      <c r="E987" s="25" t="str">
        <f ca="1">+'Maestro infraestructura'!K986</f>
        <v>Cambiar</v>
      </c>
      <c r="F987" s="1" t="str">
        <f ca="1">+'Maestro infraestructura'!V986</f>
        <v>AL DÍA</v>
      </c>
      <c r="G987" s="1" t="str">
        <f>+'Maestro infraestructura'!X986</f>
        <v>SEGURIDAD</v>
      </c>
      <c r="H987" s="1">
        <f>+'Maestro infraestructura'!Y986</f>
        <v>1</v>
      </c>
      <c r="I987" s="1"/>
      <c r="J987" s="6">
        <f>+'Maestro infraestructura'!T986</f>
        <v>47475.5</v>
      </c>
      <c r="K987" s="6">
        <f t="shared" ca="1" si="35"/>
        <v>4.9333991119881603E-4</v>
      </c>
      <c r="L987" s="6"/>
    </row>
    <row r="988" spans="1:12" x14ac:dyDescent="0.2">
      <c r="A988" s="1" t="str">
        <f>+'Maestro infraestructura'!A987</f>
        <v>PISCINA</v>
      </c>
      <c r="B988" s="1" t="str">
        <f>+'Maestro infraestructura'!B987</f>
        <v>1° Piso / Piscina</v>
      </c>
      <c r="C988" s="1" t="str">
        <f>+'Maestro infraestructura'!C987</f>
        <v>Área piscina</v>
      </c>
      <c r="D988" s="1" t="str">
        <f>+'Maestro infraestructura'!F987</f>
        <v>Piscina Temperada (pintura)</v>
      </c>
      <c r="E988" s="25" t="str">
        <f ca="1">+'Maestro infraestructura'!K987</f>
        <v>Activo</v>
      </c>
      <c r="F988" s="1" t="str">
        <f ca="1">+'Maestro infraestructura'!V987</f>
        <v>AL DÍA</v>
      </c>
      <c r="G988" s="1" t="str">
        <f>+'Maestro infraestructura'!X987</f>
        <v>GENERAL</v>
      </c>
      <c r="H988" s="1">
        <f>+'Maestro infraestructura'!Y987</f>
        <v>1</v>
      </c>
      <c r="I988" s="1"/>
      <c r="J988" s="6">
        <f>+'Maestro infraestructura'!T987</f>
        <v>47658</v>
      </c>
      <c r="K988" s="6">
        <f t="shared" ca="1" si="35"/>
        <v>47658</v>
      </c>
      <c r="L988" s="6"/>
    </row>
    <row r="989" spans="1:12" x14ac:dyDescent="0.2">
      <c r="A989" s="1" t="str">
        <f>+'Maestro infraestructura'!A988</f>
        <v>PISCINA</v>
      </c>
      <c r="B989" s="1" t="str">
        <f>+'Maestro infraestructura'!B988</f>
        <v>1° Piso / Piscina</v>
      </c>
      <c r="C989" s="1" t="str">
        <f>+'Maestro infraestructura'!C988</f>
        <v>Área piscina</v>
      </c>
      <c r="D989" s="1" t="str">
        <f>+'Maestro infraestructura'!F988</f>
        <v xml:space="preserve">Pintura de paredes interior </v>
      </c>
      <c r="E989" s="25" t="str">
        <f ca="1">+'Maestro infraestructura'!K988</f>
        <v>Activo</v>
      </c>
      <c r="F989" s="1" t="str">
        <f ca="1">+'Maestro infraestructura'!V988</f>
        <v>AL DÍA</v>
      </c>
      <c r="G989" s="1" t="str">
        <f>+'Maestro infraestructura'!X988</f>
        <v>GENERAL</v>
      </c>
      <c r="H989" s="1">
        <f>+'Maestro infraestructura'!Y988</f>
        <v>3</v>
      </c>
      <c r="I989" s="1"/>
      <c r="J989" s="6">
        <f>+'Maestro infraestructura'!T988</f>
        <v>47293</v>
      </c>
      <c r="K989" s="6">
        <f t="shared" ca="1" si="35"/>
        <v>47293</v>
      </c>
      <c r="L989" s="6"/>
    </row>
    <row r="990" spans="1:12" x14ac:dyDescent="0.2">
      <c r="A990" s="1" t="str">
        <f>+'Maestro infraestructura'!A989</f>
        <v>PISCINA</v>
      </c>
      <c r="B990" s="1" t="str">
        <f>+'Maestro infraestructura'!B989</f>
        <v>1° Piso / Piscina</v>
      </c>
      <c r="C990" s="1" t="str">
        <f>+'Maestro infraestructura'!C989</f>
        <v>Área piscina</v>
      </c>
      <c r="D990" s="1" t="str">
        <f>+'Maestro infraestructura'!F989</f>
        <v>Pintura fachadas</v>
      </c>
      <c r="E990" s="25" t="str">
        <f ca="1">+'Maestro infraestructura'!K989</f>
        <v>Activo</v>
      </c>
      <c r="F990" s="1" t="str">
        <f ca="1">+'Maestro infraestructura'!V989</f>
        <v>AL DÍA</v>
      </c>
      <c r="G990" s="1" t="str">
        <f>+'Maestro infraestructura'!X989</f>
        <v>GENERAL</v>
      </c>
      <c r="H990" s="1">
        <f>+'Maestro infraestructura'!Y989</f>
        <v>1</v>
      </c>
      <c r="I990" s="1"/>
      <c r="J990" s="6">
        <f>+'Maestro infraestructura'!T989</f>
        <v>48023</v>
      </c>
      <c r="K990" s="6">
        <f t="shared" ca="1" si="35"/>
        <v>48023</v>
      </c>
      <c r="L990" s="6"/>
    </row>
    <row r="991" spans="1:12" x14ac:dyDescent="0.2">
      <c r="A991" s="1" t="str">
        <f>+'Maestro infraestructura'!A990</f>
        <v>PISCINA</v>
      </c>
      <c r="B991" s="1" t="str">
        <f>+'Maestro infraestructura'!B990</f>
        <v>Piso zócalo / Piscina</v>
      </c>
      <c r="C991" s="1" t="str">
        <f>+'Maestro infraestructura'!C990</f>
        <v>Sala Máquinas</v>
      </c>
      <c r="D991" s="1" t="str">
        <f>+'Maestro infraestructura'!F990</f>
        <v>Caldera</v>
      </c>
      <c r="E991" s="25" t="str">
        <f ca="1">+'Maestro infraestructura'!K990</f>
        <v>Activo</v>
      </c>
      <c r="F991" s="1" t="str">
        <f ca="1">+'Maestro infraestructura'!V990</f>
        <v>AL DÍA</v>
      </c>
      <c r="G991" s="1" t="str">
        <f>+'Maestro infraestructura'!X990</f>
        <v>OPERACIÓN</v>
      </c>
      <c r="H991" s="1">
        <f>+'Maestro infraestructura'!Y990</f>
        <v>1</v>
      </c>
      <c r="I991" s="1"/>
      <c r="J991" s="6">
        <f>+'Maestro infraestructura'!T990</f>
        <v>46563</v>
      </c>
      <c r="K991" s="6">
        <f t="shared" ca="1" si="35"/>
        <v>46563</v>
      </c>
      <c r="L991" s="6"/>
    </row>
    <row r="992" spans="1:12" x14ac:dyDescent="0.2">
      <c r="A992" s="1" t="str">
        <f>+'Maestro infraestructura'!A991</f>
        <v>PISCINA</v>
      </c>
      <c r="B992" s="1" t="str">
        <f>+'Maestro infraestructura'!B991</f>
        <v>Piso zócalo / Piscina</v>
      </c>
      <c r="C992" s="1" t="str">
        <f>+'Maestro infraestructura'!C991</f>
        <v>Sala Máquinas</v>
      </c>
      <c r="D992" s="1" t="str">
        <f>+'Maestro infraestructura'!F991</f>
        <v>Bomba de calor 1</v>
      </c>
      <c r="E992" s="25" t="str">
        <f ca="1">+'Maestro infraestructura'!K991</f>
        <v>Activo</v>
      </c>
      <c r="F992" s="1" t="str">
        <f ca="1">+'Maestro infraestructura'!V991</f>
        <v>AL DÍA</v>
      </c>
      <c r="G992" s="1" t="str">
        <f>+'Maestro infraestructura'!X991</f>
        <v>OPERACIÓN</v>
      </c>
      <c r="H992" s="1">
        <f>+'Maestro infraestructura'!Y991</f>
        <v>1</v>
      </c>
      <c r="I992" s="1"/>
      <c r="J992" s="6">
        <f>+'Maestro infraestructura'!T991</f>
        <v>46318</v>
      </c>
      <c r="K992" s="6">
        <f t="shared" ca="1" si="35"/>
        <v>46318</v>
      </c>
      <c r="L992" s="6"/>
    </row>
    <row r="993" spans="1:12" x14ac:dyDescent="0.2">
      <c r="A993" s="1" t="str">
        <f>+'Maestro infraestructura'!A992</f>
        <v>PISCINA</v>
      </c>
      <c r="B993" s="1" t="str">
        <f>+'Maestro infraestructura'!B992</f>
        <v>Piso zócalo / Piscina</v>
      </c>
      <c r="C993" s="1" t="str">
        <f>+'Maestro infraestructura'!C992</f>
        <v>Sala Máquinas</v>
      </c>
      <c r="D993" s="1" t="str">
        <f>+'Maestro infraestructura'!F992</f>
        <v>Bomba de calor 2</v>
      </c>
      <c r="E993" s="25" t="str">
        <f ca="1">+'Maestro infraestructura'!K992</f>
        <v>Activo</v>
      </c>
      <c r="F993" s="1" t="str">
        <f ca="1">+'Maestro infraestructura'!V992</f>
        <v>AL DÍA</v>
      </c>
      <c r="G993" s="1" t="str">
        <f>+'Maestro infraestructura'!X992</f>
        <v>OPERACIÓN</v>
      </c>
      <c r="H993" s="1">
        <f>+'Maestro infraestructura'!Y992</f>
        <v>1</v>
      </c>
      <c r="I993" s="1"/>
      <c r="J993" s="6">
        <f>+'Maestro infraestructura'!T992</f>
        <v>46318</v>
      </c>
      <c r="K993" s="6">
        <f t="shared" ca="1" si="35"/>
        <v>46318</v>
      </c>
      <c r="L993" s="6"/>
    </row>
    <row r="994" spans="1:12" x14ac:dyDescent="0.2">
      <c r="A994" s="1" t="str">
        <f>+'Maestro infraestructura'!A993</f>
        <v>PISCINA</v>
      </c>
      <c r="B994" s="1" t="str">
        <f>+'Maestro infraestructura'!B993</f>
        <v>Piso zócalo / Piscina</v>
      </c>
      <c r="C994" s="1" t="str">
        <f>+'Maestro infraestructura'!C993</f>
        <v>Sala Máquinas</v>
      </c>
      <c r="D994" s="1" t="str">
        <f>+'Maestro infraestructura'!F993</f>
        <v>Bomba recirculación 1</v>
      </c>
      <c r="E994" s="25" t="str">
        <f ca="1">+'Maestro infraestructura'!K993</f>
        <v>Activo</v>
      </c>
      <c r="F994" s="1" t="str">
        <f ca="1">+'Maestro infraestructura'!V993</f>
        <v>AL DÍA</v>
      </c>
      <c r="G994" s="1" t="str">
        <f>+'Maestro infraestructura'!X993</f>
        <v>OPERACIÓN</v>
      </c>
      <c r="H994" s="1">
        <f>+'Maestro infraestructura'!Y993</f>
        <v>1</v>
      </c>
      <c r="I994" s="1"/>
      <c r="J994" s="6">
        <f>+'Maestro infraestructura'!T993</f>
        <v>46563</v>
      </c>
      <c r="K994" s="6">
        <f t="shared" ca="1" si="35"/>
        <v>46563</v>
      </c>
      <c r="L994" s="6"/>
    </row>
    <row r="995" spans="1:12" x14ac:dyDescent="0.2">
      <c r="A995" s="1" t="str">
        <f>+'Maestro infraestructura'!A994</f>
        <v>PISCINA</v>
      </c>
      <c r="B995" s="1" t="str">
        <f>+'Maestro infraestructura'!B994</f>
        <v>Piso zócalo / Piscina</v>
      </c>
      <c r="C995" s="1" t="str">
        <f>+'Maestro infraestructura'!C994</f>
        <v>Sala Máquinas</v>
      </c>
      <c r="D995" s="1" t="str">
        <f>+'Maestro infraestructura'!F994</f>
        <v>Bomba recirculación 2</v>
      </c>
      <c r="E995" s="25" t="str">
        <f ca="1">+'Maestro infraestructura'!K994</f>
        <v>Activo</v>
      </c>
      <c r="F995" s="1" t="str">
        <f ca="1">+'Maestro infraestructura'!V994</f>
        <v>AL DÍA</v>
      </c>
      <c r="G995" s="1" t="str">
        <f>+'Maestro infraestructura'!X994</f>
        <v>OPERACIÓN</v>
      </c>
      <c r="H995" s="1">
        <f>+'Maestro infraestructura'!Y994</f>
        <v>1</v>
      </c>
      <c r="I995" s="1"/>
      <c r="J995" s="6">
        <f>+'Maestro infraestructura'!T994</f>
        <v>46563</v>
      </c>
      <c r="K995" s="6">
        <f t="shared" ca="1" si="35"/>
        <v>46563</v>
      </c>
      <c r="L995" s="6"/>
    </row>
    <row r="996" spans="1:12" x14ac:dyDescent="0.2">
      <c r="A996" s="1" t="str">
        <f>+'Maestro infraestructura'!A995</f>
        <v>PISCINA</v>
      </c>
      <c r="B996" s="1" t="str">
        <f>+'Maestro infraestructura'!B995</f>
        <v>Piso zócalo / Piscina</v>
      </c>
      <c r="C996" s="1" t="str">
        <f>+'Maestro infraestructura'!C995</f>
        <v>Sala Máquinas</v>
      </c>
      <c r="D996" s="1" t="str">
        <f>+'Maestro infraestructura'!F995</f>
        <v>Bomba recirculación 3</v>
      </c>
      <c r="E996" s="25" t="str">
        <f ca="1">+'Maestro infraestructura'!K995</f>
        <v>Activo</v>
      </c>
      <c r="F996" s="1" t="str">
        <f ca="1">+'Maestro infraestructura'!V995</f>
        <v>AL DÍA</v>
      </c>
      <c r="G996" s="1" t="str">
        <f>+'Maestro infraestructura'!X995</f>
        <v>OPERACIÓN</v>
      </c>
      <c r="H996" s="1">
        <f>+'Maestro infraestructura'!Y995</f>
        <v>1</v>
      </c>
      <c r="I996" s="1"/>
      <c r="J996" s="6">
        <f>+'Maestro infraestructura'!T995</f>
        <v>46563</v>
      </c>
      <c r="K996" s="6">
        <f t="shared" ca="1" si="35"/>
        <v>46563</v>
      </c>
      <c r="L996" s="6"/>
    </row>
    <row r="997" spans="1:12" x14ac:dyDescent="0.2">
      <c r="A997" s="1" t="str">
        <f>+'Maestro infraestructura'!A996</f>
        <v>PISCINA</v>
      </c>
      <c r="B997" s="1" t="str">
        <f>+'Maestro infraestructura'!B996</f>
        <v>Piso zócalo / Piscina</v>
      </c>
      <c r="C997" s="1" t="str">
        <f>+'Maestro infraestructura'!C996</f>
        <v>Sala Máquinas</v>
      </c>
      <c r="D997" s="1" t="str">
        <f>+'Maestro infraestructura'!F996</f>
        <v>Filtro piscina 1</v>
      </c>
      <c r="E997" s="25" t="str">
        <f ca="1">+'Maestro infraestructura'!K996</f>
        <v>Activo</v>
      </c>
      <c r="F997" s="1" t="str">
        <f ca="1">+'Maestro infraestructura'!V996</f>
        <v>AL DÍA</v>
      </c>
      <c r="G997" s="1" t="str">
        <f>+'Maestro infraestructura'!X996</f>
        <v>OPERACIÓN</v>
      </c>
      <c r="H997" s="1">
        <f>+'Maestro infraestructura'!Y996</f>
        <v>1</v>
      </c>
      <c r="I997" s="1"/>
      <c r="J997" s="6">
        <f>+'Maestro infraestructura'!T996</f>
        <v>46563</v>
      </c>
      <c r="K997" s="6">
        <f t="shared" ca="1" si="35"/>
        <v>46563</v>
      </c>
      <c r="L997" s="6"/>
    </row>
    <row r="998" spans="1:12" x14ac:dyDescent="0.2">
      <c r="A998" s="1" t="str">
        <f>+'Maestro infraestructura'!A997</f>
        <v>PISCINA</v>
      </c>
      <c r="B998" s="1" t="str">
        <f>+'Maestro infraestructura'!B997</f>
        <v>Piso zócalo / Piscina</v>
      </c>
      <c r="C998" s="1" t="str">
        <f>+'Maestro infraestructura'!C997</f>
        <v>Sala Máquinas</v>
      </c>
      <c r="D998" s="1" t="str">
        <f>+'Maestro infraestructura'!F997</f>
        <v>Filtro piscina 2</v>
      </c>
      <c r="E998" s="25" t="str">
        <f ca="1">+'Maestro infraestructura'!K997</f>
        <v>Activo</v>
      </c>
      <c r="F998" s="1" t="str">
        <f ca="1">+'Maestro infraestructura'!V997</f>
        <v>AL DÍA</v>
      </c>
      <c r="G998" s="1" t="str">
        <f>+'Maestro infraestructura'!X997</f>
        <v>OPERACIÓN</v>
      </c>
      <c r="H998" s="1">
        <f>+'Maestro infraestructura'!Y997</f>
        <v>1</v>
      </c>
      <c r="I998" s="1"/>
      <c r="J998" s="6">
        <f>+'Maestro infraestructura'!T997</f>
        <v>46563</v>
      </c>
      <c r="K998" s="6">
        <f t="shared" ca="1" si="35"/>
        <v>46563</v>
      </c>
      <c r="L998" s="6"/>
    </row>
    <row r="999" spans="1:12" x14ac:dyDescent="0.2">
      <c r="A999" s="1" t="str">
        <f>+'Maestro infraestructura'!A998</f>
        <v>PISCINA</v>
      </c>
      <c r="B999" s="1" t="str">
        <f>+'Maestro infraestructura'!B998</f>
        <v>Piso zócalo / Piscina</v>
      </c>
      <c r="C999" s="1" t="str">
        <f>+'Maestro infraestructura'!C998</f>
        <v>Sala Máquinas</v>
      </c>
      <c r="D999" s="1" t="str">
        <f>+'Maestro infraestructura'!F998</f>
        <v>Filtro piscina 3</v>
      </c>
      <c r="E999" s="25" t="str">
        <f ca="1">+'Maestro infraestructura'!K998</f>
        <v>Activo</v>
      </c>
      <c r="F999" s="1" t="str">
        <f ca="1">+'Maestro infraestructura'!V998</f>
        <v>AL DÍA</v>
      </c>
      <c r="G999" s="1" t="str">
        <f>+'Maestro infraestructura'!X998</f>
        <v>OPERACIÓN</v>
      </c>
      <c r="H999" s="1">
        <f>+'Maestro infraestructura'!Y998</f>
        <v>1</v>
      </c>
      <c r="I999" s="1"/>
      <c r="J999" s="6">
        <f>+'Maestro infraestructura'!T998</f>
        <v>46563</v>
      </c>
      <c r="K999" s="6">
        <f t="shared" ca="1" si="35"/>
        <v>46563</v>
      </c>
      <c r="L999" s="6"/>
    </row>
    <row r="1000" spans="1:12" x14ac:dyDescent="0.2">
      <c r="A1000" s="1" t="str">
        <f>+'Maestro infraestructura'!A999</f>
        <v>PISCINA</v>
      </c>
      <c r="B1000" s="1" t="str">
        <f>+'Maestro infraestructura'!B999</f>
        <v>Piso zócalo / Piscina</v>
      </c>
      <c r="C1000" s="1" t="str">
        <f>+'Maestro infraestructura'!C999</f>
        <v>Sala Máquinas</v>
      </c>
      <c r="D1000" s="1" t="str">
        <f>+'Maestro infraestructura'!F999</f>
        <v>Termo eléctrico 1</v>
      </c>
      <c r="E1000" s="25" t="str">
        <f ca="1">+'Maestro infraestructura'!K999</f>
        <v>Presupuestar</v>
      </c>
      <c r="F1000" s="1" t="str">
        <f ca="1">+'Maestro infraestructura'!V999</f>
        <v>AL DÍA</v>
      </c>
      <c r="G1000" s="1" t="str">
        <f>+'Maestro infraestructura'!X999</f>
        <v>OPERACIÓN</v>
      </c>
      <c r="H1000" s="1">
        <f>+'Maestro infraestructura'!Y999</f>
        <v>1</v>
      </c>
      <c r="I1000" s="1"/>
      <c r="J1000" s="6">
        <f>+'Maestro infraestructura'!T999</f>
        <v>46563</v>
      </c>
      <c r="K1000" s="6">
        <f t="shared" ca="1" si="35"/>
        <v>46563</v>
      </c>
      <c r="L1000" s="6"/>
    </row>
    <row r="1001" spans="1:12" x14ac:dyDescent="0.2">
      <c r="A1001" s="1" t="str">
        <f>+'Maestro infraestructura'!A1000</f>
        <v>PISCINA</v>
      </c>
      <c r="B1001" s="1" t="str">
        <f>+'Maestro infraestructura'!B1000</f>
        <v>Piso zócalo / Piscina</v>
      </c>
      <c r="C1001" s="1" t="str">
        <f>+'Maestro infraestructura'!C1000</f>
        <v>Sala Máquinas</v>
      </c>
      <c r="D1001" s="1" t="str">
        <f>+'Maestro infraestructura'!F1000</f>
        <v>Termo eléctrico 2</v>
      </c>
      <c r="E1001" s="25" t="str">
        <f>+'Maestro infraestructura'!K1000</f>
        <v>Activo</v>
      </c>
      <c r="F1001" s="1" t="str">
        <f ca="1">+'Maestro infraestructura'!V1000</f>
        <v>AL DÍA</v>
      </c>
      <c r="G1001" s="1" t="str">
        <f>+'Maestro infraestructura'!X1000</f>
        <v>OPERACIÓN</v>
      </c>
      <c r="H1001" s="1">
        <f>+'Maestro infraestructura'!Y1000</f>
        <v>1</v>
      </c>
      <c r="I1001" s="1"/>
      <c r="J1001" s="6">
        <f>+'Maestro infraestructura'!T1000</f>
        <v>46563</v>
      </c>
      <c r="K1001" s="6">
        <f t="shared" si="35"/>
        <v>46563</v>
      </c>
      <c r="L1001" s="6"/>
    </row>
    <row r="1002" spans="1:12" x14ac:dyDescent="0.2">
      <c r="A1002" s="1" t="str">
        <f>+'Maestro infraestructura'!A1001</f>
        <v>PISCINA</v>
      </c>
      <c r="B1002" s="1" t="str">
        <f>+'Maestro infraestructura'!B1001</f>
        <v>Piso zócalo / Piscina</v>
      </c>
      <c r="C1002" s="1" t="str">
        <f>+'Maestro infraestructura'!C1001</f>
        <v>Sala Máquinas</v>
      </c>
      <c r="D1002" s="1" t="str">
        <f>+'Maestro infraestructura'!F1001</f>
        <v>Tablero eléctrico principal</v>
      </c>
      <c r="E1002" s="25" t="str">
        <f ca="1">+'Maestro infraestructura'!K1001</f>
        <v>Activo</v>
      </c>
      <c r="F1002" s="1" t="str">
        <f ca="1">+'Maestro infraestructura'!V1001</f>
        <v>AL DÍA</v>
      </c>
      <c r="G1002" s="1" t="str">
        <f>+'Maestro infraestructura'!X1001</f>
        <v>SEGURIDAD</v>
      </c>
      <c r="H1002" s="1">
        <f>+'Maestro infraestructura'!Y1001</f>
        <v>1</v>
      </c>
      <c r="I1002" s="1"/>
      <c r="J1002" s="6">
        <f>+'Maestro infraestructura'!T1001</f>
        <v>46563</v>
      </c>
      <c r="K1002" s="6">
        <f t="shared" ca="1" si="35"/>
        <v>46563</v>
      </c>
      <c r="L1002" s="6"/>
    </row>
    <row r="1003" spans="1:12" x14ac:dyDescent="0.2">
      <c r="A1003" s="1" t="str">
        <f>+'Maestro infraestructura'!A1002</f>
        <v>PISCINA</v>
      </c>
      <c r="B1003" s="1" t="str">
        <f>+'Maestro infraestructura'!B1002</f>
        <v>Piso zócalo / Piscina</v>
      </c>
      <c r="C1003" s="1" t="str">
        <f>+'Maestro infraestructura'!C1002</f>
        <v>Camarín Hombre</v>
      </c>
      <c r="D1003" s="1" t="str">
        <f>+'Maestro infraestructura'!F1002</f>
        <v>Camarín Hombre deportistas</v>
      </c>
      <c r="E1003" s="25" t="str">
        <f ca="1">+'Maestro infraestructura'!K1002</f>
        <v>Activo</v>
      </c>
      <c r="F1003" s="1" t="str">
        <f ca="1">+'Maestro infraestructura'!V1002</f>
        <v>VENCIDO</v>
      </c>
      <c r="G1003" s="1" t="str">
        <f>+'Maestro infraestructura'!X1002</f>
        <v>LEGAL</v>
      </c>
      <c r="H1003" s="1">
        <f>+'Maestro infraestructura'!Y1002</f>
        <v>1</v>
      </c>
      <c r="I1003" s="1"/>
      <c r="J1003" s="6">
        <f>+'Maestro infraestructura'!T1002</f>
        <v>46258</v>
      </c>
      <c r="K1003" s="6">
        <f t="shared" ca="1" si="35"/>
        <v>46258</v>
      </c>
      <c r="L1003" s="6"/>
    </row>
    <row r="1004" spans="1:12" x14ac:dyDescent="0.2">
      <c r="A1004" s="1" t="str">
        <f>+'Maestro infraestructura'!A1003</f>
        <v>PISCINA</v>
      </c>
      <c r="B1004" s="1" t="str">
        <f>+'Maestro infraestructura'!B1003</f>
        <v>Piso zócalo / Piscina</v>
      </c>
      <c r="C1004" s="1" t="str">
        <f>+'Maestro infraestructura'!C1003</f>
        <v>Camarín Mujeres</v>
      </c>
      <c r="D1004" s="1" t="str">
        <f>+'Maestro infraestructura'!F1003</f>
        <v>Camarín Mujeres deportistas</v>
      </c>
      <c r="E1004" s="25" t="str">
        <f ca="1">+'Maestro infraestructura'!K1003</f>
        <v>Activo</v>
      </c>
      <c r="F1004" s="1" t="str">
        <f ca="1">+'Maestro infraestructura'!V1003</f>
        <v>VENCIDO</v>
      </c>
      <c r="G1004" s="1" t="str">
        <f>+'Maestro infraestructura'!X1003</f>
        <v>LEGAL</v>
      </c>
      <c r="H1004" s="1">
        <f>+'Maestro infraestructura'!Y1003</f>
        <v>1</v>
      </c>
      <c r="I1004" s="1"/>
      <c r="J1004" s="6">
        <f>+'Maestro infraestructura'!T1003</f>
        <v>46258</v>
      </c>
      <c r="K1004" s="6">
        <f t="shared" ca="1" si="35"/>
        <v>46258</v>
      </c>
      <c r="L1004" s="6"/>
    </row>
    <row r="1005" spans="1:12" x14ac:dyDescent="0.2">
      <c r="A1005" s="1" t="str">
        <f>+'Maestro infraestructura'!A1004</f>
        <v>PISCINA</v>
      </c>
      <c r="B1005" s="1" t="str">
        <f>+'Maestro infraestructura'!B1004</f>
        <v>Piso zócalo / Piscina</v>
      </c>
      <c r="C1005" s="1" t="str">
        <f>+'Maestro infraestructura'!C1004</f>
        <v>Camarín Hombre</v>
      </c>
      <c r="D1005" s="1" t="str">
        <f>+'Maestro infraestructura'!F1004</f>
        <v>Camarín Instructor</v>
      </c>
      <c r="E1005" s="25" t="str">
        <f ca="1">+'Maestro infraestructura'!K1004</f>
        <v>Activo</v>
      </c>
      <c r="F1005" s="1" t="str">
        <f ca="1">+'Maestro infraestructura'!V1004</f>
        <v>VENCIDO</v>
      </c>
      <c r="G1005" s="1" t="str">
        <f>+'Maestro infraestructura'!X1004</f>
        <v>LEGAL</v>
      </c>
      <c r="H1005" s="1">
        <f>+'Maestro infraestructura'!Y1004</f>
        <v>1</v>
      </c>
      <c r="I1005" s="1"/>
      <c r="J1005" s="6">
        <f>+'Maestro infraestructura'!T1004</f>
        <v>46258</v>
      </c>
      <c r="K1005" s="6">
        <f t="shared" ca="1" si="35"/>
        <v>46258</v>
      </c>
      <c r="L1005" s="6"/>
    </row>
    <row r="1006" spans="1:12" x14ac:dyDescent="0.2">
      <c r="A1006" s="1" t="str">
        <f>+'Maestro infraestructura'!A1005</f>
        <v>PISCINA</v>
      </c>
      <c r="B1006" s="1" t="str">
        <f>+'Maestro infraestructura'!B1005</f>
        <v>Piso zócalo / Piscina</v>
      </c>
      <c r="C1006" s="1" t="str">
        <f>+'Maestro infraestructura'!C1005</f>
        <v>Camarín Mujeres</v>
      </c>
      <c r="D1006" s="1" t="str">
        <f>+'Maestro infraestructura'!F1005</f>
        <v>Camarín Instructora</v>
      </c>
      <c r="E1006" s="25" t="str">
        <f ca="1">+'Maestro infraestructura'!K1005</f>
        <v>Activo</v>
      </c>
      <c r="F1006" s="1" t="str">
        <f ca="1">+'Maestro infraestructura'!V1005</f>
        <v>VENCIDO</v>
      </c>
      <c r="G1006" s="1" t="str">
        <f>+'Maestro infraestructura'!X1005</f>
        <v>LEGAL</v>
      </c>
      <c r="H1006" s="1">
        <f>+'Maestro infraestructura'!Y1005</f>
        <v>1</v>
      </c>
      <c r="I1006" s="1"/>
      <c r="J1006" s="6">
        <f>+'Maestro infraestructura'!T1005</f>
        <v>46258</v>
      </c>
      <c r="K1006" s="6">
        <f t="shared" ca="1" si="35"/>
        <v>46258</v>
      </c>
      <c r="L1006" s="6"/>
    </row>
    <row r="1007" spans="1:12" x14ac:dyDescent="0.2">
      <c r="A1007" s="1" t="str">
        <f>+'Maestro infraestructura'!A1006</f>
        <v>SPIELGRUPPE</v>
      </c>
      <c r="B1007" s="1" t="str">
        <f>+'Maestro infraestructura'!B1006</f>
        <v>1° Piso</v>
      </c>
      <c r="C1007" s="1" t="str">
        <f>+'Maestro infraestructura'!C1006</f>
        <v>Patio trasero</v>
      </c>
      <c r="D1007" s="1" t="str">
        <f>+'Maestro infraestructura'!F1006</f>
        <v>Caldera</v>
      </c>
      <c r="E1007" s="25" t="str">
        <f ca="1">+'Maestro infraestructura'!K1006</f>
        <v>Activo</v>
      </c>
      <c r="F1007" s="1" t="str">
        <f ca="1">+'Maestro infraestructura'!V1006</f>
        <v>AL DÍA</v>
      </c>
      <c r="G1007" s="1" t="str">
        <f>+'Maestro infraestructura'!X1006</f>
        <v>OPERACIÓN</v>
      </c>
      <c r="H1007" s="1">
        <f>+'Maestro infraestructura'!Y1006</f>
        <v>1</v>
      </c>
      <c r="I1007" s="1"/>
      <c r="J1007" s="6">
        <f>+'Maestro infraestructura'!T1006</f>
        <v>46563</v>
      </c>
      <c r="K1007" s="6">
        <f t="shared" ca="1" si="35"/>
        <v>46563</v>
      </c>
      <c r="L1007" s="6"/>
    </row>
    <row r="1008" spans="1:12" x14ac:dyDescent="0.2">
      <c r="A1008" s="1" t="str">
        <f>+'Maestro infraestructura'!A1007</f>
        <v>SPIELGRUPPE</v>
      </c>
      <c r="B1008" s="1" t="str">
        <f>+'Maestro infraestructura'!B1007</f>
        <v>1° Piso</v>
      </c>
      <c r="C1008" s="1" t="str">
        <f>+'Maestro infraestructura'!C1007</f>
        <v>Salas de Clases</v>
      </c>
      <c r="D1008" s="1" t="str">
        <f>+'Maestro infraestructura'!F1007</f>
        <v>Radiadores</v>
      </c>
      <c r="E1008" s="25" t="str">
        <f ca="1">+'Maestro infraestructura'!K1007</f>
        <v>Activo</v>
      </c>
      <c r="F1008" s="1" t="str">
        <f ca="1">+'Maestro infraestructura'!V1007</f>
        <v>AL DÍA</v>
      </c>
      <c r="G1008" s="1" t="str">
        <f>+'Maestro infraestructura'!X1007</f>
        <v>GENERAL</v>
      </c>
      <c r="H1008" s="1">
        <f>+'Maestro infraestructura'!Y1007</f>
        <v>1</v>
      </c>
      <c r="I1008" s="1"/>
      <c r="J1008" s="6">
        <f>+'Maestro infraestructura'!T1007</f>
        <v>46563</v>
      </c>
      <c r="K1008" s="6">
        <f t="shared" ca="1" si="35"/>
        <v>46563</v>
      </c>
      <c r="L1008" s="6"/>
    </row>
    <row r="1009" spans="1:12" x14ac:dyDescent="0.2">
      <c r="A1009" s="1" t="str">
        <f>+'Maestro infraestructura'!A1008</f>
        <v>SPIELGRUPPE</v>
      </c>
      <c r="B1009" s="1" t="str">
        <f>+'Maestro infraestructura'!B1008</f>
        <v>1° Piso</v>
      </c>
      <c r="C1009" s="1" t="str">
        <f>+'Maestro infraestructura'!C1008</f>
        <v>Patio principal</v>
      </c>
      <c r="D1009" s="1" t="str">
        <f>+'Maestro infraestructura'!F1008</f>
        <v>Techumbre patio metálica SPG</v>
      </c>
      <c r="E1009" s="25" t="str">
        <f ca="1">+'Maestro infraestructura'!K1008</f>
        <v>Activo</v>
      </c>
      <c r="F1009" s="1" t="str">
        <f ca="1">+'Maestro infraestructura'!V1008</f>
        <v>AL DÍA</v>
      </c>
      <c r="G1009" s="1" t="str">
        <f>+'Maestro infraestructura'!X1008</f>
        <v>SEGURIDAD</v>
      </c>
      <c r="H1009" s="1">
        <f>+'Maestro infraestructura'!Y1008</f>
        <v>1</v>
      </c>
      <c r="I1009" s="1"/>
      <c r="J1009" s="6">
        <f>+'Maestro infraestructura'!T1008</f>
        <v>47475.5</v>
      </c>
      <c r="K1009" s="6">
        <f t="shared" ca="1" si="35"/>
        <v>47475.5</v>
      </c>
      <c r="L1009" s="6"/>
    </row>
    <row r="1010" spans="1:12" x14ac:dyDescent="0.2">
      <c r="A1010" s="1" t="str">
        <f>+'Maestro infraestructura'!A1009</f>
        <v>SPIELGRUPPE</v>
      </c>
      <c r="B1010" s="1" t="str">
        <f>+'Maestro infraestructura'!B1009</f>
        <v>1° Piso</v>
      </c>
      <c r="C1010" s="1" t="str">
        <f>+'Maestro infraestructura'!C1009</f>
        <v>Pasillo acceso</v>
      </c>
      <c r="D1010" s="1" t="str">
        <f>+'Maestro infraestructura'!F1009</f>
        <v>Tablero eléctrico principal</v>
      </c>
      <c r="E1010" s="25" t="str">
        <f ca="1">+'Maestro infraestructura'!K1009</f>
        <v>Activo</v>
      </c>
      <c r="F1010" s="1" t="str">
        <f ca="1">+'Maestro infraestructura'!V1009</f>
        <v>AL DÍA</v>
      </c>
      <c r="G1010" s="1" t="str">
        <f>+'Maestro infraestructura'!X1009</f>
        <v>SEGURIDAD</v>
      </c>
      <c r="H1010" s="1">
        <f>+'Maestro infraestructura'!Y1009</f>
        <v>1</v>
      </c>
      <c r="I1010" s="1"/>
      <c r="J1010" s="6">
        <f>+'Maestro infraestructura'!T1009</f>
        <v>46563</v>
      </c>
      <c r="K1010" s="6">
        <f t="shared" ca="1" si="35"/>
        <v>46563</v>
      </c>
      <c r="L1010" s="6"/>
    </row>
    <row r="1011" spans="1:12" x14ac:dyDescent="0.2">
      <c r="A1011" s="1" t="str">
        <f>+'Maestro infraestructura'!A1010</f>
        <v>SPIELGRUPPE</v>
      </c>
      <c r="B1011" s="1" t="str">
        <f>+'Maestro infraestructura'!B1010</f>
        <v>1° Piso</v>
      </c>
      <c r="C1011" s="1" t="str">
        <f>+'Maestro infraestructura'!C1010</f>
        <v>SPG-A</v>
      </c>
      <c r="D1011" s="1" t="str">
        <f>+'Maestro infraestructura'!F1010</f>
        <v>Sillas alumnos</v>
      </c>
      <c r="E1011" s="25" t="str">
        <f ca="1">+'Maestro infraestructura'!K1010</f>
        <v>Activo</v>
      </c>
      <c r="F1011" s="1" t="str">
        <f ca="1">+'Maestro infraestructura'!V1010</f>
        <v>AL DÍA</v>
      </c>
      <c r="G1011" s="1" t="str">
        <f>+'Maestro infraestructura'!X1010</f>
        <v>OPERACIÓN</v>
      </c>
      <c r="H1011" s="1">
        <f>+'Maestro infraestructura'!Y1010</f>
        <v>2</v>
      </c>
      <c r="I1011" s="1"/>
      <c r="J1011" s="6">
        <f>+'Maestro infraestructura'!T1010</f>
        <v>46378</v>
      </c>
      <c r="K1011" s="6">
        <f t="shared" ca="1" si="35"/>
        <v>46378</v>
      </c>
      <c r="L1011" s="6"/>
    </row>
    <row r="1012" spans="1:12" x14ac:dyDescent="0.2">
      <c r="A1012" s="1" t="str">
        <f>+'Maestro infraestructura'!A1011</f>
        <v>SPIELGRUPPE</v>
      </c>
      <c r="B1012" s="1" t="str">
        <f>+'Maestro infraestructura'!B1011</f>
        <v>1° Piso</v>
      </c>
      <c r="C1012" s="1" t="str">
        <f>+'Maestro infraestructura'!C1011</f>
        <v>SPG-B</v>
      </c>
      <c r="D1012" s="1" t="str">
        <f>+'Maestro infraestructura'!F1011</f>
        <v>Sillas alumnos</v>
      </c>
      <c r="E1012" s="25" t="str">
        <f ca="1">+'Maestro infraestructura'!K1011</f>
        <v>Activo</v>
      </c>
      <c r="F1012" s="1" t="str">
        <f ca="1">+'Maestro infraestructura'!V1011</f>
        <v>AL DÍA</v>
      </c>
      <c r="G1012" s="1" t="str">
        <f>+'Maestro infraestructura'!X1011</f>
        <v>OPERACIÓN</v>
      </c>
      <c r="H1012" s="1">
        <f>+'Maestro infraestructura'!Y1011</f>
        <v>2</v>
      </c>
      <c r="I1012" s="1"/>
      <c r="J1012" s="6">
        <f>+'Maestro infraestructura'!T1011</f>
        <v>46378</v>
      </c>
      <c r="K1012" s="6">
        <f t="shared" ca="1" si="35"/>
        <v>46378</v>
      </c>
      <c r="L1012" s="6"/>
    </row>
    <row r="1013" spans="1:12" x14ac:dyDescent="0.2">
      <c r="A1013" s="1" t="str">
        <f>+'Maestro infraestructura'!A1012</f>
        <v>SPIELGRUPPE</v>
      </c>
      <c r="B1013" s="1" t="str">
        <f>+'Maestro infraestructura'!B1012</f>
        <v>1° Piso</v>
      </c>
      <c r="C1013" s="1" t="str">
        <f>+'Maestro infraestructura'!C1012</f>
        <v>SPG-C</v>
      </c>
      <c r="D1013" s="1" t="str">
        <f>+'Maestro infraestructura'!F1012</f>
        <v>Sillas alumnos</v>
      </c>
      <c r="E1013" s="25" t="str">
        <f ca="1">+'Maestro infraestructura'!K1012</f>
        <v>Activo</v>
      </c>
      <c r="F1013" s="1" t="str">
        <f ca="1">+'Maestro infraestructura'!V1012</f>
        <v>AL DÍA</v>
      </c>
      <c r="G1013" s="1" t="str">
        <f>+'Maestro infraestructura'!X1012</f>
        <v>OPERACIÓN</v>
      </c>
      <c r="H1013" s="1">
        <f>+'Maestro infraestructura'!Y1012</f>
        <v>2</v>
      </c>
      <c r="I1013" s="1"/>
      <c r="J1013" s="6">
        <f>+'Maestro infraestructura'!T1012</f>
        <v>46378</v>
      </c>
      <c r="K1013" s="6">
        <f t="shared" ca="1" si="35"/>
        <v>46378</v>
      </c>
      <c r="L1013" s="6"/>
    </row>
    <row r="1014" spans="1:12" x14ac:dyDescent="0.2">
      <c r="A1014" s="1" t="str">
        <f>+'Maestro infraestructura'!A1013</f>
        <v>SPIELGRUPPE</v>
      </c>
      <c r="B1014" s="1" t="str">
        <f>+'Maestro infraestructura'!B1013</f>
        <v>1° Piso</v>
      </c>
      <c r="C1014" s="1" t="str">
        <f>+'Maestro infraestructura'!C1013</f>
        <v>SPG-D</v>
      </c>
      <c r="D1014" s="1" t="str">
        <f>+'Maestro infraestructura'!F1013</f>
        <v>Sillas alumnos</v>
      </c>
      <c r="E1014" s="25" t="str">
        <f ca="1">+'Maestro infraestructura'!K1013</f>
        <v>Activo</v>
      </c>
      <c r="F1014" s="1" t="str">
        <f ca="1">+'Maestro infraestructura'!V1013</f>
        <v>AL DÍA</v>
      </c>
      <c r="G1014" s="1" t="str">
        <f>+'Maestro infraestructura'!X1013</f>
        <v>OPERACIÓN</v>
      </c>
      <c r="H1014" s="1">
        <f>+'Maestro infraestructura'!Y1013</f>
        <v>2</v>
      </c>
      <c r="I1014" s="1"/>
      <c r="J1014" s="6">
        <f>+'Maestro infraestructura'!T1013</f>
        <v>46378</v>
      </c>
      <c r="K1014" s="6">
        <f t="shared" ca="1" si="35"/>
        <v>46378</v>
      </c>
      <c r="L1014" s="6"/>
    </row>
    <row r="1015" spans="1:12" x14ac:dyDescent="0.2">
      <c r="A1015" s="1" t="str">
        <f>+'Maestro infraestructura'!A1014</f>
        <v>SPIELGRUPPE</v>
      </c>
      <c r="B1015" s="1" t="str">
        <f>+'Maestro infraestructura'!B1014</f>
        <v>1° Piso</v>
      </c>
      <c r="C1015" s="1" t="str">
        <f>+'Maestro infraestructura'!C1014</f>
        <v>SPG-A</v>
      </c>
      <c r="D1015" s="1" t="str">
        <f>+'Maestro infraestructura'!F1014</f>
        <v>Pupitre</v>
      </c>
      <c r="E1015" s="25" t="str">
        <f ca="1">+'Maestro infraestructura'!K1014</f>
        <v>Activo</v>
      </c>
      <c r="F1015" s="1" t="str">
        <f ca="1">+'Maestro infraestructura'!V1014</f>
        <v>AL DÍA</v>
      </c>
      <c r="G1015" s="1" t="str">
        <f>+'Maestro infraestructura'!X1014</f>
        <v>OPERACIÓN</v>
      </c>
      <c r="H1015" s="1">
        <f>+'Maestro infraestructura'!Y1014</f>
        <v>2</v>
      </c>
      <c r="I1015" s="1"/>
      <c r="J1015" s="6">
        <f>+'Maestro infraestructura'!T1014</f>
        <v>46378</v>
      </c>
      <c r="K1015" s="6">
        <f t="shared" ca="1" si="35"/>
        <v>46378</v>
      </c>
      <c r="L1015" s="6"/>
    </row>
    <row r="1016" spans="1:12" x14ac:dyDescent="0.2">
      <c r="A1016" s="1" t="str">
        <f>+'Maestro infraestructura'!A1015</f>
        <v>SPIELGRUPPE</v>
      </c>
      <c r="B1016" s="1" t="str">
        <f>+'Maestro infraestructura'!B1015</f>
        <v>1° Piso</v>
      </c>
      <c r="C1016" s="1" t="str">
        <f>+'Maestro infraestructura'!C1015</f>
        <v>SPG-B</v>
      </c>
      <c r="D1016" s="1" t="str">
        <f>+'Maestro infraestructura'!F1015</f>
        <v>Pupitre</v>
      </c>
      <c r="E1016" s="25" t="str">
        <f ca="1">+'Maestro infraestructura'!K1015</f>
        <v>Activo</v>
      </c>
      <c r="F1016" s="1" t="str">
        <f ca="1">+'Maestro infraestructura'!V1015</f>
        <v>AL DÍA</v>
      </c>
      <c r="G1016" s="1" t="str">
        <f>+'Maestro infraestructura'!X1015</f>
        <v>OPERACIÓN</v>
      </c>
      <c r="H1016" s="1">
        <f>+'Maestro infraestructura'!Y1015</f>
        <v>2</v>
      </c>
      <c r="I1016" s="1"/>
      <c r="J1016" s="6">
        <f>+'Maestro infraestructura'!T1015</f>
        <v>46378</v>
      </c>
      <c r="K1016" s="6">
        <f t="shared" ca="1" si="35"/>
        <v>46378</v>
      </c>
      <c r="L1016" s="6"/>
    </row>
    <row r="1017" spans="1:12" x14ac:dyDescent="0.2">
      <c r="A1017" s="1" t="str">
        <f>+'Maestro infraestructura'!A1016</f>
        <v>SPIELGRUPPE</v>
      </c>
      <c r="B1017" s="1" t="str">
        <f>+'Maestro infraestructura'!B1016</f>
        <v>1° Piso</v>
      </c>
      <c r="C1017" s="1" t="str">
        <f>+'Maestro infraestructura'!C1016</f>
        <v>SPG-C</v>
      </c>
      <c r="D1017" s="1" t="str">
        <f>+'Maestro infraestructura'!F1016</f>
        <v>Pupitre</v>
      </c>
      <c r="E1017" s="25" t="str">
        <f ca="1">+'Maestro infraestructura'!K1016</f>
        <v>Activo</v>
      </c>
      <c r="F1017" s="1" t="str">
        <f ca="1">+'Maestro infraestructura'!V1016</f>
        <v>AL DÍA</v>
      </c>
      <c r="G1017" s="1" t="str">
        <f>+'Maestro infraestructura'!X1016</f>
        <v>OPERACIÓN</v>
      </c>
      <c r="H1017" s="1">
        <f>+'Maestro infraestructura'!Y1016</f>
        <v>2</v>
      </c>
      <c r="I1017" s="1"/>
      <c r="J1017" s="6">
        <f>+'Maestro infraestructura'!T1016</f>
        <v>46378</v>
      </c>
      <c r="K1017" s="6">
        <f t="shared" ca="1" si="35"/>
        <v>46378</v>
      </c>
      <c r="L1017" s="6"/>
    </row>
    <row r="1018" spans="1:12" x14ac:dyDescent="0.2">
      <c r="A1018" s="1" t="str">
        <f>+'Maestro infraestructura'!A1017</f>
        <v>SPIELGRUPPE</v>
      </c>
      <c r="B1018" s="1" t="str">
        <f>+'Maestro infraestructura'!B1017</f>
        <v>1° Piso</v>
      </c>
      <c r="C1018" s="1" t="str">
        <f>+'Maestro infraestructura'!C1017</f>
        <v>SPG-D</v>
      </c>
      <c r="D1018" s="1" t="str">
        <f>+'Maestro infraestructura'!F1017</f>
        <v>Pupitre</v>
      </c>
      <c r="E1018" s="25" t="str">
        <f ca="1">+'Maestro infraestructura'!K1017</f>
        <v>Activo</v>
      </c>
      <c r="F1018" s="1" t="str">
        <f ca="1">+'Maestro infraestructura'!V1017</f>
        <v>AL DÍA</v>
      </c>
      <c r="G1018" s="1" t="str">
        <f>+'Maestro infraestructura'!X1017</f>
        <v>OPERACIÓN</v>
      </c>
      <c r="H1018" s="1">
        <f>+'Maestro infraestructura'!Y1017</f>
        <v>2</v>
      </c>
      <c r="I1018" s="1"/>
      <c r="J1018" s="6">
        <f>+'Maestro infraestructura'!T1017</f>
        <v>46378</v>
      </c>
      <c r="K1018" s="6">
        <f t="shared" ca="1" si="35"/>
        <v>46378</v>
      </c>
      <c r="L1018" s="6"/>
    </row>
    <row r="1019" spans="1:12" x14ac:dyDescent="0.2">
      <c r="A1019" s="1" t="str">
        <f>+'Maestro infraestructura'!A1018</f>
        <v>SPIELGRUPPE</v>
      </c>
      <c r="B1019" s="1" t="str">
        <f>+'Maestro infraestructura'!B1018</f>
        <v>1° Piso</v>
      </c>
      <c r="C1019" s="1" t="str">
        <f>+'Maestro infraestructura'!C1018</f>
        <v>SPG-A</v>
      </c>
      <c r="D1019" s="1" t="str">
        <f>+'Maestro infraestructura'!F1018</f>
        <v>Mesa Profesor</v>
      </c>
      <c r="E1019" s="25" t="str">
        <f ca="1">+'Maestro infraestructura'!K1018</f>
        <v>Activo</v>
      </c>
      <c r="F1019" s="1" t="str">
        <f ca="1">+'Maestro infraestructura'!V1018</f>
        <v>AL DÍA</v>
      </c>
      <c r="G1019" s="1" t="str">
        <f>+'Maestro infraestructura'!X1018</f>
        <v>OPERACIÓN</v>
      </c>
      <c r="H1019" s="1">
        <f>+'Maestro infraestructura'!Y1018</f>
        <v>2</v>
      </c>
      <c r="I1019" s="1"/>
      <c r="J1019" s="6">
        <f>+'Maestro infraestructura'!T1018</f>
        <v>46378</v>
      </c>
      <c r="K1019" s="6">
        <f t="shared" ca="1" si="35"/>
        <v>46378</v>
      </c>
      <c r="L1019" s="6"/>
    </row>
    <row r="1020" spans="1:12" x14ac:dyDescent="0.2">
      <c r="A1020" s="1" t="str">
        <f>+'Maestro infraestructura'!A1019</f>
        <v>SPIELGRUPPE</v>
      </c>
      <c r="B1020" s="1" t="str">
        <f>+'Maestro infraestructura'!B1019</f>
        <v>1° Piso</v>
      </c>
      <c r="C1020" s="1" t="str">
        <f>+'Maestro infraestructura'!C1019</f>
        <v>SPG-B</v>
      </c>
      <c r="D1020" s="1" t="str">
        <f>+'Maestro infraestructura'!F1019</f>
        <v>Mesa Profesor</v>
      </c>
      <c r="E1020" s="25" t="str">
        <f ca="1">+'Maestro infraestructura'!K1019</f>
        <v>Activo</v>
      </c>
      <c r="F1020" s="1" t="str">
        <f ca="1">+'Maestro infraestructura'!V1019</f>
        <v>AL DÍA</v>
      </c>
      <c r="G1020" s="1" t="str">
        <f>+'Maestro infraestructura'!X1019</f>
        <v>OPERACIÓN</v>
      </c>
      <c r="H1020" s="1">
        <f>+'Maestro infraestructura'!Y1019</f>
        <v>2</v>
      </c>
      <c r="I1020" s="1"/>
      <c r="J1020" s="6">
        <f>+'Maestro infraestructura'!T1019</f>
        <v>46378</v>
      </c>
      <c r="K1020" s="6">
        <f t="shared" ca="1" si="35"/>
        <v>46378</v>
      </c>
      <c r="L1020" s="6"/>
    </row>
    <row r="1021" spans="1:12" x14ac:dyDescent="0.2">
      <c r="A1021" s="1" t="str">
        <f>+'Maestro infraestructura'!A1020</f>
        <v>SPIELGRUPPE</v>
      </c>
      <c r="B1021" s="1" t="str">
        <f>+'Maestro infraestructura'!B1020</f>
        <v>1° Piso</v>
      </c>
      <c r="C1021" s="1" t="str">
        <f>+'Maestro infraestructura'!C1020</f>
        <v>SPG-C</v>
      </c>
      <c r="D1021" s="1" t="str">
        <f>+'Maestro infraestructura'!F1020</f>
        <v>Mesa Profesor</v>
      </c>
      <c r="E1021" s="25" t="str">
        <f ca="1">+'Maestro infraestructura'!K1020</f>
        <v>Activo</v>
      </c>
      <c r="F1021" s="1" t="str">
        <f ca="1">+'Maestro infraestructura'!V1020</f>
        <v>AL DÍA</v>
      </c>
      <c r="G1021" s="1" t="str">
        <f>+'Maestro infraestructura'!X1020</f>
        <v>OPERACIÓN</v>
      </c>
      <c r="H1021" s="1">
        <f>+'Maestro infraestructura'!Y1020</f>
        <v>2</v>
      </c>
      <c r="I1021" s="1"/>
      <c r="J1021" s="6">
        <f>+'Maestro infraestructura'!T1020</f>
        <v>46378</v>
      </c>
      <c r="K1021" s="6">
        <f t="shared" ca="1" si="35"/>
        <v>46378</v>
      </c>
      <c r="L1021" s="6"/>
    </row>
    <row r="1022" spans="1:12" x14ac:dyDescent="0.2">
      <c r="A1022" s="1" t="str">
        <f>+'Maestro infraestructura'!A1021</f>
        <v>SPIELGRUPPE</v>
      </c>
      <c r="B1022" s="1" t="str">
        <f>+'Maestro infraestructura'!B1021</f>
        <v>1° Piso</v>
      </c>
      <c r="C1022" s="1" t="str">
        <f>+'Maestro infraestructura'!C1021</f>
        <v>SPG-D</v>
      </c>
      <c r="D1022" s="1" t="str">
        <f>+'Maestro infraestructura'!F1021</f>
        <v>Mesa Profesor</v>
      </c>
      <c r="E1022" s="25" t="str">
        <f ca="1">+'Maestro infraestructura'!K1021</f>
        <v>Activo</v>
      </c>
      <c r="F1022" s="1" t="str">
        <f ca="1">+'Maestro infraestructura'!V1021</f>
        <v>AL DÍA</v>
      </c>
      <c r="G1022" s="1" t="str">
        <f>+'Maestro infraestructura'!X1021</f>
        <v>OPERACIÓN</v>
      </c>
      <c r="H1022" s="1">
        <f>+'Maestro infraestructura'!Y1021</f>
        <v>2</v>
      </c>
      <c r="I1022" s="1"/>
      <c r="J1022" s="6">
        <f>+'Maestro infraestructura'!T1021</f>
        <v>46378</v>
      </c>
      <c r="K1022" s="6">
        <f t="shared" ca="1" si="35"/>
        <v>46378</v>
      </c>
      <c r="L1022" s="6"/>
    </row>
    <row r="1023" spans="1:12" x14ac:dyDescent="0.2">
      <c r="A1023" s="1" t="str">
        <f>+'Maestro infraestructura'!A1022</f>
        <v>SPIELGRUPPE</v>
      </c>
      <c r="B1023" s="1" t="str">
        <f>+'Maestro infraestructura'!B1022</f>
        <v>1° Piso</v>
      </c>
      <c r="C1023" s="1" t="str">
        <f>+'Maestro infraestructura'!C1022</f>
        <v>SPG-A</v>
      </c>
      <c r="D1023" s="1" t="str">
        <f>+'Maestro infraestructura'!F1022</f>
        <v>Silla Profesor</v>
      </c>
      <c r="E1023" s="25" t="str">
        <f ca="1">+'Maestro infraestructura'!K1022</f>
        <v>Activo</v>
      </c>
      <c r="F1023" s="1" t="str">
        <f ca="1">+'Maestro infraestructura'!V1022</f>
        <v>AL DÍA</v>
      </c>
      <c r="G1023" s="1" t="str">
        <f>+'Maestro infraestructura'!X1022</f>
        <v>OPERACIÓN</v>
      </c>
      <c r="H1023" s="1">
        <f>+'Maestro infraestructura'!Y1022</f>
        <v>2</v>
      </c>
      <c r="I1023" s="1"/>
      <c r="J1023" s="6">
        <f>+'Maestro infraestructura'!T1022</f>
        <v>46378</v>
      </c>
      <c r="K1023" s="6">
        <f t="shared" ca="1" si="35"/>
        <v>46378</v>
      </c>
      <c r="L1023" s="6"/>
    </row>
    <row r="1024" spans="1:12" x14ac:dyDescent="0.2">
      <c r="A1024" s="1" t="str">
        <f>+'Maestro infraestructura'!A1023</f>
        <v>SPIELGRUPPE</v>
      </c>
      <c r="B1024" s="1" t="str">
        <f>+'Maestro infraestructura'!B1023</f>
        <v>1° Piso</v>
      </c>
      <c r="C1024" s="1" t="str">
        <f>+'Maestro infraestructura'!C1023</f>
        <v>SPG-B</v>
      </c>
      <c r="D1024" s="1" t="str">
        <f>+'Maestro infraestructura'!F1023</f>
        <v>Silla Profesor</v>
      </c>
      <c r="E1024" s="25" t="str">
        <f ca="1">+'Maestro infraestructura'!K1023</f>
        <v>Activo</v>
      </c>
      <c r="F1024" s="1" t="str">
        <f ca="1">+'Maestro infraestructura'!V1023</f>
        <v>AL DÍA</v>
      </c>
      <c r="G1024" s="1" t="str">
        <f>+'Maestro infraestructura'!X1023</f>
        <v>OPERACIÓN</v>
      </c>
      <c r="H1024" s="1">
        <f>+'Maestro infraestructura'!Y1023</f>
        <v>2</v>
      </c>
      <c r="I1024" s="1"/>
      <c r="J1024" s="6">
        <f>+'Maestro infraestructura'!T1023</f>
        <v>46378</v>
      </c>
      <c r="K1024" s="6">
        <f t="shared" ca="1" si="35"/>
        <v>46378</v>
      </c>
      <c r="L1024" s="6"/>
    </row>
    <row r="1025" spans="1:12" x14ac:dyDescent="0.2">
      <c r="A1025" s="1" t="str">
        <f>+'Maestro infraestructura'!A1024</f>
        <v>SPIELGRUPPE</v>
      </c>
      <c r="B1025" s="1" t="str">
        <f>+'Maestro infraestructura'!B1024</f>
        <v>1° Piso</v>
      </c>
      <c r="C1025" s="1" t="str">
        <f>+'Maestro infraestructura'!C1024</f>
        <v>SPG-C</v>
      </c>
      <c r="D1025" s="1" t="str">
        <f>+'Maestro infraestructura'!F1024</f>
        <v>Silla Profesor</v>
      </c>
      <c r="E1025" s="25" t="str">
        <f ca="1">+'Maestro infraestructura'!K1024</f>
        <v>Activo</v>
      </c>
      <c r="F1025" s="1" t="str">
        <f ca="1">+'Maestro infraestructura'!V1024</f>
        <v>AL DÍA</v>
      </c>
      <c r="G1025" s="1" t="str">
        <f>+'Maestro infraestructura'!X1024</f>
        <v>OPERACIÓN</v>
      </c>
      <c r="H1025" s="1">
        <f>+'Maestro infraestructura'!Y1024</f>
        <v>2</v>
      </c>
      <c r="I1025" s="1"/>
      <c r="J1025" s="6">
        <f>+'Maestro infraestructura'!T1024</f>
        <v>46378</v>
      </c>
      <c r="K1025" s="6">
        <f t="shared" ca="1" si="35"/>
        <v>46378</v>
      </c>
      <c r="L1025" s="6"/>
    </row>
    <row r="1026" spans="1:12" x14ac:dyDescent="0.2">
      <c r="A1026" s="1" t="str">
        <f>+'Maestro infraestructura'!A1025</f>
        <v>SPIELGRUPPE</v>
      </c>
      <c r="B1026" s="1" t="str">
        <f>+'Maestro infraestructura'!B1025</f>
        <v>1° Piso</v>
      </c>
      <c r="C1026" s="1" t="str">
        <f>+'Maestro infraestructura'!C1025</f>
        <v>SPG-D</v>
      </c>
      <c r="D1026" s="1" t="str">
        <f>+'Maestro infraestructura'!F1025</f>
        <v>Silla Profesor</v>
      </c>
      <c r="E1026" s="25" t="str">
        <f ca="1">+'Maestro infraestructura'!K1025</f>
        <v>Activo</v>
      </c>
      <c r="F1026" s="1" t="str">
        <f ca="1">+'Maestro infraestructura'!V1025</f>
        <v>AL DÍA</v>
      </c>
      <c r="G1026" s="1" t="str">
        <f>+'Maestro infraestructura'!X1025</f>
        <v>OPERACIÓN</v>
      </c>
      <c r="H1026" s="1">
        <f>+'Maestro infraestructura'!Y1025</f>
        <v>2</v>
      </c>
      <c r="I1026" s="1"/>
      <c r="J1026" s="6">
        <f>+'Maestro infraestructura'!T1025</f>
        <v>46378</v>
      </c>
      <c r="K1026" s="6">
        <f t="shared" ca="1" si="35"/>
        <v>46378</v>
      </c>
      <c r="L1026" s="6"/>
    </row>
    <row r="1027" spans="1:12" x14ac:dyDescent="0.2">
      <c r="A1027" s="1" t="str">
        <f>+'Maestro infraestructura'!A1026</f>
        <v>SPIELGRUPPE</v>
      </c>
      <c r="B1027" s="1" t="str">
        <f>+'Maestro infraestructura'!B1026</f>
        <v>1° Piso</v>
      </c>
      <c r="C1027" s="1" t="str">
        <f>+'Maestro infraestructura'!C1026</f>
        <v>1° Piso</v>
      </c>
      <c r="D1027" s="1" t="str">
        <f>+'Maestro infraestructura'!F1026</f>
        <v>Baño adultos</v>
      </c>
      <c r="E1027" s="25" t="str">
        <f ca="1">+'Maestro infraestructura'!K1026</f>
        <v>Activo</v>
      </c>
      <c r="F1027" s="1" t="str">
        <f ca="1">+'Maestro infraestructura'!V1026</f>
        <v>VENCIDO</v>
      </c>
      <c r="G1027" s="1" t="str">
        <f>+'Maestro infraestructura'!X1026</f>
        <v>LEGAL</v>
      </c>
      <c r="H1027" s="1">
        <f>+'Maestro infraestructura'!Y1026</f>
        <v>1</v>
      </c>
      <c r="I1027" s="1"/>
      <c r="J1027" s="6">
        <f>+'Maestro infraestructura'!T1026</f>
        <v>46258</v>
      </c>
      <c r="K1027" s="6">
        <f t="shared" ca="1" si="35"/>
        <v>46258</v>
      </c>
      <c r="L1027" s="6"/>
    </row>
    <row r="1028" spans="1:12" x14ac:dyDescent="0.2">
      <c r="A1028" s="1" t="str">
        <f>+'Maestro infraestructura'!A1027</f>
        <v>SPIELGRUPPE</v>
      </c>
      <c r="B1028" s="1" t="str">
        <f>+'Maestro infraestructura'!B1027</f>
        <v>1° Piso</v>
      </c>
      <c r="C1028" s="1" t="str">
        <f>+'Maestro infraestructura'!C1027</f>
        <v>1° Piso</v>
      </c>
      <c r="D1028" s="1" t="str">
        <f>+'Maestro infraestructura'!F1027</f>
        <v>Baño mixto alumnos</v>
      </c>
      <c r="E1028" s="25" t="str">
        <f ca="1">+'Maestro infraestructura'!K1027</f>
        <v>Activo</v>
      </c>
      <c r="F1028" s="1" t="str">
        <f ca="1">+'Maestro infraestructura'!V1027</f>
        <v>VENCIDO</v>
      </c>
      <c r="G1028" s="1" t="str">
        <f>+'Maestro infraestructura'!X1027</f>
        <v>LEGAL</v>
      </c>
      <c r="H1028" s="1">
        <f>+'Maestro infraestructura'!Y1027</f>
        <v>2</v>
      </c>
      <c r="I1028" s="1"/>
      <c r="J1028" s="6">
        <f>+'Maestro infraestructura'!T1027</f>
        <v>46258</v>
      </c>
      <c r="K1028" s="6">
        <f t="shared" ref="K1028:K1052" ca="1" si="36">IF(E1028="Cambiar o Inspección externa",1/1/2027,IF(E1028="cambiar",1/1/2027,J1028))</f>
        <v>46258</v>
      </c>
      <c r="L1028" s="6"/>
    </row>
    <row r="1029" spans="1:12" x14ac:dyDescent="0.2">
      <c r="A1029" s="1" t="str">
        <f>+'Maestro infraestructura'!A1028</f>
        <v>SPIELGRUPPE</v>
      </c>
      <c r="B1029" s="1" t="str">
        <f>+'Maestro infraestructura'!B1028</f>
        <v>1° Piso</v>
      </c>
      <c r="C1029" s="1" t="str">
        <f>+'Maestro infraestructura'!C1028</f>
        <v>1° Piso</v>
      </c>
      <c r="D1029" s="1" t="str">
        <f>+'Maestro infraestructura'!F1028</f>
        <v xml:space="preserve">Pintura de paredes interior </v>
      </c>
      <c r="E1029" s="25" t="str">
        <f ca="1">+'Maestro infraestructura'!K1028</f>
        <v>Activo</v>
      </c>
      <c r="F1029" s="1" t="str">
        <f ca="1">+'Maestro infraestructura'!V1028</f>
        <v>AL DÍA</v>
      </c>
      <c r="G1029" s="1" t="str">
        <f>+'Maestro infraestructura'!X1028</f>
        <v>GENERAL</v>
      </c>
      <c r="H1029" s="1">
        <f>+'Maestro infraestructura'!Y1028</f>
        <v>3</v>
      </c>
      <c r="I1029" s="1"/>
      <c r="J1029" s="6">
        <f>+'Maestro infraestructura'!T1028</f>
        <v>46569</v>
      </c>
      <c r="K1029" s="6">
        <f t="shared" ca="1" si="36"/>
        <v>46569</v>
      </c>
      <c r="L1029" s="6"/>
    </row>
    <row r="1030" spans="1:12" x14ac:dyDescent="0.2">
      <c r="A1030" s="1" t="str">
        <f>+'Maestro infraestructura'!A1029</f>
        <v>SPIELGRUPPE</v>
      </c>
      <c r="B1030" s="1" t="str">
        <f>+'Maestro infraestructura'!B1029</f>
        <v>1° Piso</v>
      </c>
      <c r="C1030" s="1" t="str">
        <f>+'Maestro infraestructura'!C1029</f>
        <v>1° Piso</v>
      </c>
      <c r="D1030" s="1" t="str">
        <f>+'Maestro infraestructura'!F1029</f>
        <v>Pintura fachadas</v>
      </c>
      <c r="E1030" s="25" t="str">
        <f ca="1">+'Maestro infraestructura'!K1029</f>
        <v>Activo</v>
      </c>
      <c r="F1030" s="1" t="str">
        <f ca="1">+'Maestro infraestructura'!V1029</f>
        <v>AL DÍA</v>
      </c>
      <c r="G1030" s="1" t="str">
        <f>+'Maestro infraestructura'!X1029</f>
        <v>GENERAL</v>
      </c>
      <c r="H1030" s="1">
        <f>+'Maestro infraestructura'!Y1029</f>
        <v>1</v>
      </c>
      <c r="I1030" s="1"/>
      <c r="J1030" s="6">
        <f>+'Maestro infraestructura'!T1029</f>
        <v>46783</v>
      </c>
      <c r="K1030" s="6">
        <f t="shared" ca="1" si="36"/>
        <v>46783</v>
      </c>
      <c r="L1030" s="6"/>
    </row>
    <row r="1031" spans="1:12" x14ac:dyDescent="0.2">
      <c r="A1031" s="1" t="str">
        <f>+'Maestro infraestructura'!A1030</f>
        <v>SPIELGRUPPE</v>
      </c>
      <c r="B1031" s="1" t="str">
        <f>+'Maestro infraestructura'!B1030</f>
        <v>1° Piso</v>
      </c>
      <c r="C1031" s="1" t="str">
        <f>+'Maestro infraestructura'!C1030</f>
        <v xml:space="preserve">Edificio </v>
      </c>
      <c r="D1031" s="1" t="str">
        <f>+'Maestro infraestructura'!F1030</f>
        <v>Techumbre SPG</v>
      </c>
      <c r="E1031" s="25" t="str">
        <f ca="1">+'Maestro infraestructura'!K1030</f>
        <v>Cambiar o Inspección externa</v>
      </c>
      <c r="F1031" s="1" t="str">
        <f ca="1">+'Maestro infraestructura'!V1030</f>
        <v>AL DÍA</v>
      </c>
      <c r="G1031" s="1" t="str">
        <f>+'Maestro infraestructura'!X1030</f>
        <v>SEGURIDAD</v>
      </c>
      <c r="H1031" s="1">
        <f>+'Maestro infraestructura'!Y1030</f>
        <v>1</v>
      </c>
      <c r="I1031" s="1"/>
      <c r="J1031" s="6">
        <f>+'Maestro infraestructura'!T1030</f>
        <v>47331.5</v>
      </c>
      <c r="K1031" s="6">
        <f t="shared" ca="1" si="36"/>
        <v>4.9333991119881603E-4</v>
      </c>
      <c r="L1031" s="6"/>
    </row>
    <row r="1032" spans="1:12" x14ac:dyDescent="0.2">
      <c r="A1032" s="1" t="str">
        <f>+'Maestro infraestructura'!A1031</f>
        <v>SPIELGRUPPE</v>
      </c>
      <c r="B1032" s="1" t="str">
        <f>+'Maestro infraestructura'!B1031</f>
        <v>1° Piso</v>
      </c>
      <c r="C1032" s="1" t="str">
        <f>+'Maestro infraestructura'!C1031</f>
        <v>SPG-A</v>
      </c>
      <c r="D1032" s="1" t="str">
        <f>+'Maestro infraestructura'!F1031</f>
        <v>Ventanas</v>
      </c>
      <c r="E1032" s="25" t="str">
        <f ca="1">+'Maestro infraestructura'!K1031</f>
        <v>Activo</v>
      </c>
      <c r="F1032" s="1" t="str">
        <f ca="1">+'Maestro infraestructura'!V1031</f>
        <v>AL DÍA</v>
      </c>
      <c r="G1032" s="1" t="str">
        <f>+'Maestro infraestructura'!X1031</f>
        <v>SEGURIDAD</v>
      </c>
      <c r="H1032" s="1">
        <f>+'Maestro infraestructura'!Y1031</f>
        <v>2</v>
      </c>
      <c r="I1032" s="1"/>
      <c r="J1032" s="6">
        <f>+'Maestro infraestructura'!T1031</f>
        <v>46402</v>
      </c>
      <c r="K1032" s="6">
        <f t="shared" ca="1" si="36"/>
        <v>46402</v>
      </c>
      <c r="L1032" s="6"/>
    </row>
    <row r="1033" spans="1:12" x14ac:dyDescent="0.2">
      <c r="A1033" s="1" t="str">
        <f>+'Maestro infraestructura'!A1032</f>
        <v>SPIELGRUPPE</v>
      </c>
      <c r="B1033" s="1" t="str">
        <f>+'Maestro infraestructura'!B1032</f>
        <v>1° Piso</v>
      </c>
      <c r="C1033" s="1" t="str">
        <f>+'Maestro infraestructura'!C1032</f>
        <v>SPG-A</v>
      </c>
      <c r="D1033" s="1" t="str">
        <f>+'Maestro infraestructura'!F1032</f>
        <v>Radiadores</v>
      </c>
      <c r="E1033" s="25" t="str">
        <f ca="1">+'Maestro infraestructura'!K1032</f>
        <v>Activo</v>
      </c>
      <c r="F1033" s="1" t="str">
        <f ca="1">+'Maestro infraestructura'!V1032</f>
        <v>AL DÍA</v>
      </c>
      <c r="G1033" s="1" t="str">
        <f>+'Maestro infraestructura'!X1032</f>
        <v>GENERAL</v>
      </c>
      <c r="H1033" s="1">
        <f>+'Maestro infraestructura'!Y1032</f>
        <v>1</v>
      </c>
      <c r="I1033" s="1"/>
      <c r="J1033" s="6">
        <f>+'Maestro infraestructura'!T1032</f>
        <v>46523</v>
      </c>
      <c r="K1033" s="6">
        <f t="shared" ca="1" si="36"/>
        <v>46523</v>
      </c>
      <c r="L1033" s="6"/>
    </row>
    <row r="1034" spans="1:12" x14ac:dyDescent="0.2">
      <c r="A1034" s="1" t="str">
        <f>+'Maestro infraestructura'!A1033</f>
        <v>SPIELGRUPPE</v>
      </c>
      <c r="B1034" s="1" t="str">
        <f>+'Maestro infraestructura'!B1033</f>
        <v>1° Piso</v>
      </c>
      <c r="C1034" s="1" t="str">
        <f>+'Maestro infraestructura'!C1033</f>
        <v>SPG-A</v>
      </c>
      <c r="D1034" s="1" t="str">
        <f>+'Maestro infraestructura'!F1033</f>
        <v>Piso</v>
      </c>
      <c r="E1034" s="25" t="str">
        <f ca="1">+'Maestro infraestructura'!K1033</f>
        <v>Activo</v>
      </c>
      <c r="F1034" s="1" t="str">
        <f ca="1">+'Maestro infraestructura'!V1033</f>
        <v>AL DÍA</v>
      </c>
      <c r="G1034" s="1" t="str">
        <f>+'Maestro infraestructura'!X1033</f>
        <v>GENERAL</v>
      </c>
      <c r="H1034" s="1">
        <f>+'Maestro infraestructura'!Y1033</f>
        <v>2</v>
      </c>
      <c r="I1034" s="1"/>
      <c r="J1034" s="6">
        <f>+'Maestro infraestructura'!T1033</f>
        <v>46402</v>
      </c>
      <c r="K1034" s="6">
        <f t="shared" ca="1" si="36"/>
        <v>46402</v>
      </c>
      <c r="L1034" s="6"/>
    </row>
    <row r="1035" spans="1:12" x14ac:dyDescent="0.2">
      <c r="A1035" s="1" t="str">
        <f>+'Maestro infraestructura'!A1034</f>
        <v>SPIELGRUPPE</v>
      </c>
      <c r="B1035" s="1" t="str">
        <f>+'Maestro infraestructura'!B1034</f>
        <v>1° Piso</v>
      </c>
      <c r="C1035" s="1" t="str">
        <f>+'Maestro infraestructura'!C1034</f>
        <v>SPG-A</v>
      </c>
      <c r="D1035" s="1" t="str">
        <f>+'Maestro infraestructura'!F1034</f>
        <v>Enchufes</v>
      </c>
      <c r="E1035" s="25" t="str">
        <f ca="1">+'Maestro infraestructura'!K1034</f>
        <v>Activo</v>
      </c>
      <c r="F1035" s="1" t="str">
        <f ca="1">+'Maestro infraestructura'!V1034</f>
        <v>AL DÍA</v>
      </c>
      <c r="G1035" s="1" t="str">
        <f>+'Maestro infraestructura'!X1034</f>
        <v>GENERAL</v>
      </c>
      <c r="H1035" s="1">
        <f>+'Maestro infraestructura'!Y1034</f>
        <v>2</v>
      </c>
      <c r="I1035" s="1"/>
      <c r="J1035" s="6">
        <f>+'Maestro infraestructura'!T1034</f>
        <v>46402</v>
      </c>
      <c r="K1035" s="6">
        <f t="shared" ca="1" si="36"/>
        <v>46402</v>
      </c>
      <c r="L1035" s="6"/>
    </row>
    <row r="1036" spans="1:12" x14ac:dyDescent="0.2">
      <c r="A1036" s="1" t="str">
        <f>+'Maestro infraestructura'!A1035</f>
        <v>SPIELGRUPPE</v>
      </c>
      <c r="B1036" s="1" t="str">
        <f>+'Maestro infraestructura'!B1035</f>
        <v>1° Piso</v>
      </c>
      <c r="C1036" s="1" t="str">
        <f>+'Maestro infraestructura'!C1035</f>
        <v>SPG-A</v>
      </c>
      <c r="D1036" s="1" t="str">
        <f>+'Maestro infraestructura'!F1035</f>
        <v>Pizarra</v>
      </c>
      <c r="E1036" s="25" t="str">
        <f ca="1">+'Maestro infraestructura'!K1035</f>
        <v>Activo</v>
      </c>
      <c r="F1036" s="1" t="str">
        <f ca="1">+'Maestro infraestructura'!V1035</f>
        <v>AL DÍA</v>
      </c>
      <c r="G1036" s="1" t="str">
        <f>+'Maestro infraestructura'!X1035</f>
        <v>OPERACIÓN</v>
      </c>
      <c r="H1036" s="1">
        <f>+'Maestro infraestructura'!Y1035</f>
        <v>2</v>
      </c>
      <c r="I1036" s="1"/>
      <c r="J1036" s="6">
        <f>+'Maestro infraestructura'!T1035</f>
        <v>46402</v>
      </c>
      <c r="K1036" s="6">
        <f t="shared" ca="1" si="36"/>
        <v>46402</v>
      </c>
      <c r="L1036" s="6"/>
    </row>
    <row r="1037" spans="1:12" x14ac:dyDescent="0.2">
      <c r="A1037" s="1" t="str">
        <f>+'Maestro infraestructura'!A1036</f>
        <v>SPIELGRUPPE</v>
      </c>
      <c r="B1037" s="1" t="str">
        <f>+'Maestro infraestructura'!B1036</f>
        <v>1° Piso</v>
      </c>
      <c r="C1037" s="1" t="str">
        <f>+'Maestro infraestructura'!C1036</f>
        <v>SPG-A</v>
      </c>
      <c r="D1037" s="1" t="str">
        <f>+'Maestro infraestructura'!F1036</f>
        <v>Puertas</v>
      </c>
      <c r="E1037" s="25" t="str">
        <f ca="1">+'Maestro infraestructura'!K1036</f>
        <v>Activo</v>
      </c>
      <c r="F1037" s="1" t="str">
        <f ca="1">+'Maestro infraestructura'!V1036</f>
        <v>AL DÍA</v>
      </c>
      <c r="G1037" s="1" t="str">
        <f>+'Maestro infraestructura'!X1036</f>
        <v>GENERAL</v>
      </c>
      <c r="H1037" s="1">
        <f>+'Maestro infraestructura'!Y1036</f>
        <v>2</v>
      </c>
      <c r="I1037" s="1"/>
      <c r="J1037" s="6">
        <f>+'Maestro infraestructura'!T1036</f>
        <v>46402</v>
      </c>
      <c r="K1037" s="6">
        <f t="shared" ca="1" si="36"/>
        <v>46402</v>
      </c>
      <c r="L1037" s="6"/>
    </row>
    <row r="1038" spans="1:12" x14ac:dyDescent="0.2">
      <c r="A1038" s="1" t="str">
        <f>+'Maestro infraestructura'!A1037</f>
        <v>SPIELGRUPPE</v>
      </c>
      <c r="B1038" s="1" t="str">
        <f>+'Maestro infraestructura'!B1037</f>
        <v>1° Piso</v>
      </c>
      <c r="C1038" s="1" t="str">
        <f>+'Maestro infraestructura'!C1037</f>
        <v>SPG-B</v>
      </c>
      <c r="D1038" s="1" t="str">
        <f>+'Maestro infraestructura'!F1037</f>
        <v>Ventanas</v>
      </c>
      <c r="E1038" s="25" t="str">
        <f ca="1">+'Maestro infraestructura'!K1037</f>
        <v>Activo</v>
      </c>
      <c r="F1038" s="1" t="str">
        <f ca="1">+'Maestro infraestructura'!V1037</f>
        <v>AL DÍA</v>
      </c>
      <c r="G1038" s="1" t="str">
        <f>+'Maestro infraestructura'!X1037</f>
        <v>SEGURIDAD</v>
      </c>
      <c r="H1038" s="1">
        <f>+'Maestro infraestructura'!Y1037</f>
        <v>2</v>
      </c>
      <c r="I1038" s="1"/>
      <c r="J1038" s="6">
        <f>+'Maestro infraestructura'!T1037</f>
        <v>46402</v>
      </c>
      <c r="K1038" s="6">
        <f t="shared" ca="1" si="36"/>
        <v>46402</v>
      </c>
      <c r="L1038" s="6"/>
    </row>
    <row r="1039" spans="1:12" x14ac:dyDescent="0.2">
      <c r="A1039" s="1" t="str">
        <f>+'Maestro infraestructura'!A1038</f>
        <v>SPIELGRUPPE</v>
      </c>
      <c r="B1039" s="1" t="str">
        <f>+'Maestro infraestructura'!B1038</f>
        <v>1° Piso</v>
      </c>
      <c r="C1039" s="1" t="str">
        <f>+'Maestro infraestructura'!C1038</f>
        <v>SPG-B</v>
      </c>
      <c r="D1039" s="1" t="str">
        <f>+'Maestro infraestructura'!F1038</f>
        <v>Radiadores</v>
      </c>
      <c r="E1039" s="25" t="str">
        <f ca="1">+'Maestro infraestructura'!K1038</f>
        <v>Activo</v>
      </c>
      <c r="F1039" s="1" t="str">
        <f ca="1">+'Maestro infraestructura'!V1038</f>
        <v>AL DÍA</v>
      </c>
      <c r="G1039" s="1" t="str">
        <f>+'Maestro infraestructura'!X1038</f>
        <v>GENERAL</v>
      </c>
      <c r="H1039" s="1">
        <f>+'Maestro infraestructura'!Y1038</f>
        <v>1</v>
      </c>
      <c r="I1039" s="1"/>
      <c r="J1039" s="6">
        <f>+'Maestro infraestructura'!T1038</f>
        <v>46523</v>
      </c>
      <c r="K1039" s="6">
        <f t="shared" ca="1" si="36"/>
        <v>46523</v>
      </c>
      <c r="L1039" s="6"/>
    </row>
    <row r="1040" spans="1:12" x14ac:dyDescent="0.2">
      <c r="A1040" s="1" t="str">
        <f>+'Maestro infraestructura'!A1039</f>
        <v>SPIELGRUPPE</v>
      </c>
      <c r="B1040" s="1" t="str">
        <f>+'Maestro infraestructura'!B1039</f>
        <v>1° Piso</v>
      </c>
      <c r="C1040" s="1" t="str">
        <f>+'Maestro infraestructura'!C1039</f>
        <v>SPG-B</v>
      </c>
      <c r="D1040" s="1" t="str">
        <f>+'Maestro infraestructura'!F1039</f>
        <v>Piso</v>
      </c>
      <c r="E1040" s="25" t="str">
        <f ca="1">+'Maestro infraestructura'!K1039</f>
        <v>Activo</v>
      </c>
      <c r="F1040" s="1" t="str">
        <f ca="1">+'Maestro infraestructura'!V1039</f>
        <v>AL DÍA</v>
      </c>
      <c r="G1040" s="1" t="str">
        <f>+'Maestro infraestructura'!X1039</f>
        <v>GENERAL</v>
      </c>
      <c r="H1040" s="1">
        <f>+'Maestro infraestructura'!Y1039</f>
        <v>2</v>
      </c>
      <c r="I1040" s="1"/>
      <c r="J1040" s="6">
        <f>+'Maestro infraestructura'!T1039</f>
        <v>46402</v>
      </c>
      <c r="K1040" s="6">
        <f t="shared" ca="1" si="36"/>
        <v>46402</v>
      </c>
      <c r="L1040" s="6"/>
    </row>
    <row r="1041" spans="1:12" x14ac:dyDescent="0.2">
      <c r="A1041" s="1" t="str">
        <f>+'Maestro infraestructura'!A1040</f>
        <v>SPIELGRUPPE</v>
      </c>
      <c r="B1041" s="1" t="str">
        <f>+'Maestro infraestructura'!B1040</f>
        <v>1° Piso</v>
      </c>
      <c r="C1041" s="1" t="str">
        <f>+'Maestro infraestructura'!C1040</f>
        <v>SPG-B</v>
      </c>
      <c r="D1041" s="1" t="str">
        <f>+'Maestro infraestructura'!F1040</f>
        <v>Enchufes</v>
      </c>
      <c r="E1041" s="25" t="str">
        <f ca="1">+'Maestro infraestructura'!K1040</f>
        <v>Activo</v>
      </c>
      <c r="F1041" s="1" t="str">
        <f ca="1">+'Maestro infraestructura'!V1040</f>
        <v>AL DÍA</v>
      </c>
      <c r="G1041" s="1" t="str">
        <f>+'Maestro infraestructura'!X1040</f>
        <v>GENERAL</v>
      </c>
      <c r="H1041" s="1">
        <f>+'Maestro infraestructura'!Y1040</f>
        <v>2</v>
      </c>
      <c r="I1041" s="1"/>
      <c r="J1041" s="6">
        <f>+'Maestro infraestructura'!T1040</f>
        <v>46402</v>
      </c>
      <c r="K1041" s="6">
        <f t="shared" ca="1" si="36"/>
        <v>46402</v>
      </c>
      <c r="L1041" s="6"/>
    </row>
    <row r="1042" spans="1:12" x14ac:dyDescent="0.2">
      <c r="A1042" s="1" t="str">
        <f>+'Maestro infraestructura'!A1041</f>
        <v>SPIELGRUPPE</v>
      </c>
      <c r="B1042" s="1" t="str">
        <f>+'Maestro infraestructura'!B1041</f>
        <v>1° Piso</v>
      </c>
      <c r="C1042" s="1" t="str">
        <f>+'Maestro infraestructura'!C1041</f>
        <v>SPG-B</v>
      </c>
      <c r="D1042" s="1" t="str">
        <f>+'Maestro infraestructura'!F1041</f>
        <v>Pizarra</v>
      </c>
      <c r="E1042" s="25" t="str">
        <f ca="1">+'Maestro infraestructura'!K1041</f>
        <v>Activo</v>
      </c>
      <c r="F1042" s="1" t="str">
        <f ca="1">+'Maestro infraestructura'!V1041</f>
        <v>AL DÍA</v>
      </c>
      <c r="G1042" s="1" t="str">
        <f>+'Maestro infraestructura'!X1041</f>
        <v>OPERACIÓN</v>
      </c>
      <c r="H1042" s="1">
        <f>+'Maestro infraestructura'!Y1041</f>
        <v>2</v>
      </c>
      <c r="I1042" s="1"/>
      <c r="J1042" s="6">
        <f>+'Maestro infraestructura'!T1041</f>
        <v>46402</v>
      </c>
      <c r="K1042" s="6">
        <f t="shared" ca="1" si="36"/>
        <v>46402</v>
      </c>
      <c r="L1042" s="6"/>
    </row>
    <row r="1043" spans="1:12" x14ac:dyDescent="0.2">
      <c r="A1043" s="1" t="str">
        <f>+'Maestro infraestructura'!A1042</f>
        <v>SPIELGRUPPE</v>
      </c>
      <c r="B1043" s="1" t="str">
        <f>+'Maestro infraestructura'!B1042</f>
        <v>1° Piso</v>
      </c>
      <c r="C1043" s="1" t="str">
        <f>+'Maestro infraestructura'!C1042</f>
        <v>SPG-B</v>
      </c>
      <c r="D1043" s="1" t="str">
        <f>+'Maestro infraestructura'!F1042</f>
        <v>Puertas</v>
      </c>
      <c r="E1043" s="25" t="str">
        <f ca="1">+'Maestro infraestructura'!K1042</f>
        <v>Activo</v>
      </c>
      <c r="F1043" s="1" t="str">
        <f ca="1">+'Maestro infraestructura'!V1042</f>
        <v>AL DÍA</v>
      </c>
      <c r="G1043" s="1" t="str">
        <f>+'Maestro infraestructura'!X1042</f>
        <v>GENERAL</v>
      </c>
      <c r="H1043" s="1">
        <f>+'Maestro infraestructura'!Y1042</f>
        <v>2</v>
      </c>
      <c r="I1043" s="1"/>
      <c r="J1043" s="6">
        <f>+'Maestro infraestructura'!T1042</f>
        <v>46402</v>
      </c>
      <c r="K1043" s="6">
        <f t="shared" ca="1" si="36"/>
        <v>46402</v>
      </c>
      <c r="L1043" s="6"/>
    </row>
    <row r="1044" spans="1:12" x14ac:dyDescent="0.2">
      <c r="A1044" s="1" t="str">
        <f>+'Maestro infraestructura'!A1043</f>
        <v>SPIELGRUPPE</v>
      </c>
      <c r="B1044" s="1" t="str">
        <f>+'Maestro infraestructura'!B1043</f>
        <v>1° Piso</v>
      </c>
      <c r="C1044" s="1" t="str">
        <f>+'Maestro infraestructura'!C1043</f>
        <v>SPG-C</v>
      </c>
      <c r="D1044" s="1" t="str">
        <f>+'Maestro infraestructura'!F1043</f>
        <v>Ventanas</v>
      </c>
      <c r="E1044" s="25" t="str">
        <f ca="1">+'Maestro infraestructura'!K1043</f>
        <v>Activo</v>
      </c>
      <c r="F1044" s="1" t="str">
        <f ca="1">+'Maestro infraestructura'!V1043</f>
        <v>AL DÍA</v>
      </c>
      <c r="G1044" s="1" t="str">
        <f>+'Maestro infraestructura'!X1043</f>
        <v>SEGURIDAD</v>
      </c>
      <c r="H1044" s="1">
        <f>+'Maestro infraestructura'!Y1043</f>
        <v>2</v>
      </c>
      <c r="I1044" s="1"/>
      <c r="J1044" s="6">
        <f>+'Maestro infraestructura'!T1043</f>
        <v>46402</v>
      </c>
      <c r="K1044" s="6">
        <f t="shared" ca="1" si="36"/>
        <v>46402</v>
      </c>
      <c r="L1044" s="6"/>
    </row>
    <row r="1045" spans="1:12" x14ac:dyDescent="0.2">
      <c r="A1045" s="1" t="str">
        <f>+'Maestro infraestructura'!A1044</f>
        <v>SPIELGRUPPE</v>
      </c>
      <c r="B1045" s="1" t="str">
        <f>+'Maestro infraestructura'!B1044</f>
        <v>1° Piso</v>
      </c>
      <c r="C1045" s="1" t="str">
        <f>+'Maestro infraestructura'!C1044</f>
        <v>SPG-C</v>
      </c>
      <c r="D1045" s="1" t="str">
        <f>+'Maestro infraestructura'!F1044</f>
        <v>Radiadores</v>
      </c>
      <c r="E1045" s="25" t="str">
        <f ca="1">+'Maestro infraestructura'!K1044</f>
        <v>Activo</v>
      </c>
      <c r="F1045" s="1" t="str">
        <f ca="1">+'Maestro infraestructura'!V1044</f>
        <v>AL DÍA</v>
      </c>
      <c r="G1045" s="1" t="str">
        <f>+'Maestro infraestructura'!X1044</f>
        <v>GENERAL</v>
      </c>
      <c r="H1045" s="1">
        <f>+'Maestro infraestructura'!Y1044</f>
        <v>1</v>
      </c>
      <c r="I1045" s="1"/>
      <c r="J1045" s="6">
        <f>+'Maestro infraestructura'!T1044</f>
        <v>46523</v>
      </c>
      <c r="K1045" s="6">
        <f t="shared" ca="1" si="36"/>
        <v>46523</v>
      </c>
      <c r="L1045" s="6"/>
    </row>
    <row r="1046" spans="1:12" x14ac:dyDescent="0.2">
      <c r="A1046" s="1" t="str">
        <f>+'Maestro infraestructura'!A1045</f>
        <v>SPIELGRUPPE</v>
      </c>
      <c r="B1046" s="1" t="str">
        <f>+'Maestro infraestructura'!B1045</f>
        <v>1° Piso</v>
      </c>
      <c r="C1046" s="1" t="str">
        <f>+'Maestro infraestructura'!C1045</f>
        <v>SPG-C</v>
      </c>
      <c r="D1046" s="1" t="str">
        <f>+'Maestro infraestructura'!F1045</f>
        <v>Piso</v>
      </c>
      <c r="E1046" s="25" t="str">
        <f ca="1">+'Maestro infraestructura'!K1045</f>
        <v>Activo</v>
      </c>
      <c r="F1046" s="1" t="str">
        <f ca="1">+'Maestro infraestructura'!V1045</f>
        <v>AL DÍA</v>
      </c>
      <c r="G1046" s="1" t="str">
        <f>+'Maestro infraestructura'!X1045</f>
        <v>GENERAL</v>
      </c>
      <c r="H1046" s="1">
        <f>+'Maestro infraestructura'!Y1045</f>
        <v>2</v>
      </c>
      <c r="I1046" s="1"/>
      <c r="J1046" s="6">
        <f>+'Maestro infraestructura'!T1045</f>
        <v>46402</v>
      </c>
      <c r="K1046" s="6">
        <f t="shared" ca="1" si="36"/>
        <v>46402</v>
      </c>
      <c r="L1046" s="6"/>
    </row>
    <row r="1047" spans="1:12" x14ac:dyDescent="0.2">
      <c r="A1047" s="1" t="str">
        <f>+'Maestro infraestructura'!A1046</f>
        <v>SPIELGRUPPE</v>
      </c>
      <c r="B1047" s="1" t="str">
        <f>+'Maestro infraestructura'!B1046</f>
        <v>1° Piso</v>
      </c>
      <c r="C1047" s="1" t="str">
        <f>+'Maestro infraestructura'!C1046</f>
        <v>SPG-C</v>
      </c>
      <c r="D1047" s="1" t="str">
        <f>+'Maestro infraestructura'!F1046</f>
        <v>Enchufes</v>
      </c>
      <c r="E1047" s="25" t="str">
        <f ca="1">+'Maestro infraestructura'!K1046</f>
        <v>Activo</v>
      </c>
      <c r="F1047" s="1" t="str">
        <f ca="1">+'Maestro infraestructura'!V1046</f>
        <v>AL DÍA</v>
      </c>
      <c r="G1047" s="1" t="str">
        <f>+'Maestro infraestructura'!X1046</f>
        <v>GENERAL</v>
      </c>
      <c r="H1047" s="1">
        <f>+'Maestro infraestructura'!Y1046</f>
        <v>2</v>
      </c>
      <c r="I1047" s="1"/>
      <c r="J1047" s="6">
        <f>+'Maestro infraestructura'!T1046</f>
        <v>46402</v>
      </c>
      <c r="K1047" s="6">
        <f t="shared" ca="1" si="36"/>
        <v>46402</v>
      </c>
      <c r="L1047" s="6"/>
    </row>
    <row r="1048" spans="1:12" x14ac:dyDescent="0.2">
      <c r="A1048" s="1" t="str">
        <f>+'Maestro infraestructura'!A1047</f>
        <v>SPIELGRUPPE</v>
      </c>
      <c r="B1048" s="1" t="str">
        <f>+'Maestro infraestructura'!B1047</f>
        <v>1° Piso</v>
      </c>
      <c r="C1048" s="1" t="str">
        <f>+'Maestro infraestructura'!C1047</f>
        <v>SPG-C</v>
      </c>
      <c r="D1048" s="1" t="str">
        <f>+'Maestro infraestructura'!F1047</f>
        <v>Pizarra</v>
      </c>
      <c r="E1048" s="25" t="str">
        <f ca="1">+'Maestro infraestructura'!K1047</f>
        <v>Activo</v>
      </c>
      <c r="F1048" s="1" t="str">
        <f ca="1">+'Maestro infraestructura'!V1047</f>
        <v>AL DÍA</v>
      </c>
      <c r="G1048" s="1" t="str">
        <f>+'Maestro infraestructura'!X1047</f>
        <v>OPERACIÓN</v>
      </c>
      <c r="H1048" s="1">
        <f>+'Maestro infraestructura'!Y1047</f>
        <v>2</v>
      </c>
      <c r="I1048" s="1"/>
      <c r="J1048" s="6">
        <f>+'Maestro infraestructura'!T1047</f>
        <v>46402</v>
      </c>
      <c r="K1048" s="6">
        <f t="shared" ca="1" si="36"/>
        <v>46402</v>
      </c>
      <c r="L1048" s="6"/>
    </row>
    <row r="1049" spans="1:12" x14ac:dyDescent="0.2">
      <c r="A1049" s="1" t="str">
        <f>+'Maestro infraestructura'!A1048</f>
        <v>SPIELGRUPPE</v>
      </c>
      <c r="B1049" s="1" t="str">
        <f>+'Maestro infraestructura'!B1048</f>
        <v>1° Piso</v>
      </c>
      <c r="C1049" s="1" t="str">
        <f>+'Maestro infraestructura'!C1048</f>
        <v>SPG-C</v>
      </c>
      <c r="D1049" s="1" t="str">
        <f>+'Maestro infraestructura'!F1048</f>
        <v>Puertas</v>
      </c>
      <c r="E1049" s="25" t="str">
        <f ca="1">+'Maestro infraestructura'!K1048</f>
        <v>Activo</v>
      </c>
      <c r="F1049" s="1" t="str">
        <f ca="1">+'Maestro infraestructura'!V1048</f>
        <v>AL DÍA</v>
      </c>
      <c r="G1049" s="1" t="str">
        <f>+'Maestro infraestructura'!X1048</f>
        <v>GENERAL</v>
      </c>
      <c r="H1049" s="1">
        <f>+'Maestro infraestructura'!Y1048</f>
        <v>2</v>
      </c>
      <c r="I1049" s="1"/>
      <c r="J1049" s="6">
        <f>+'Maestro infraestructura'!T1048</f>
        <v>46402</v>
      </c>
      <c r="K1049" s="6">
        <f t="shared" ca="1" si="36"/>
        <v>46402</v>
      </c>
      <c r="L1049" s="6"/>
    </row>
    <row r="1050" spans="1:12" x14ac:dyDescent="0.2">
      <c r="A1050" s="1" t="str">
        <f>+'Maestro infraestructura'!A1049</f>
        <v>SPIELGRUPPE</v>
      </c>
      <c r="B1050" s="1" t="str">
        <f>+'Maestro infraestructura'!B1049</f>
        <v>1° Piso</v>
      </c>
      <c r="C1050" s="1" t="str">
        <f>+'Maestro infraestructura'!C1049</f>
        <v>SPG-D</v>
      </c>
      <c r="D1050" s="1" t="str">
        <f>+'Maestro infraestructura'!F1049</f>
        <v>Ventanas</v>
      </c>
      <c r="E1050" s="25" t="str">
        <f ca="1">+'Maestro infraestructura'!K1049</f>
        <v>Activo</v>
      </c>
      <c r="F1050" s="1" t="str">
        <f ca="1">+'Maestro infraestructura'!V1049</f>
        <v>AL DÍA</v>
      </c>
      <c r="G1050" s="1" t="str">
        <f>+'Maestro infraestructura'!X1049</f>
        <v>SEGURIDAD</v>
      </c>
      <c r="H1050" s="1">
        <f>+'Maestro infraestructura'!Y1049</f>
        <v>2</v>
      </c>
      <c r="I1050" s="1"/>
      <c r="J1050" s="6">
        <f>+'Maestro infraestructura'!T1049</f>
        <v>46402</v>
      </c>
      <c r="K1050" s="6">
        <f t="shared" ca="1" si="36"/>
        <v>46402</v>
      </c>
      <c r="L1050" s="6"/>
    </row>
    <row r="1051" spans="1:12" x14ac:dyDescent="0.2">
      <c r="A1051" s="1" t="str">
        <f>+'Maestro infraestructura'!A1050</f>
        <v>SPIELGRUPPE</v>
      </c>
      <c r="B1051" s="1" t="str">
        <f>+'Maestro infraestructura'!B1050</f>
        <v>1° Piso</v>
      </c>
      <c r="C1051" s="1" t="str">
        <f>+'Maestro infraestructura'!C1050</f>
        <v>SPG-D</v>
      </c>
      <c r="D1051" s="1" t="str">
        <f>+'Maestro infraestructura'!F1050</f>
        <v>Radiadores</v>
      </c>
      <c r="E1051" s="25" t="str">
        <f ca="1">+'Maestro infraestructura'!K1050</f>
        <v>Activo</v>
      </c>
      <c r="F1051" s="1" t="str">
        <f ca="1">+'Maestro infraestructura'!V1050</f>
        <v>AL DÍA</v>
      </c>
      <c r="G1051" s="1" t="str">
        <f>+'Maestro infraestructura'!X1050</f>
        <v>GENERAL</v>
      </c>
      <c r="H1051" s="1">
        <f>+'Maestro infraestructura'!Y1050</f>
        <v>1</v>
      </c>
      <c r="I1051" s="1"/>
      <c r="J1051" s="6">
        <f>+'Maestro infraestructura'!T1050</f>
        <v>46523</v>
      </c>
      <c r="K1051" s="6">
        <f t="shared" ca="1" si="36"/>
        <v>46523</v>
      </c>
      <c r="L1051" s="6"/>
    </row>
    <row r="1052" spans="1:12" x14ac:dyDescent="0.2">
      <c r="A1052" s="1" t="str">
        <f>+'Maestro infraestructura'!A1051</f>
        <v>SPIELGRUPPE</v>
      </c>
      <c r="B1052" s="1" t="str">
        <f>+'Maestro infraestructura'!B1051</f>
        <v>1° Piso</v>
      </c>
      <c r="C1052" s="1" t="str">
        <f>+'Maestro infraestructura'!C1051</f>
        <v>SPG-D</v>
      </c>
      <c r="D1052" s="1" t="str">
        <f>+'Maestro infraestructura'!F1051</f>
        <v>Piso</v>
      </c>
      <c r="E1052" s="25" t="str">
        <f ca="1">+'Maestro infraestructura'!K1051</f>
        <v>Activo</v>
      </c>
      <c r="F1052" s="1" t="str">
        <f ca="1">+'Maestro infraestructura'!V1051</f>
        <v>AL DÍA</v>
      </c>
      <c r="G1052" s="1" t="str">
        <f>+'Maestro infraestructura'!X1051</f>
        <v>GENERAL</v>
      </c>
      <c r="H1052" s="1">
        <f>+'Maestro infraestructura'!Y1051</f>
        <v>2</v>
      </c>
      <c r="I1052" s="1"/>
      <c r="J1052" s="6">
        <f>+'Maestro infraestructura'!T1051</f>
        <v>46402</v>
      </c>
      <c r="K1052" s="6">
        <f t="shared" ca="1" si="36"/>
        <v>46402</v>
      </c>
      <c r="L1052" s="6"/>
    </row>
  </sheetData>
  <autoFilter ref="A2:AW1052" xr:uid="{00000000-0009-0000-0000-000002000000}"/>
  <conditionalFormatting sqref="E3:E1052">
    <cfRule type="containsText" dxfId="5" priority="3" operator="containsText" text="Activo">
      <formula>NOT(ISERROR(SEARCH("Activo",E3)))</formula>
    </cfRule>
    <cfRule type="containsText" dxfId="4" priority="4" operator="containsText" text="Presupuestar">
      <formula>NOT(ISERROR(SEARCH("Presupuestar",E3)))</formula>
    </cfRule>
    <cfRule type="containsText" dxfId="3" priority="5" operator="containsText" text="Cambiar">
      <formula>NOT(ISERROR(SEARCH(("Cambiar"),(E3))))</formula>
    </cfRule>
  </conditionalFormatting>
  <conditionalFormatting sqref="J3:J1052 I4:I5 I8:I9 I11 I15:I23 I28 I32:I33 I38:I39 I47:I48 I55 I66:I70 I74 I77 I87 I94 I101">
    <cfRule type="expression" dxfId="2" priority="6">
      <formula>AND($K3&gt;=J$2, $K3&lt;=EOMONTH(J$1,0))</formula>
    </cfRule>
  </conditionalFormatting>
  <conditionalFormatting sqref="K3:L1052">
    <cfRule type="expression" dxfId="1" priority="16">
      <formula>AND($K3&gt;=M$2, $K3&lt;=EOMONTH(M$1,0))</formula>
    </cfRule>
  </conditionalFormatting>
  <conditionalFormatting sqref="M3:AF1048576">
    <cfRule type="expression" dxfId="0" priority="1">
      <formula>AND($K3&gt;=M$2, $K3&lt;=EOMONTH(M$2,0))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6"/>
  <sheetViews>
    <sheetView topLeftCell="A7" workbookViewId="0">
      <selection activeCell="F17" sqref="F17"/>
    </sheetView>
  </sheetViews>
  <sheetFormatPr defaultColWidth="10.89453125" defaultRowHeight="14.25" x14ac:dyDescent="0.15"/>
  <cols>
    <col min="1" max="2" width="10.89453125" style="1"/>
    <col min="3" max="3" width="71.4296875" style="1" customWidth="1"/>
    <col min="4" max="4" width="13.046875" style="1" bestFit="1" customWidth="1"/>
    <col min="5" max="5" width="10.89453125" style="1"/>
    <col min="6" max="6" width="28.78515625" style="1" customWidth="1"/>
    <col min="7" max="7" width="22.05859375" style="1" customWidth="1"/>
    <col min="8" max="8" width="18.96484375" style="1" customWidth="1"/>
    <col min="9" max="16384" width="10.89453125" style="1"/>
  </cols>
  <sheetData>
    <row r="1" spans="2:4" x14ac:dyDescent="0.15">
      <c r="B1" s="2" t="s">
        <v>364</v>
      </c>
    </row>
    <row r="2" spans="2:4" x14ac:dyDescent="0.15">
      <c r="B2" s="2"/>
    </row>
    <row r="3" spans="2:4" x14ac:dyDescent="0.15">
      <c r="B3" s="2"/>
    </row>
    <row r="4" spans="2:4" x14ac:dyDescent="0.15">
      <c r="B4" s="2" t="s">
        <v>298</v>
      </c>
      <c r="C4" s="2" t="s">
        <v>299</v>
      </c>
    </row>
    <row r="5" spans="2:4" ht="47.45" customHeight="1" x14ac:dyDescent="0.15">
      <c r="B5" s="4" t="s">
        <v>277</v>
      </c>
      <c r="C5" s="4" t="s">
        <v>383</v>
      </c>
    </row>
    <row r="6" spans="2:4" ht="38.25" x14ac:dyDescent="0.15">
      <c r="B6" s="4" t="s">
        <v>271</v>
      </c>
      <c r="C6" s="4" t="s">
        <v>386</v>
      </c>
    </row>
    <row r="7" spans="2:4" ht="38.25" x14ac:dyDescent="0.15">
      <c r="B7" s="4" t="s">
        <v>267</v>
      </c>
      <c r="C7" s="4" t="s">
        <v>387</v>
      </c>
    </row>
    <row r="8" spans="2:4" ht="43.5" x14ac:dyDescent="0.15">
      <c r="B8" s="4" t="s">
        <v>262</v>
      </c>
      <c r="C8" s="4" t="s">
        <v>390</v>
      </c>
    </row>
    <row r="10" spans="2:4" x14ac:dyDescent="0.15">
      <c r="B10" s="2" t="s">
        <v>254</v>
      </c>
      <c r="C10" s="2" t="s">
        <v>299</v>
      </c>
      <c r="D10" s="1" t="s">
        <v>382</v>
      </c>
    </row>
    <row r="11" spans="2:4" x14ac:dyDescent="0.15">
      <c r="B11" s="25">
        <v>1</v>
      </c>
      <c r="C11" s="16" t="s">
        <v>371</v>
      </c>
      <c r="D11" s="16" t="s">
        <v>374</v>
      </c>
    </row>
    <row r="12" spans="2:4" x14ac:dyDescent="0.15">
      <c r="B12" s="25">
        <v>2</v>
      </c>
      <c r="C12" s="16" t="s">
        <v>373</v>
      </c>
      <c r="D12" s="16"/>
    </row>
    <row r="13" spans="2:4" x14ac:dyDescent="0.15">
      <c r="B13" s="25">
        <v>3</v>
      </c>
      <c r="C13" s="16" t="s">
        <v>376</v>
      </c>
      <c r="D13" s="16" t="s">
        <v>375</v>
      </c>
    </row>
    <row r="16" spans="2:4" x14ac:dyDescent="0.15">
      <c r="C16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8"/>
  <sheetViews>
    <sheetView workbookViewId="0">
      <selection activeCell="N24" sqref="N24"/>
    </sheetView>
  </sheetViews>
  <sheetFormatPr defaultColWidth="10.89453125" defaultRowHeight="14.25" x14ac:dyDescent="0.15"/>
  <cols>
    <col min="1" max="1" width="12.64453125" style="1" bestFit="1" customWidth="1"/>
    <col min="2" max="20" width="12.23828125" style="1" customWidth="1"/>
    <col min="21" max="16384" width="10.89453125" style="1"/>
  </cols>
  <sheetData>
    <row r="1" spans="1:20" x14ac:dyDescent="0.15">
      <c r="A1" s="97" t="s">
        <v>304</v>
      </c>
      <c r="B1" s="8">
        <v>601</v>
      </c>
      <c r="C1" s="8">
        <v>602</v>
      </c>
      <c r="D1" s="8">
        <v>603</v>
      </c>
      <c r="E1" s="8">
        <v>604</v>
      </c>
      <c r="F1" s="8">
        <v>606</v>
      </c>
      <c r="G1" s="8">
        <v>607</v>
      </c>
      <c r="H1" s="8">
        <v>608</v>
      </c>
      <c r="I1" s="8">
        <v>609</v>
      </c>
      <c r="J1" s="8">
        <v>610</v>
      </c>
      <c r="K1" s="8">
        <v>611</v>
      </c>
      <c r="L1" s="8">
        <v>612</v>
      </c>
      <c r="M1" s="8">
        <v>613</v>
      </c>
      <c r="N1" s="8">
        <v>614</v>
      </c>
      <c r="O1" s="8">
        <v>615</v>
      </c>
      <c r="P1" s="8">
        <v>618</v>
      </c>
      <c r="Q1" s="8">
        <v>623</v>
      </c>
      <c r="R1" s="8">
        <v>624</v>
      </c>
      <c r="S1" s="8">
        <v>625</v>
      </c>
      <c r="T1" s="8">
        <v>626</v>
      </c>
    </row>
    <row r="2" spans="1:20" x14ac:dyDescent="0.15">
      <c r="A2" s="98"/>
      <c r="B2" s="9">
        <f>7.2*8.7</f>
        <v>62.639999999999993</v>
      </c>
      <c r="C2" s="9">
        <f t="shared" ref="C2:T2" si="0">7.2*8.7</f>
        <v>62.639999999999993</v>
      </c>
      <c r="D2" s="9">
        <f t="shared" si="0"/>
        <v>62.639999999999993</v>
      </c>
      <c r="E2" s="9">
        <f t="shared" si="0"/>
        <v>62.639999999999993</v>
      </c>
      <c r="F2" s="9">
        <f t="shared" si="0"/>
        <v>62.639999999999993</v>
      </c>
      <c r="G2" s="9">
        <f t="shared" si="0"/>
        <v>62.639999999999993</v>
      </c>
      <c r="H2" s="9">
        <f t="shared" si="0"/>
        <v>62.639999999999993</v>
      </c>
      <c r="I2" s="9">
        <f t="shared" si="0"/>
        <v>62.639999999999993</v>
      </c>
      <c r="J2" s="9">
        <v>41.8</v>
      </c>
      <c r="K2" s="9">
        <f t="shared" si="0"/>
        <v>62.639999999999993</v>
      </c>
      <c r="L2" s="9">
        <f t="shared" si="0"/>
        <v>62.639999999999993</v>
      </c>
      <c r="M2" s="9">
        <f t="shared" si="0"/>
        <v>62.639999999999993</v>
      </c>
      <c r="N2" s="9">
        <v>41.8</v>
      </c>
      <c r="O2" s="9">
        <f t="shared" si="0"/>
        <v>62.639999999999993</v>
      </c>
      <c r="P2" s="9">
        <f t="shared" si="0"/>
        <v>62.639999999999993</v>
      </c>
      <c r="Q2" s="9">
        <f t="shared" si="0"/>
        <v>62.639999999999993</v>
      </c>
      <c r="R2" s="9">
        <f t="shared" si="0"/>
        <v>62.639999999999993</v>
      </c>
      <c r="S2" s="9">
        <f t="shared" si="0"/>
        <v>62.639999999999993</v>
      </c>
      <c r="T2" s="9">
        <f t="shared" si="0"/>
        <v>62.639999999999993</v>
      </c>
    </row>
    <row r="3" spans="1:20" x14ac:dyDescent="0.15">
      <c r="A3" s="97" t="s">
        <v>305</v>
      </c>
      <c r="B3" s="8">
        <v>501</v>
      </c>
      <c r="C3" s="8">
        <v>502</v>
      </c>
      <c r="D3" s="8">
        <v>503</v>
      </c>
      <c r="E3" s="8">
        <v>504</v>
      </c>
      <c r="F3" s="8">
        <v>506</v>
      </c>
      <c r="G3" s="8">
        <v>507</v>
      </c>
      <c r="H3" s="8">
        <v>508</v>
      </c>
      <c r="I3" s="8">
        <v>509</v>
      </c>
      <c r="J3" s="8">
        <v>510</v>
      </c>
      <c r="K3" s="8">
        <v>511</v>
      </c>
      <c r="L3" s="10" t="s">
        <v>306</v>
      </c>
      <c r="M3" s="8">
        <v>513</v>
      </c>
      <c r="N3" s="8">
        <v>515</v>
      </c>
      <c r="O3" s="8">
        <v>516</v>
      </c>
      <c r="P3" s="8">
        <v>522</v>
      </c>
      <c r="Q3" s="8">
        <v>523</v>
      </c>
      <c r="R3" s="8">
        <v>524</v>
      </c>
      <c r="S3" s="8">
        <v>525</v>
      </c>
      <c r="T3" s="8">
        <v>526</v>
      </c>
    </row>
    <row r="4" spans="1:20" x14ac:dyDescent="0.15">
      <c r="A4" s="98"/>
      <c r="B4" s="9">
        <f t="shared" ref="B4:T4" si="1">7.2*8.7</f>
        <v>62.639999999999993</v>
      </c>
      <c r="C4" s="9">
        <f t="shared" si="1"/>
        <v>62.639999999999993</v>
      </c>
      <c r="D4" s="9">
        <f t="shared" si="1"/>
        <v>62.639999999999993</v>
      </c>
      <c r="E4" s="9">
        <f t="shared" si="1"/>
        <v>62.639999999999993</v>
      </c>
      <c r="F4" s="9">
        <f t="shared" si="1"/>
        <v>62.639999999999993</v>
      </c>
      <c r="G4" s="9">
        <f t="shared" si="1"/>
        <v>62.639999999999993</v>
      </c>
      <c r="H4" s="9">
        <f t="shared" si="1"/>
        <v>62.639999999999993</v>
      </c>
      <c r="I4" s="9">
        <f t="shared" si="1"/>
        <v>62.639999999999993</v>
      </c>
      <c r="J4" s="9">
        <v>41.8</v>
      </c>
      <c r="K4" s="9">
        <f t="shared" si="1"/>
        <v>62.639999999999993</v>
      </c>
      <c r="L4" s="9">
        <f t="shared" si="1"/>
        <v>62.639999999999993</v>
      </c>
      <c r="M4" s="9">
        <f t="shared" si="1"/>
        <v>62.639999999999993</v>
      </c>
      <c r="N4" s="9">
        <f t="shared" si="1"/>
        <v>62.639999999999993</v>
      </c>
      <c r="O4" s="11">
        <v>41.8</v>
      </c>
      <c r="P4" s="9">
        <f t="shared" si="1"/>
        <v>62.639999999999993</v>
      </c>
      <c r="Q4" s="9">
        <f t="shared" si="1"/>
        <v>62.639999999999993</v>
      </c>
      <c r="R4" s="9">
        <f t="shared" si="1"/>
        <v>62.639999999999993</v>
      </c>
      <c r="S4" s="9">
        <f t="shared" si="1"/>
        <v>62.639999999999993</v>
      </c>
      <c r="T4" s="9">
        <f t="shared" si="1"/>
        <v>62.639999999999993</v>
      </c>
    </row>
    <row r="5" spans="1:20" x14ac:dyDescent="0.15">
      <c r="A5" s="97" t="s">
        <v>307</v>
      </c>
      <c r="B5" s="10" t="s">
        <v>308</v>
      </c>
      <c r="C5" s="12" t="s">
        <v>309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11"/>
      <c r="Q5" s="9"/>
      <c r="R5" s="9"/>
      <c r="S5" s="9"/>
      <c r="T5" s="9"/>
    </row>
    <row r="6" spans="1:20" x14ac:dyDescent="0.15">
      <c r="A6" s="98"/>
      <c r="B6" s="9">
        <v>82.65</v>
      </c>
      <c r="C6" s="9">
        <v>234.9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11"/>
      <c r="Q6" s="9"/>
      <c r="R6" s="9"/>
      <c r="S6" s="9"/>
      <c r="T6" s="9"/>
    </row>
    <row r="7" spans="1:20" x14ac:dyDescent="0.15">
      <c r="A7" s="97" t="s">
        <v>310</v>
      </c>
      <c r="B7" s="10">
        <v>301</v>
      </c>
      <c r="C7" s="12" t="s">
        <v>311</v>
      </c>
      <c r="D7" s="12" t="s">
        <v>312</v>
      </c>
      <c r="E7" s="12" t="s">
        <v>313</v>
      </c>
      <c r="F7" s="12" t="s">
        <v>314</v>
      </c>
      <c r="G7" s="12" t="s">
        <v>315</v>
      </c>
      <c r="H7" s="12" t="s">
        <v>316</v>
      </c>
      <c r="I7" s="12" t="s">
        <v>317</v>
      </c>
      <c r="J7" s="12" t="s">
        <v>318</v>
      </c>
      <c r="K7" s="9"/>
      <c r="L7" s="9"/>
      <c r="M7" s="9"/>
      <c r="N7" s="9"/>
      <c r="O7" s="9"/>
      <c r="P7" s="11"/>
      <c r="Q7" s="9"/>
      <c r="R7" s="9"/>
      <c r="S7" s="9"/>
      <c r="T7" s="9"/>
    </row>
    <row r="8" spans="1:20" x14ac:dyDescent="0.15">
      <c r="A8" s="98"/>
      <c r="B8" s="9">
        <v>65.25</v>
      </c>
      <c r="C8" s="9">
        <v>65.25</v>
      </c>
      <c r="D8" s="9">
        <v>87.5</v>
      </c>
      <c r="E8" s="9">
        <v>91.35</v>
      </c>
      <c r="F8" s="1">
        <v>63</v>
      </c>
      <c r="G8" s="9">
        <v>91.35</v>
      </c>
      <c r="H8" s="9">
        <v>63</v>
      </c>
      <c r="I8" s="9" t="s">
        <v>319</v>
      </c>
      <c r="J8" s="9" t="s">
        <v>319</v>
      </c>
      <c r="K8" s="9"/>
      <c r="L8" s="9"/>
      <c r="M8" s="9"/>
      <c r="N8" s="9"/>
      <c r="O8" s="9"/>
      <c r="P8" s="11"/>
      <c r="Q8" s="9"/>
      <c r="R8" s="9"/>
      <c r="S8" s="9"/>
      <c r="T8" s="9"/>
    </row>
    <row r="9" spans="1:20" x14ac:dyDescent="0.15">
      <c r="A9" s="97" t="s">
        <v>320</v>
      </c>
      <c r="B9" s="12" t="s">
        <v>290</v>
      </c>
      <c r="C9" s="10" t="s">
        <v>213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11"/>
      <c r="Q9" s="9"/>
      <c r="R9" s="9"/>
      <c r="S9" s="9"/>
      <c r="T9" s="9"/>
    </row>
    <row r="10" spans="1:20" x14ac:dyDescent="0.15">
      <c r="A10" s="98"/>
      <c r="B10" s="9">
        <v>648</v>
      </c>
      <c r="C10" s="9">
        <v>162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11"/>
      <c r="Q10" s="9"/>
      <c r="R10" s="9"/>
      <c r="S10" s="9"/>
      <c r="T10" s="9"/>
    </row>
    <row r="11" spans="1:20" x14ac:dyDescent="0.15">
      <c r="A11" s="97" t="s">
        <v>321</v>
      </c>
      <c r="B11" s="12" t="s">
        <v>322</v>
      </c>
      <c r="C11" s="12" t="s">
        <v>323</v>
      </c>
      <c r="D11" s="12" t="s">
        <v>324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11"/>
      <c r="Q11" s="9"/>
      <c r="R11" s="9"/>
      <c r="S11" s="9"/>
      <c r="T11" s="9"/>
    </row>
    <row r="12" spans="1:20" x14ac:dyDescent="0.15">
      <c r="A12" s="98"/>
      <c r="B12" s="9">
        <v>78.3</v>
      </c>
      <c r="C12" s="9">
        <v>78.3</v>
      </c>
      <c r="D12" s="9">
        <v>78.3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11"/>
      <c r="Q12" s="9"/>
      <c r="R12" s="9"/>
      <c r="S12" s="9"/>
      <c r="T12" s="9"/>
    </row>
    <row r="13" spans="1:20" x14ac:dyDescent="0.15">
      <c r="A13" s="97" t="s">
        <v>114</v>
      </c>
      <c r="B13" s="10" t="s">
        <v>325</v>
      </c>
      <c r="C13" s="10" t="s">
        <v>326</v>
      </c>
      <c r="D13" s="10" t="s">
        <v>327</v>
      </c>
      <c r="E13" s="10" t="s">
        <v>328</v>
      </c>
      <c r="F13" s="10" t="s">
        <v>329</v>
      </c>
      <c r="G13" s="10" t="s">
        <v>330</v>
      </c>
      <c r="H13" s="10" t="s">
        <v>331</v>
      </c>
      <c r="I13" s="10" t="s">
        <v>332</v>
      </c>
      <c r="J13" s="10" t="s">
        <v>333</v>
      </c>
      <c r="K13" s="10" t="s">
        <v>334</v>
      </c>
      <c r="L13" s="10" t="s">
        <v>335</v>
      </c>
      <c r="M13" s="10" t="s">
        <v>336</v>
      </c>
      <c r="N13" s="10" t="s">
        <v>337</v>
      </c>
      <c r="O13" s="10" t="s">
        <v>338</v>
      </c>
      <c r="P13" s="11"/>
      <c r="Q13" s="9"/>
      <c r="R13" s="9"/>
      <c r="S13" s="9"/>
      <c r="T13" s="9"/>
    </row>
    <row r="14" spans="1:20" x14ac:dyDescent="0.15">
      <c r="A14" s="98"/>
      <c r="B14" s="9">
        <v>68</v>
      </c>
      <c r="C14" s="9">
        <v>68</v>
      </c>
      <c r="D14" s="9">
        <v>68</v>
      </c>
      <c r="E14" s="9">
        <v>68</v>
      </c>
      <c r="F14" s="9">
        <v>68</v>
      </c>
      <c r="G14" s="9">
        <v>68</v>
      </c>
      <c r="H14" s="9">
        <v>75</v>
      </c>
      <c r="I14" s="9">
        <v>75</v>
      </c>
      <c r="J14" s="9">
        <v>75</v>
      </c>
      <c r="K14" s="9">
        <v>75</v>
      </c>
      <c r="L14" s="9">
        <v>68</v>
      </c>
      <c r="M14" s="9">
        <v>68</v>
      </c>
      <c r="N14" s="9">
        <v>68</v>
      </c>
      <c r="O14" s="9">
        <v>68</v>
      </c>
      <c r="P14" s="11"/>
      <c r="Q14" s="9"/>
      <c r="R14" s="9"/>
      <c r="S14" s="9"/>
      <c r="T14" s="9"/>
    </row>
    <row r="15" spans="1:20" x14ac:dyDescent="0.15">
      <c r="A15" s="97" t="s">
        <v>339</v>
      </c>
      <c r="B15" s="10" t="s">
        <v>340</v>
      </c>
      <c r="C15" s="10" t="s">
        <v>341</v>
      </c>
      <c r="D15" s="10" t="s">
        <v>342</v>
      </c>
      <c r="E15" s="10" t="s">
        <v>343</v>
      </c>
      <c r="F15" s="10" t="s">
        <v>344</v>
      </c>
      <c r="G15" s="10" t="s">
        <v>345</v>
      </c>
      <c r="H15" s="10" t="s">
        <v>346</v>
      </c>
      <c r="I15" s="10" t="s">
        <v>347</v>
      </c>
      <c r="J15" s="10" t="s">
        <v>348</v>
      </c>
      <c r="K15" s="10" t="s">
        <v>349</v>
      </c>
      <c r="L15" s="10" t="s">
        <v>350</v>
      </c>
      <c r="M15" s="10" t="s">
        <v>408</v>
      </c>
      <c r="N15" s="12" t="s">
        <v>351</v>
      </c>
      <c r="O15" s="9"/>
      <c r="P15" s="11"/>
      <c r="Q15" s="9"/>
      <c r="R15" s="9"/>
      <c r="S15" s="9"/>
      <c r="T15" s="9"/>
    </row>
    <row r="16" spans="1:20" x14ac:dyDescent="0.15">
      <c r="A16" s="98"/>
      <c r="B16" s="9" t="s">
        <v>352</v>
      </c>
      <c r="C16" s="9" t="s">
        <v>352</v>
      </c>
      <c r="D16" s="9" t="s">
        <v>352</v>
      </c>
      <c r="E16" s="9" t="s">
        <v>352</v>
      </c>
      <c r="F16" s="9" t="s">
        <v>352</v>
      </c>
      <c r="G16" s="9">
        <v>72</v>
      </c>
      <c r="H16" s="9">
        <v>72</v>
      </c>
      <c r="I16" s="9">
        <v>69.5</v>
      </c>
      <c r="J16" s="9">
        <v>44</v>
      </c>
      <c r="K16" s="9">
        <v>44</v>
      </c>
      <c r="L16" s="9">
        <v>80.8</v>
      </c>
      <c r="M16" s="9">
        <v>80.8</v>
      </c>
      <c r="N16" s="9">
        <v>832</v>
      </c>
      <c r="O16" s="9"/>
      <c r="P16" s="11"/>
      <c r="Q16" s="9"/>
      <c r="R16" s="9"/>
      <c r="S16" s="9"/>
      <c r="T16" s="9"/>
    </row>
    <row r="17" spans="1:20" x14ac:dyDescent="0.15">
      <c r="A17" s="97" t="s">
        <v>353</v>
      </c>
      <c r="B17" s="10" t="s">
        <v>354</v>
      </c>
      <c r="C17" s="10" t="s">
        <v>355</v>
      </c>
      <c r="D17" s="10" t="s">
        <v>356</v>
      </c>
      <c r="E17" s="10" t="s">
        <v>357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11"/>
      <c r="Q17" s="9"/>
      <c r="R17" s="9"/>
      <c r="S17" s="9"/>
      <c r="T17" s="9"/>
    </row>
    <row r="18" spans="1:20" x14ac:dyDescent="0.15">
      <c r="A18" s="98"/>
      <c r="B18" s="9">
        <v>30.82</v>
      </c>
      <c r="C18" s="9">
        <v>30.82</v>
      </c>
      <c r="D18" s="9">
        <v>33.6</v>
      </c>
      <c r="E18" s="9">
        <v>32.49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11"/>
      <c r="Q18" s="9"/>
      <c r="R18" s="9"/>
      <c r="S18" s="9"/>
      <c r="T18" s="9"/>
    </row>
  </sheetData>
  <mergeCells count="9">
    <mergeCell ref="A13:A14"/>
    <mergeCell ref="A15:A16"/>
    <mergeCell ref="A17:A18"/>
    <mergeCell ref="A1:A2"/>
    <mergeCell ref="A3:A4"/>
    <mergeCell ref="A5:A6"/>
    <mergeCell ref="A7:A8"/>
    <mergeCell ref="A9:A10"/>
    <mergeCell ref="A11:A12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B14"/>
  <sheetViews>
    <sheetView workbookViewId="0">
      <selection activeCell="E14" sqref="E14"/>
    </sheetView>
  </sheetViews>
  <sheetFormatPr defaultColWidth="10.89453125" defaultRowHeight="14.25" x14ac:dyDescent="0.15"/>
  <cols>
    <col min="1" max="16384" width="10.89453125" style="1"/>
  </cols>
  <sheetData>
    <row r="2" spans="2:2" x14ac:dyDescent="0.15">
      <c r="B2" s="1" t="s">
        <v>434</v>
      </c>
    </row>
    <row r="3" spans="2:2" x14ac:dyDescent="0.15">
      <c r="B3" s="1" t="s">
        <v>384</v>
      </c>
    </row>
    <row r="4" spans="2:2" x14ac:dyDescent="0.15">
      <c r="B4" s="1" t="s">
        <v>385</v>
      </c>
    </row>
    <row r="6" spans="2:2" x14ac:dyDescent="0.15">
      <c r="B6" s="1" t="s">
        <v>436</v>
      </c>
    </row>
    <row r="8" spans="2:2" x14ac:dyDescent="0.15">
      <c r="B8" s="1" t="s">
        <v>438</v>
      </c>
    </row>
    <row r="9" spans="2:2" x14ac:dyDescent="0.15">
      <c r="B9" s="1" t="s">
        <v>437</v>
      </c>
    </row>
    <row r="11" spans="2:2" x14ac:dyDescent="0.15">
      <c r="B11" s="1" t="s">
        <v>388</v>
      </c>
    </row>
    <row r="12" spans="2:2" x14ac:dyDescent="0.15">
      <c r="B12" s="1" t="s">
        <v>389</v>
      </c>
    </row>
    <row r="14" spans="2:2" x14ac:dyDescent="0.15">
      <c r="B14" s="1" t="s">
        <v>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Panel de Cumplimiento</vt:lpstr>
      <vt:lpstr>Maestro infraestructura</vt:lpstr>
      <vt:lpstr>Gantt 2026-2027</vt:lpstr>
      <vt:lpstr>Descripción</vt:lpstr>
      <vt:lpstr>M2</vt:lpstr>
      <vt:lpstr>Pendientes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 Figueroa</cp:lastModifiedBy>
  <dcterms:created xsi:type="dcterms:W3CDTF">2026-02-25T17:27:37Z</dcterms:created>
  <dcterms:modified xsi:type="dcterms:W3CDTF">2026-08-26T19:56:28Z</dcterms:modified>
</cp:coreProperties>
</file>